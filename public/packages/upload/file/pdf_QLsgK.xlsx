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ENDAHARA 2021\KOLOM REALISASI\"/>
    </mc:Choice>
  </mc:AlternateContent>
  <bookViews>
    <workbookView xWindow="120" yWindow="120" windowWidth="19440" windowHeight="9465" firstSheet="1" activeTab="7"/>
  </bookViews>
  <sheets>
    <sheet name="JANUARI 2022" sheetId="1" r:id="rId1"/>
    <sheet name="JAN 2022" sheetId="2" r:id="rId2"/>
    <sheet name="FEB 2022" sheetId="3" r:id="rId3"/>
    <sheet name="MAR 2022" sheetId="4" r:id="rId4"/>
    <sheet name="Sheet1" sheetId="5" r:id="rId5"/>
    <sheet name="APRIL 2022" sheetId="6" r:id="rId6"/>
    <sheet name="MEI 2022" sheetId="7" r:id="rId7"/>
    <sheet name="JUNI 2022" sheetId="8" r:id="rId8"/>
    <sheet name="juli 2022" sheetId="9" r:id="rId9"/>
    <sheet name="AGUS 2022" sheetId="10" r:id="rId10"/>
    <sheet name="sept 2022" sheetId="11" r:id="rId11"/>
  </sheets>
  <definedNames>
    <definedName name="_xlnm.Print_Area" localSheetId="9">'AGUS 2022'!$A$3:$U$154</definedName>
    <definedName name="_xlnm.Print_Area" localSheetId="5">'APRIL 2022'!$A$3:$U$130</definedName>
    <definedName name="_xlnm.Print_Area" localSheetId="2">'FEB 2022'!$J$6:$X$131</definedName>
    <definedName name="_xlnm.Print_Area" localSheetId="0">'JANUARI 2022'!$A$3:$X$145</definedName>
    <definedName name="_xlnm.Print_Area" localSheetId="8">'juli 2022'!$A$3:$X$154</definedName>
    <definedName name="_xlnm.Print_Area" localSheetId="7">'JUNI 2022'!$A$3:$U$154</definedName>
    <definedName name="_xlnm.Print_Area" localSheetId="3">'MAR 2022'!$A$3:$U$144</definedName>
    <definedName name="_xlnm.Print_Area" localSheetId="6">'MEI 2022'!$A$3:$U$168</definedName>
    <definedName name="_xlnm.Print_Area" localSheetId="10">'sept 2022'!$A$3:$U$168</definedName>
    <definedName name="_xlnm.Print_Area" localSheetId="4">Sheet1!$A$3:$AB$129</definedName>
  </definedNames>
  <calcPr calcId="152511"/>
</workbook>
</file>

<file path=xl/calcChain.xml><?xml version="1.0" encoding="utf-8"?>
<calcChain xmlns="http://schemas.openxmlformats.org/spreadsheetml/2006/main">
  <c r="Q40" i="11" l="1"/>
  <c r="S40" i="11" s="1"/>
  <c r="AE155" i="11"/>
  <c r="R154" i="11"/>
  <c r="Z153" i="11"/>
  <c r="V153" i="11"/>
  <c r="S152" i="11"/>
  <c r="T152" i="11" s="1"/>
  <c r="N152" i="11"/>
  <c r="X152" i="11" s="1"/>
  <c r="Z151" i="11"/>
  <c r="S150" i="11"/>
  <c r="N150" i="11"/>
  <c r="Z150" i="11" s="1"/>
  <c r="Z149" i="11"/>
  <c r="W149" i="11"/>
  <c r="V149" i="11"/>
  <c r="W148" i="11"/>
  <c r="S148" i="11"/>
  <c r="N148" i="11"/>
  <c r="Z148" i="11" s="1"/>
  <c r="Z147" i="11"/>
  <c r="V147" i="11"/>
  <c r="S146" i="11"/>
  <c r="M146" i="11"/>
  <c r="M133" i="11" s="1"/>
  <c r="M118" i="11" s="1"/>
  <c r="L146" i="11"/>
  <c r="Z145" i="11"/>
  <c r="V145" i="11"/>
  <c r="S144" i="11"/>
  <c r="N144" i="11"/>
  <c r="W144" i="11" s="1"/>
  <c r="Z142" i="11"/>
  <c r="S142" i="11"/>
  <c r="T142" i="11" s="1"/>
  <c r="N142" i="11"/>
  <c r="X142" i="11" s="1"/>
  <c r="S141" i="11"/>
  <c r="N141" i="11"/>
  <c r="W141" i="11" s="1"/>
  <c r="S140" i="11"/>
  <c r="N140" i="11"/>
  <c r="X140" i="11" s="1"/>
  <c r="Q139" i="11"/>
  <c r="M139" i="11"/>
  <c r="L139" i="11"/>
  <c r="Z138" i="11"/>
  <c r="V138" i="11"/>
  <c r="Z137" i="11"/>
  <c r="S137" i="11"/>
  <c r="N137" i="11"/>
  <c r="X137" i="11" s="1"/>
  <c r="Z136" i="11"/>
  <c r="V136" i="11"/>
  <c r="S135" i="11"/>
  <c r="N135" i="11"/>
  <c r="Q133" i="11"/>
  <c r="Z132" i="11"/>
  <c r="V132" i="11"/>
  <c r="X131" i="11"/>
  <c r="T131" i="11"/>
  <c r="N131" i="11"/>
  <c r="U131" i="11" s="1"/>
  <c r="T130" i="11"/>
  <c r="X129" i="11"/>
  <c r="S129" i="11"/>
  <c r="T129" i="11" s="1"/>
  <c r="N129" i="11"/>
  <c r="W129" i="11" s="1"/>
  <c r="Z128" i="11"/>
  <c r="V128" i="11"/>
  <c r="U127" i="11"/>
  <c r="V127" i="11" s="1"/>
  <c r="S127" i="11"/>
  <c r="N127" i="11"/>
  <c r="Z127" i="11" s="1"/>
  <c r="Q126" i="11"/>
  <c r="L126" i="11"/>
  <c r="Z125" i="11"/>
  <c r="S125" i="11"/>
  <c r="N125" i="11"/>
  <c r="X125" i="11" s="1"/>
  <c r="Q124" i="11"/>
  <c r="L124" i="11"/>
  <c r="T123" i="11"/>
  <c r="S123" i="11"/>
  <c r="N123" i="11"/>
  <c r="W123" i="11" s="1"/>
  <c r="V122" i="11"/>
  <c r="N122" i="11"/>
  <c r="Z122" i="11" s="1"/>
  <c r="M121" i="11"/>
  <c r="L121" i="11"/>
  <c r="N121" i="11" s="1"/>
  <c r="Z120" i="11"/>
  <c r="V120" i="11"/>
  <c r="Z119" i="11"/>
  <c r="V119" i="11"/>
  <c r="Z117" i="11"/>
  <c r="S116" i="11"/>
  <c r="T116" i="11" s="1"/>
  <c r="N116" i="11"/>
  <c r="Z116" i="11" s="1"/>
  <c r="Z115" i="11"/>
  <c r="Z114" i="11"/>
  <c r="S114" i="11"/>
  <c r="U114" i="11" s="1"/>
  <c r="N114" i="11"/>
  <c r="X114" i="11" s="1"/>
  <c r="Z113" i="11"/>
  <c r="S112" i="11"/>
  <c r="N112" i="11"/>
  <c r="Z111" i="11"/>
  <c r="Z110" i="11"/>
  <c r="S110" i="11"/>
  <c r="T110" i="11" s="1"/>
  <c r="N110" i="11"/>
  <c r="X110" i="11" s="1"/>
  <c r="Z109" i="11"/>
  <c r="Q108" i="11"/>
  <c r="L108" i="11"/>
  <c r="N108" i="11" s="1"/>
  <c r="Z107" i="11"/>
  <c r="V107" i="11"/>
  <c r="S106" i="11"/>
  <c r="N106" i="11"/>
  <c r="W106" i="11" s="1"/>
  <c r="Z105" i="11"/>
  <c r="V105" i="11"/>
  <c r="S104" i="11"/>
  <c r="N104" i="11"/>
  <c r="S102" i="11"/>
  <c r="N102" i="11"/>
  <c r="S100" i="11"/>
  <c r="N100" i="11"/>
  <c r="S98" i="11"/>
  <c r="N98" i="11"/>
  <c r="S96" i="11"/>
  <c r="N96" i="11"/>
  <c r="S94" i="11"/>
  <c r="N94" i="11"/>
  <c r="S92" i="11"/>
  <c r="N92" i="11"/>
  <c r="S90" i="11"/>
  <c r="N90" i="11"/>
  <c r="Q88" i="11"/>
  <c r="Q86" i="11" s="1"/>
  <c r="L88" i="11"/>
  <c r="Z87" i="11"/>
  <c r="V87" i="11"/>
  <c r="M86" i="11"/>
  <c r="Z85" i="11"/>
  <c r="V85" i="11"/>
  <c r="W84" i="11"/>
  <c r="S84" i="11"/>
  <c r="N84" i="11"/>
  <c r="X84" i="11" s="1"/>
  <c r="Z83" i="11"/>
  <c r="V83" i="11"/>
  <c r="S82" i="11"/>
  <c r="N82" i="11"/>
  <c r="X82" i="11" s="1"/>
  <c r="Z81" i="11"/>
  <c r="V81" i="11"/>
  <c r="S80" i="11"/>
  <c r="T80" i="11" s="1"/>
  <c r="N80" i="11"/>
  <c r="X80" i="11" s="1"/>
  <c r="S78" i="11"/>
  <c r="N78" i="11"/>
  <c r="X78" i="11" s="1"/>
  <c r="S76" i="11"/>
  <c r="N76" i="11"/>
  <c r="X76" i="11" s="1"/>
  <c r="X74" i="11"/>
  <c r="S74" i="11"/>
  <c r="N74" i="11"/>
  <c r="U74" i="11" s="1"/>
  <c r="Z73" i="11"/>
  <c r="S73" i="11"/>
  <c r="U73" i="11" s="1"/>
  <c r="V73" i="11" s="1"/>
  <c r="Q72" i="11"/>
  <c r="M72" i="11"/>
  <c r="M12" i="11" s="1"/>
  <c r="L72" i="11"/>
  <c r="Z71" i="11"/>
  <c r="V71" i="11"/>
  <c r="S70" i="11"/>
  <c r="T70" i="11" s="1"/>
  <c r="N70" i="11"/>
  <c r="X70" i="11" s="1"/>
  <c r="X68" i="11"/>
  <c r="S68" i="11"/>
  <c r="N68" i="11"/>
  <c r="S66" i="11"/>
  <c r="N66" i="11"/>
  <c r="X66" i="11" s="1"/>
  <c r="S64" i="11"/>
  <c r="T64" i="11" s="1"/>
  <c r="N64" i="11"/>
  <c r="X64" i="11" s="1"/>
  <c r="S62" i="11"/>
  <c r="N62" i="11"/>
  <c r="X62" i="11" s="1"/>
  <c r="Z61" i="11"/>
  <c r="V61" i="11"/>
  <c r="Q60" i="11"/>
  <c r="S60" i="11" s="1"/>
  <c r="M60" i="11"/>
  <c r="L60" i="11"/>
  <c r="N60" i="11" s="1"/>
  <c r="Z59" i="11"/>
  <c r="V59" i="11"/>
  <c r="Z58" i="11"/>
  <c r="X58" i="11"/>
  <c r="W58" i="11"/>
  <c r="S58" i="11"/>
  <c r="U58" i="11" s="1"/>
  <c r="V58" i="11" s="1"/>
  <c r="X56" i="11"/>
  <c r="S56" i="11"/>
  <c r="T56" i="11" s="1"/>
  <c r="N56" i="11"/>
  <c r="S54" i="11"/>
  <c r="N54" i="11"/>
  <c r="X54" i="11" s="1"/>
  <c r="Z53" i="11"/>
  <c r="V53" i="11"/>
  <c r="Q52" i="11"/>
  <c r="S52" i="11" s="1"/>
  <c r="M52" i="11"/>
  <c r="L52" i="11"/>
  <c r="N52" i="11" s="1"/>
  <c r="Z51" i="11"/>
  <c r="V51" i="11"/>
  <c r="S50" i="11"/>
  <c r="N50" i="11"/>
  <c r="Z49" i="11"/>
  <c r="V49" i="11"/>
  <c r="S48" i="11"/>
  <c r="T48" i="11" s="1"/>
  <c r="N48" i="11"/>
  <c r="Z47" i="11"/>
  <c r="V47" i="11"/>
  <c r="S46" i="11"/>
  <c r="N46" i="11"/>
  <c r="Z45" i="11"/>
  <c r="V45" i="11"/>
  <c r="Z44" i="11"/>
  <c r="S44" i="11"/>
  <c r="T44" i="11" s="1"/>
  <c r="N44" i="11"/>
  <c r="X44" i="11" s="1"/>
  <c r="X42" i="11"/>
  <c r="S42" i="11"/>
  <c r="N42" i="11"/>
  <c r="Z41" i="11"/>
  <c r="V41" i="11"/>
  <c r="L40" i="11"/>
  <c r="N40" i="11" s="1"/>
  <c r="X40" i="11" s="1"/>
  <c r="Z39" i="11"/>
  <c r="V39" i="11"/>
  <c r="S38" i="11"/>
  <c r="T38" i="11" s="1"/>
  <c r="N38" i="11"/>
  <c r="X38" i="11" s="1"/>
  <c r="Z37" i="11"/>
  <c r="V37" i="11"/>
  <c r="W36" i="11"/>
  <c r="S36" i="11"/>
  <c r="T36" i="11" s="1"/>
  <c r="N36" i="11"/>
  <c r="Z36" i="11" s="1"/>
  <c r="Z35" i="11"/>
  <c r="V35" i="11"/>
  <c r="S34" i="11"/>
  <c r="T34" i="11" s="1"/>
  <c r="S32" i="11"/>
  <c r="U32" i="11" s="1"/>
  <c r="S30" i="11"/>
  <c r="T30" i="11" s="1"/>
  <c r="Q28" i="11"/>
  <c r="N28" i="11"/>
  <c r="Z27" i="11"/>
  <c r="V27" i="11"/>
  <c r="S26" i="11"/>
  <c r="N26" i="11"/>
  <c r="S24" i="11"/>
  <c r="T24" i="11" s="1"/>
  <c r="N24" i="11"/>
  <c r="Q22" i="11"/>
  <c r="N22" i="11"/>
  <c r="L22" i="11"/>
  <c r="Z21" i="11"/>
  <c r="V21" i="11"/>
  <c r="S20" i="11"/>
  <c r="T20" i="11" s="1"/>
  <c r="N20" i="11"/>
  <c r="X20" i="11" s="1"/>
  <c r="Z19" i="11"/>
  <c r="V19" i="11"/>
  <c r="W18" i="11"/>
  <c r="S18" i="11"/>
  <c r="N18" i="11"/>
  <c r="Z18" i="11" s="1"/>
  <c r="Z17" i="11"/>
  <c r="V17" i="11"/>
  <c r="S16" i="11"/>
  <c r="T16" i="11" s="1"/>
  <c r="N16" i="11"/>
  <c r="X16" i="11" s="1"/>
  <c r="Z15" i="11"/>
  <c r="V15" i="11"/>
  <c r="W14" i="11"/>
  <c r="S14" i="11"/>
  <c r="N14" i="11"/>
  <c r="Z14" i="11" s="1"/>
  <c r="V13" i="11"/>
  <c r="O12" i="11"/>
  <c r="O10" i="11" s="1"/>
  <c r="AE155" i="10"/>
  <c r="R154" i="10"/>
  <c r="Z153" i="10"/>
  <c r="V153" i="10"/>
  <c r="S152" i="10"/>
  <c r="N152" i="10"/>
  <c r="Z152" i="10" s="1"/>
  <c r="Z151" i="10"/>
  <c r="S150" i="10"/>
  <c r="N150" i="10"/>
  <c r="Z150" i="10" s="1"/>
  <c r="Z149" i="10"/>
  <c r="W149" i="10"/>
  <c r="V149" i="10"/>
  <c r="S148" i="10"/>
  <c r="T148" i="10" s="1"/>
  <c r="N148" i="10"/>
  <c r="W148" i="10" s="1"/>
  <c r="Z147" i="10"/>
  <c r="V147" i="10"/>
  <c r="Q146" i="10"/>
  <c r="S146" i="10" s="1"/>
  <c r="M146" i="10"/>
  <c r="L146" i="10"/>
  <c r="L133" i="10" s="1"/>
  <c r="Z145" i="10"/>
  <c r="V145" i="10"/>
  <c r="S144" i="10"/>
  <c r="U144" i="10" s="1"/>
  <c r="V144" i="10" s="1"/>
  <c r="N144" i="10"/>
  <c r="W144" i="10" s="1"/>
  <c r="S142" i="10"/>
  <c r="N142" i="10"/>
  <c r="X142" i="10" s="1"/>
  <c r="U141" i="10"/>
  <c r="V141" i="10" s="1"/>
  <c r="S141" i="10"/>
  <c r="N141" i="10"/>
  <c r="W141" i="10" s="1"/>
  <c r="S140" i="10"/>
  <c r="N140" i="10"/>
  <c r="X140" i="10" s="1"/>
  <c r="Q139" i="10"/>
  <c r="Q133" i="10" s="1"/>
  <c r="S133" i="10" s="1"/>
  <c r="M139" i="10"/>
  <c r="L139" i="10"/>
  <c r="Z138" i="10"/>
  <c r="V138" i="10"/>
  <c r="S137" i="10"/>
  <c r="N137" i="10"/>
  <c r="Z137" i="10" s="1"/>
  <c r="Z136" i="10"/>
  <c r="V136" i="10"/>
  <c r="S135" i="10"/>
  <c r="N135" i="10"/>
  <c r="Z135" i="10" s="1"/>
  <c r="Z132" i="10"/>
  <c r="V132" i="10"/>
  <c r="N131" i="10"/>
  <c r="X131" i="10" s="1"/>
  <c r="T130" i="10"/>
  <c r="Z129" i="10"/>
  <c r="S129" i="10"/>
  <c r="U129" i="10" s="1"/>
  <c r="V129" i="10" s="1"/>
  <c r="N129" i="10"/>
  <c r="W129" i="10" s="1"/>
  <c r="Z128" i="10"/>
  <c r="V128" i="10"/>
  <c r="S127" i="10"/>
  <c r="N127" i="10"/>
  <c r="X127" i="10" s="1"/>
  <c r="Q126" i="10"/>
  <c r="Q121" i="10" s="1"/>
  <c r="L126" i="10"/>
  <c r="S125" i="10"/>
  <c r="N125" i="10"/>
  <c r="X125" i="10" s="1"/>
  <c r="Q124" i="10"/>
  <c r="L124" i="10"/>
  <c r="X123" i="10"/>
  <c r="S123" i="10"/>
  <c r="N123" i="10"/>
  <c r="W123" i="10" s="1"/>
  <c r="Z122" i="10"/>
  <c r="V122" i="10"/>
  <c r="N122" i="10"/>
  <c r="M121" i="10"/>
  <c r="L121" i="10"/>
  <c r="Z120" i="10"/>
  <c r="V120" i="10"/>
  <c r="Z119" i="10"/>
  <c r="V119" i="10"/>
  <c r="Z117" i="10"/>
  <c r="S116" i="10"/>
  <c r="N116" i="10"/>
  <c r="X116" i="10" s="1"/>
  <c r="Z115" i="10"/>
  <c r="S114" i="10"/>
  <c r="N114" i="10"/>
  <c r="X114" i="10" s="1"/>
  <c r="Z113" i="10"/>
  <c r="S112" i="10"/>
  <c r="N112" i="10"/>
  <c r="Z112" i="10" s="1"/>
  <c r="Z111" i="10"/>
  <c r="S110" i="10"/>
  <c r="N110" i="10"/>
  <c r="Z110" i="10" s="1"/>
  <c r="Z109" i="10"/>
  <c r="Q108" i="10"/>
  <c r="L108" i="10"/>
  <c r="N108" i="10" s="1"/>
  <c r="Z107" i="10"/>
  <c r="V107" i="10"/>
  <c r="X106" i="10"/>
  <c r="S106" i="10"/>
  <c r="N106" i="10"/>
  <c r="W106" i="10" s="1"/>
  <c r="Z105" i="10"/>
  <c r="V105" i="10"/>
  <c r="S104" i="10"/>
  <c r="N104" i="10"/>
  <c r="X104" i="10" s="1"/>
  <c r="S102" i="10"/>
  <c r="N102" i="10"/>
  <c r="S100" i="10"/>
  <c r="N100" i="10"/>
  <c r="S98" i="10"/>
  <c r="T98" i="10" s="1"/>
  <c r="N98" i="10"/>
  <c r="S96" i="10"/>
  <c r="N96" i="10"/>
  <c r="S94" i="10"/>
  <c r="T94" i="10" s="1"/>
  <c r="N94" i="10"/>
  <c r="S92" i="10"/>
  <c r="N92" i="10"/>
  <c r="S90" i="10"/>
  <c r="N90" i="10"/>
  <c r="Q88" i="10"/>
  <c r="L88" i="10"/>
  <c r="N88" i="10" s="1"/>
  <c r="Z87" i="10"/>
  <c r="V87" i="10"/>
  <c r="M86" i="10"/>
  <c r="Z85" i="10"/>
  <c r="V85" i="10"/>
  <c r="S84" i="10"/>
  <c r="N84" i="10"/>
  <c r="Z84" i="10" s="1"/>
  <c r="Z83" i="10"/>
  <c r="V83" i="10"/>
  <c r="S82" i="10"/>
  <c r="N82" i="10"/>
  <c r="W82" i="10" s="1"/>
  <c r="Z81" i="10"/>
  <c r="V81" i="10"/>
  <c r="S80" i="10"/>
  <c r="N80" i="10"/>
  <c r="Z80" i="10" s="1"/>
  <c r="T78" i="10"/>
  <c r="S78" i="10"/>
  <c r="U78" i="10" s="1"/>
  <c r="N78" i="10"/>
  <c r="X78" i="10" s="1"/>
  <c r="S76" i="10"/>
  <c r="N76" i="10"/>
  <c r="X76" i="10" s="1"/>
  <c r="S74" i="10"/>
  <c r="N74" i="10"/>
  <c r="Z73" i="10"/>
  <c r="S73" i="10"/>
  <c r="U73" i="10" s="1"/>
  <c r="V73" i="10" s="1"/>
  <c r="Q72" i="10"/>
  <c r="S72" i="10" s="1"/>
  <c r="M72" i="10"/>
  <c r="L72" i="10"/>
  <c r="Z71" i="10"/>
  <c r="V71" i="10"/>
  <c r="S70" i="10"/>
  <c r="U70" i="10" s="1"/>
  <c r="V70" i="10" s="1"/>
  <c r="N70" i="10"/>
  <c r="Z70" i="10" s="1"/>
  <c r="S68" i="10"/>
  <c r="N68" i="10"/>
  <c r="X68" i="10" s="1"/>
  <c r="S66" i="10"/>
  <c r="T66" i="10" s="1"/>
  <c r="N66" i="10"/>
  <c r="S64" i="10"/>
  <c r="N64" i="10"/>
  <c r="S62" i="10"/>
  <c r="U62" i="10" s="1"/>
  <c r="N62" i="10"/>
  <c r="X62" i="10" s="1"/>
  <c r="Z61" i="10"/>
  <c r="V61" i="10"/>
  <c r="Q60" i="10"/>
  <c r="M60" i="10"/>
  <c r="L60" i="10"/>
  <c r="N60" i="10" s="1"/>
  <c r="Z59" i="10"/>
  <c r="V59" i="10"/>
  <c r="Z58" i="10"/>
  <c r="X58" i="10"/>
  <c r="W58" i="10"/>
  <c r="S58" i="10"/>
  <c r="T58" i="10" s="1"/>
  <c r="S56" i="10"/>
  <c r="N56" i="10"/>
  <c r="S54" i="10"/>
  <c r="N54" i="10"/>
  <c r="X54" i="10" s="1"/>
  <c r="Z53" i="10"/>
  <c r="V53" i="10"/>
  <c r="Q52" i="10"/>
  <c r="M52" i="10"/>
  <c r="L52" i="10"/>
  <c r="Z51" i="10"/>
  <c r="V51" i="10"/>
  <c r="S50" i="10"/>
  <c r="T50" i="10" s="1"/>
  <c r="N50" i="10"/>
  <c r="X50" i="10" s="1"/>
  <c r="Z49" i="10"/>
  <c r="V49" i="10"/>
  <c r="S48" i="10"/>
  <c r="T48" i="10" s="1"/>
  <c r="N48" i="10"/>
  <c r="W48" i="10" s="1"/>
  <c r="Z47" i="10"/>
  <c r="V47" i="10"/>
  <c r="S46" i="10"/>
  <c r="N46" i="10"/>
  <c r="X46" i="10" s="1"/>
  <c r="Z45" i="10"/>
  <c r="V45" i="10"/>
  <c r="S44" i="10"/>
  <c r="N44" i="10"/>
  <c r="X44" i="10" s="1"/>
  <c r="S42" i="10"/>
  <c r="N42" i="10"/>
  <c r="X42" i="10" s="1"/>
  <c r="Z41" i="10"/>
  <c r="V41" i="10"/>
  <c r="Q40" i="10"/>
  <c r="L40" i="10"/>
  <c r="N40" i="10" s="1"/>
  <c r="Z39" i="10"/>
  <c r="V39" i="10"/>
  <c r="S38" i="10"/>
  <c r="N38" i="10"/>
  <c r="W38" i="10" s="1"/>
  <c r="Z37" i="10"/>
  <c r="V37" i="10"/>
  <c r="S36" i="10"/>
  <c r="N36" i="10"/>
  <c r="W36" i="10" s="1"/>
  <c r="Z35" i="10"/>
  <c r="V35" i="10"/>
  <c r="S34" i="10"/>
  <c r="T34" i="10" s="1"/>
  <c r="S32" i="10"/>
  <c r="T32" i="10" s="1"/>
  <c r="S30" i="10"/>
  <c r="U30" i="10" s="1"/>
  <c r="Q28" i="10"/>
  <c r="N28" i="10"/>
  <c r="Z27" i="10"/>
  <c r="V27" i="10"/>
  <c r="S26" i="10"/>
  <c r="N26" i="10"/>
  <c r="U26" i="10" s="1"/>
  <c r="S24" i="10"/>
  <c r="T24" i="10" s="1"/>
  <c r="N24" i="10"/>
  <c r="Q22" i="10"/>
  <c r="N22" i="10"/>
  <c r="L22" i="10"/>
  <c r="Z21" i="10"/>
  <c r="V21" i="10"/>
  <c r="S20" i="10"/>
  <c r="N20" i="10"/>
  <c r="W20" i="10" s="1"/>
  <c r="Z19" i="10"/>
  <c r="V19" i="10"/>
  <c r="S18" i="10"/>
  <c r="N18" i="10"/>
  <c r="X18" i="10" s="1"/>
  <c r="Z17" i="10"/>
  <c r="V17" i="10"/>
  <c r="S16" i="10"/>
  <c r="N16" i="10"/>
  <c r="W16" i="10" s="1"/>
  <c r="Z15" i="10"/>
  <c r="V15" i="10"/>
  <c r="S14" i="10"/>
  <c r="N14" i="10"/>
  <c r="W14" i="10" s="1"/>
  <c r="V13" i="10"/>
  <c r="O12" i="10"/>
  <c r="O10" i="10" s="1"/>
  <c r="M12" i="10"/>
  <c r="M154" i="11" l="1"/>
  <c r="X14" i="10"/>
  <c r="T20" i="10"/>
  <c r="N72" i="10"/>
  <c r="T74" i="10"/>
  <c r="U114" i="10"/>
  <c r="T127" i="10"/>
  <c r="T14" i="11"/>
  <c r="T18" i="11"/>
  <c r="T26" i="11"/>
  <c r="U36" i="11"/>
  <c r="V36" i="11" s="1"/>
  <c r="T50" i="11"/>
  <c r="T74" i="11"/>
  <c r="Z82" i="11"/>
  <c r="Z84" i="11"/>
  <c r="U110" i="11"/>
  <c r="T127" i="11"/>
  <c r="N146" i="11"/>
  <c r="T148" i="11"/>
  <c r="Z152" i="11"/>
  <c r="T46" i="10"/>
  <c r="U54" i="10"/>
  <c r="W70" i="10"/>
  <c r="W80" i="10"/>
  <c r="L86" i="10"/>
  <c r="N86" i="10" s="1"/>
  <c r="S124" i="10"/>
  <c r="T131" i="10"/>
  <c r="U140" i="10"/>
  <c r="V140" i="10" s="1"/>
  <c r="U142" i="10"/>
  <c r="V142" i="10" s="1"/>
  <c r="N146" i="10"/>
  <c r="X14" i="11"/>
  <c r="Z16" i="11"/>
  <c r="X18" i="11"/>
  <c r="U20" i="11"/>
  <c r="V20" i="11" s="1"/>
  <c r="X22" i="11"/>
  <c r="X36" i="11"/>
  <c r="U38" i="11"/>
  <c r="V38" i="11" s="1"/>
  <c r="T66" i="11"/>
  <c r="W70" i="11"/>
  <c r="Z108" i="11"/>
  <c r="X123" i="11"/>
  <c r="X127" i="11"/>
  <c r="T141" i="11"/>
  <c r="T144" i="11"/>
  <c r="X148" i="11"/>
  <c r="W46" i="10"/>
  <c r="U56" i="10"/>
  <c r="X70" i="10"/>
  <c r="X80" i="10"/>
  <c r="T90" i="10"/>
  <c r="T102" i="10"/>
  <c r="T112" i="10"/>
  <c r="U116" i="10"/>
  <c r="N121" i="10"/>
  <c r="U131" i="10"/>
  <c r="X135" i="10"/>
  <c r="Z20" i="11"/>
  <c r="W38" i="11"/>
  <c r="T54" i="11"/>
  <c r="T62" i="11"/>
  <c r="Z70" i="11"/>
  <c r="T96" i="11"/>
  <c r="T106" i="11"/>
  <c r="N126" i="11"/>
  <c r="N139" i="11"/>
  <c r="X139" i="11" s="1"/>
  <c r="X141" i="11"/>
  <c r="X144" i="11"/>
  <c r="T106" i="10"/>
  <c r="N139" i="10"/>
  <c r="Z28" i="11"/>
  <c r="Z38" i="11"/>
  <c r="U56" i="11"/>
  <c r="T68" i="11"/>
  <c r="T84" i="11"/>
  <c r="U92" i="11"/>
  <c r="X106" i="11"/>
  <c r="Z126" i="11"/>
  <c r="U137" i="11"/>
  <c r="V137" i="11" s="1"/>
  <c r="T40" i="11"/>
  <c r="T90" i="11"/>
  <c r="U96" i="11"/>
  <c r="W80" i="11"/>
  <c r="T76" i="11"/>
  <c r="Z80" i="11"/>
  <c r="T82" i="11"/>
  <c r="N72" i="11"/>
  <c r="X72" i="11" s="1"/>
  <c r="U76" i="11"/>
  <c r="W82" i="11"/>
  <c r="Q121" i="11"/>
  <c r="W121" i="11" s="1"/>
  <c r="S126" i="11"/>
  <c r="U94" i="11"/>
  <c r="W60" i="11"/>
  <c r="T46" i="11"/>
  <c r="Z22" i="11"/>
  <c r="U26" i="11"/>
  <c r="U24" i="11"/>
  <c r="U42" i="11"/>
  <c r="T58" i="11"/>
  <c r="U64" i="11"/>
  <c r="U70" i="11"/>
  <c r="V70" i="11" s="1"/>
  <c r="U90" i="11"/>
  <c r="S124" i="11"/>
  <c r="U16" i="11"/>
  <c r="V16" i="11" s="1"/>
  <c r="T32" i="11"/>
  <c r="U68" i="11"/>
  <c r="U78" i="11"/>
  <c r="U135" i="11"/>
  <c r="V135" i="11" s="1"/>
  <c r="U148" i="11"/>
  <c r="V148" i="11" s="1"/>
  <c r="U152" i="11"/>
  <c r="U126" i="11"/>
  <c r="V126" i="11" s="1"/>
  <c r="Z52" i="11"/>
  <c r="W52" i="11"/>
  <c r="U52" i="11"/>
  <c r="V52" i="11" s="1"/>
  <c r="W28" i="11"/>
  <c r="U40" i="11"/>
  <c r="V40" i="11" s="1"/>
  <c r="Z60" i="11"/>
  <c r="U66" i="11"/>
  <c r="U14" i="11"/>
  <c r="V14" i="11" s="1"/>
  <c r="W16" i="11"/>
  <c r="U18" i="11"/>
  <c r="V18" i="11" s="1"/>
  <c r="W20" i="11"/>
  <c r="S22" i="11"/>
  <c r="T22" i="11" s="1"/>
  <c r="W22" i="11"/>
  <c r="X28" i="11"/>
  <c r="U30" i="11"/>
  <c r="Z50" i="11"/>
  <c r="U50" i="11"/>
  <c r="V50" i="11" s="1"/>
  <c r="W50" i="11"/>
  <c r="X50" i="11"/>
  <c r="T60" i="11"/>
  <c r="U62" i="11"/>
  <c r="U82" i="11"/>
  <c r="V82" i="11" s="1"/>
  <c r="S88" i="11"/>
  <c r="T94" i="11"/>
  <c r="U98" i="11"/>
  <c r="T98" i="11"/>
  <c r="U102" i="11"/>
  <c r="T102" i="11"/>
  <c r="X146" i="11"/>
  <c r="M10" i="11"/>
  <c r="S28" i="11"/>
  <c r="T28" i="11" s="1"/>
  <c r="T52" i="11"/>
  <c r="U54" i="11"/>
  <c r="X60" i="11"/>
  <c r="N88" i="11"/>
  <c r="Z88" i="11" s="1"/>
  <c r="L86" i="11"/>
  <c r="N86" i="11" s="1"/>
  <c r="Q12" i="11"/>
  <c r="U34" i="11"/>
  <c r="Z40" i="11"/>
  <c r="T42" i="11"/>
  <c r="U44" i="11"/>
  <c r="V44" i="11" s="1"/>
  <c r="W48" i="11"/>
  <c r="Z48" i="11"/>
  <c r="U48" i="11"/>
  <c r="V48" i="11" s="1"/>
  <c r="X48" i="11"/>
  <c r="U60" i="11"/>
  <c r="V60" i="11" s="1"/>
  <c r="W72" i="11"/>
  <c r="S72" i="11"/>
  <c r="T78" i="11"/>
  <c r="U80" i="11"/>
  <c r="V80" i="11" s="1"/>
  <c r="T92" i="11"/>
  <c r="X121" i="11"/>
  <c r="Z139" i="11"/>
  <c r="T146" i="11"/>
  <c r="Z46" i="11"/>
  <c r="U46" i="11"/>
  <c r="V46" i="11" s="1"/>
  <c r="W46" i="11"/>
  <c r="X46" i="11"/>
  <c r="X52" i="11"/>
  <c r="U100" i="11"/>
  <c r="T100" i="11"/>
  <c r="Z104" i="11"/>
  <c r="U104" i="11"/>
  <c r="V104" i="11" s="1"/>
  <c r="X104" i="11"/>
  <c r="T104" i="11"/>
  <c r="W104" i="11"/>
  <c r="X112" i="11"/>
  <c r="U112" i="11"/>
  <c r="T112" i="11"/>
  <c r="Z112" i="11"/>
  <c r="W146" i="11"/>
  <c r="Z146" i="11"/>
  <c r="U146" i="11"/>
  <c r="V146" i="11" s="1"/>
  <c r="U84" i="11"/>
  <c r="V84" i="11" s="1"/>
  <c r="U106" i="11"/>
  <c r="V106" i="11" s="1"/>
  <c r="Z106" i="11"/>
  <c r="T114" i="11"/>
  <c r="U116" i="11"/>
  <c r="U123" i="11"/>
  <c r="V123" i="11" s="1"/>
  <c r="Z123" i="11"/>
  <c r="U125" i="11"/>
  <c r="V125" i="11" s="1"/>
  <c r="U129" i="11"/>
  <c r="V129" i="11" s="1"/>
  <c r="Z129" i="11"/>
  <c r="L133" i="11"/>
  <c r="N133" i="11" s="1"/>
  <c r="X133" i="11" s="1"/>
  <c r="S133" i="11"/>
  <c r="T133" i="11" s="1"/>
  <c r="X135" i="11"/>
  <c r="S139" i="11"/>
  <c r="U139" i="11" s="1"/>
  <c r="V139" i="11" s="1"/>
  <c r="W139" i="11"/>
  <c r="Z140" i="11"/>
  <c r="U141" i="11"/>
  <c r="V141" i="11" s="1"/>
  <c r="Z141" i="11"/>
  <c r="U142" i="11"/>
  <c r="V142" i="11" s="1"/>
  <c r="U144" i="11"/>
  <c r="V144" i="11" s="1"/>
  <c r="Z144" i="11"/>
  <c r="W150" i="11"/>
  <c r="X108" i="11"/>
  <c r="X116" i="11"/>
  <c r="T135" i="11"/>
  <c r="Z135" i="11"/>
  <c r="U140" i="11"/>
  <c r="V140" i="11" s="1"/>
  <c r="T150" i="11"/>
  <c r="X150" i="11"/>
  <c r="S108" i="11"/>
  <c r="T108" i="11" s="1"/>
  <c r="N124" i="11"/>
  <c r="U124" i="11" s="1"/>
  <c r="V124" i="11" s="1"/>
  <c r="U150" i="11"/>
  <c r="V150" i="11" s="1"/>
  <c r="Z18" i="10"/>
  <c r="X36" i="10"/>
  <c r="Z44" i="10"/>
  <c r="X48" i="10"/>
  <c r="W60" i="10"/>
  <c r="W84" i="10"/>
  <c r="L118" i="10"/>
  <c r="U123" i="10"/>
  <c r="V123" i="10" s="1"/>
  <c r="Z125" i="10"/>
  <c r="T135" i="10"/>
  <c r="Z144" i="10"/>
  <c r="X150" i="10"/>
  <c r="Z14" i="10"/>
  <c r="U18" i="10"/>
  <c r="V18" i="10" s="1"/>
  <c r="W22" i="10"/>
  <c r="T26" i="10"/>
  <c r="X28" i="10"/>
  <c r="Z36" i="10"/>
  <c r="T38" i="10"/>
  <c r="U44" i="10"/>
  <c r="V44" i="10" s="1"/>
  <c r="Z48" i="10"/>
  <c r="L12" i="10"/>
  <c r="N12" i="10" s="1"/>
  <c r="X84" i="10"/>
  <c r="U14" i="10"/>
  <c r="V14" i="10" s="1"/>
  <c r="W18" i="10"/>
  <c r="S28" i="10"/>
  <c r="T28" i="10" s="1"/>
  <c r="U34" i="10"/>
  <c r="U36" i="10"/>
  <c r="V36" i="10" s="1"/>
  <c r="X40" i="10"/>
  <c r="U42" i="10"/>
  <c r="T44" i="10"/>
  <c r="W50" i="10"/>
  <c r="T56" i="10"/>
  <c r="T64" i="10"/>
  <c r="T68" i="10"/>
  <c r="T76" i="10"/>
  <c r="T82" i="10"/>
  <c r="U84" i="10"/>
  <c r="V84" i="10" s="1"/>
  <c r="X88" i="10"/>
  <c r="T92" i="10"/>
  <c r="T96" i="10"/>
  <c r="T100" i="10"/>
  <c r="T104" i="10"/>
  <c r="Z106" i="10"/>
  <c r="T110" i="10"/>
  <c r="Z114" i="10"/>
  <c r="T116" i="10"/>
  <c r="Z123" i="10"/>
  <c r="Z140" i="10"/>
  <c r="Z141" i="10"/>
  <c r="T150" i="10"/>
  <c r="T16" i="10"/>
  <c r="T42" i="10"/>
  <c r="U48" i="10"/>
  <c r="V48" i="10" s="1"/>
  <c r="N52" i="10"/>
  <c r="W52" i="10" s="1"/>
  <c r="U80" i="10"/>
  <c r="V80" i="10" s="1"/>
  <c r="T84" i="10"/>
  <c r="W104" i="10"/>
  <c r="U106" i="10"/>
  <c r="V106" i="10" s="1"/>
  <c r="X108" i="10"/>
  <c r="T123" i="10"/>
  <c r="U125" i="10"/>
  <c r="V125" i="10" s="1"/>
  <c r="Z139" i="10"/>
  <c r="W150" i="10"/>
  <c r="T152" i="10"/>
  <c r="S139" i="10"/>
  <c r="AF142" i="10" s="1"/>
  <c r="Q118" i="10"/>
  <c r="S118" i="10" s="1"/>
  <c r="S121" i="10"/>
  <c r="T121" i="10" s="1"/>
  <c r="S126" i="10"/>
  <c r="Q86" i="10"/>
  <c r="S86" i="10" s="1"/>
  <c r="T86" i="10" s="1"/>
  <c r="S88" i="10"/>
  <c r="T88" i="10" s="1"/>
  <c r="T80" i="10"/>
  <c r="U74" i="10"/>
  <c r="T62" i="10"/>
  <c r="W28" i="10"/>
  <c r="U24" i="10"/>
  <c r="U28" i="10"/>
  <c r="V28" i="10" s="1"/>
  <c r="U32" i="10"/>
  <c r="U68" i="10"/>
  <c r="T36" i="10"/>
  <c r="T54" i="10"/>
  <c r="U66" i="10"/>
  <c r="T70" i="10"/>
  <c r="U92" i="10"/>
  <c r="U96" i="10"/>
  <c r="U100" i="10"/>
  <c r="U112" i="10"/>
  <c r="T14" i="10"/>
  <c r="T18" i="10"/>
  <c r="T30" i="10"/>
  <c r="U64" i="10"/>
  <c r="U90" i="10"/>
  <c r="U94" i="10"/>
  <c r="U98" i="10"/>
  <c r="U102" i="10"/>
  <c r="T114" i="10"/>
  <c r="U135" i="10"/>
  <c r="V135" i="10" s="1"/>
  <c r="Z121" i="10"/>
  <c r="U121" i="10"/>
  <c r="V121" i="10" s="1"/>
  <c r="X121" i="10"/>
  <c r="W121" i="10"/>
  <c r="Z146" i="10"/>
  <c r="U146" i="10"/>
  <c r="V146" i="10" s="1"/>
  <c r="X146" i="10"/>
  <c r="W146" i="10"/>
  <c r="T146" i="10"/>
  <c r="X139" i="10"/>
  <c r="U139" i="10"/>
  <c r="V139" i="10" s="1"/>
  <c r="W139" i="10"/>
  <c r="W88" i="10"/>
  <c r="T72" i="10"/>
  <c r="X72" i="10"/>
  <c r="W72" i="10"/>
  <c r="U72" i="10"/>
  <c r="V72" i="10" s="1"/>
  <c r="X66" i="10"/>
  <c r="X110" i="10"/>
  <c r="X152" i="10"/>
  <c r="Z20" i="10"/>
  <c r="Z22" i="10"/>
  <c r="U38" i="10"/>
  <c r="V38" i="10" s="1"/>
  <c r="Z38" i="10"/>
  <c r="X56" i="10"/>
  <c r="Z60" i="10"/>
  <c r="X64" i="10"/>
  <c r="X74" i="10"/>
  <c r="U76" i="10"/>
  <c r="U82" i="10"/>
  <c r="V82" i="10" s="1"/>
  <c r="Z82" i="10"/>
  <c r="U110" i="10"/>
  <c r="X112" i="10"/>
  <c r="U127" i="10"/>
  <c r="V127" i="10" s="1"/>
  <c r="T129" i="10"/>
  <c r="X129" i="10"/>
  <c r="T141" i="10"/>
  <c r="X141" i="10"/>
  <c r="T142" i="10"/>
  <c r="Z142" i="10"/>
  <c r="T144" i="10"/>
  <c r="X144" i="10"/>
  <c r="U148" i="10"/>
  <c r="V148" i="10" s="1"/>
  <c r="Z148" i="10"/>
  <c r="U152" i="10"/>
  <c r="X16" i="10"/>
  <c r="X20" i="10"/>
  <c r="X22" i="10"/>
  <c r="Z28" i="10"/>
  <c r="X38" i="10"/>
  <c r="Z40" i="10"/>
  <c r="U46" i="10"/>
  <c r="V46" i="10" s="1"/>
  <c r="Z46" i="10"/>
  <c r="U50" i="10"/>
  <c r="V50" i="10" s="1"/>
  <c r="Z50" i="10"/>
  <c r="U58" i="10"/>
  <c r="V58" i="10" s="1"/>
  <c r="X60" i="10"/>
  <c r="Z72" i="10"/>
  <c r="X82" i="10"/>
  <c r="Z88" i="10"/>
  <c r="U104" i="10"/>
  <c r="V104" i="10" s="1"/>
  <c r="Z104" i="10"/>
  <c r="S108" i="10"/>
  <c r="T108" i="10" s="1"/>
  <c r="Z108" i="10"/>
  <c r="Z116" i="10"/>
  <c r="N124" i="10"/>
  <c r="Z124" i="10" s="1"/>
  <c r="Z127" i="10"/>
  <c r="U137" i="10"/>
  <c r="V137" i="10" s="1"/>
  <c r="X148" i="10"/>
  <c r="U150" i="10"/>
  <c r="V150" i="10" s="1"/>
  <c r="X137" i="10"/>
  <c r="U16" i="10"/>
  <c r="V16" i="10" s="1"/>
  <c r="Z16" i="10"/>
  <c r="U20" i="10"/>
  <c r="V20" i="10" s="1"/>
  <c r="S22" i="10"/>
  <c r="T22" i="10" s="1"/>
  <c r="S40" i="10"/>
  <c r="T40" i="10" s="1"/>
  <c r="S52" i="10"/>
  <c r="S60" i="10"/>
  <c r="T60" i="10" s="1"/>
  <c r="N126" i="10"/>
  <c r="M133" i="10"/>
  <c r="M118" i="10" s="1"/>
  <c r="Z72" i="11" l="1"/>
  <c r="Z121" i="11"/>
  <c r="T126" i="11"/>
  <c r="U86" i="10"/>
  <c r="V86" i="10" s="1"/>
  <c r="L10" i="10"/>
  <c r="T72" i="11"/>
  <c r="W88" i="11"/>
  <c r="L12" i="11"/>
  <c r="N12" i="11" s="1"/>
  <c r="W12" i="11" s="1"/>
  <c r="S121" i="11"/>
  <c r="Q118" i="11"/>
  <c r="U108" i="11"/>
  <c r="U133" i="11"/>
  <c r="V133" i="11" s="1"/>
  <c r="X124" i="11"/>
  <c r="Q10" i="11"/>
  <c r="S12" i="11"/>
  <c r="U72" i="11"/>
  <c r="V72" i="11" s="1"/>
  <c r="T124" i="11"/>
  <c r="U22" i="11"/>
  <c r="V22" i="11" s="1"/>
  <c r="L118" i="11"/>
  <c r="N118" i="11" s="1"/>
  <c r="Z124" i="11"/>
  <c r="Z133" i="11"/>
  <c r="Z86" i="11"/>
  <c r="W86" i="11"/>
  <c r="S86" i="11"/>
  <c r="T86" i="11" s="1"/>
  <c r="X86" i="11"/>
  <c r="U28" i="11"/>
  <c r="V28" i="11" s="1"/>
  <c r="U88" i="11"/>
  <c r="V88" i="11" s="1"/>
  <c r="X88" i="11"/>
  <c r="T139" i="11"/>
  <c r="AF142" i="11"/>
  <c r="W133" i="11"/>
  <c r="T88" i="11"/>
  <c r="T52" i="10"/>
  <c r="L154" i="10"/>
  <c r="X52" i="10"/>
  <c r="Z52" i="10"/>
  <c r="T139" i="10"/>
  <c r="Z86" i="10"/>
  <c r="Q12" i="10"/>
  <c r="S12" i="10" s="1"/>
  <c r="U12" i="10" s="1"/>
  <c r="V12" i="10" s="1"/>
  <c r="X86" i="10"/>
  <c r="U88" i="10"/>
  <c r="V88" i="10" s="1"/>
  <c r="W86" i="10"/>
  <c r="U60" i="10"/>
  <c r="V60" i="10" s="1"/>
  <c r="U22" i="10"/>
  <c r="V22" i="10" s="1"/>
  <c r="U108" i="10"/>
  <c r="M10" i="10"/>
  <c r="M154" i="10"/>
  <c r="N118" i="10"/>
  <c r="U124" i="10"/>
  <c r="V124" i="10" s="1"/>
  <c r="X124" i="10"/>
  <c r="U126" i="10"/>
  <c r="V126" i="10" s="1"/>
  <c r="T126" i="10"/>
  <c r="Z126" i="10"/>
  <c r="U40" i="10"/>
  <c r="V40" i="10" s="1"/>
  <c r="N133" i="10"/>
  <c r="T124" i="10"/>
  <c r="U52" i="10"/>
  <c r="V52" i="10" s="1"/>
  <c r="AE155" i="9"/>
  <c r="R154" i="9"/>
  <c r="Z153" i="9"/>
  <c r="V153" i="9"/>
  <c r="S152" i="9"/>
  <c r="N152" i="9"/>
  <c r="X152" i="9" s="1"/>
  <c r="Z151" i="9"/>
  <c r="S150" i="9"/>
  <c r="N150" i="9"/>
  <c r="W150" i="9" s="1"/>
  <c r="Z149" i="9"/>
  <c r="W149" i="9"/>
  <c r="V149" i="9"/>
  <c r="S148" i="9"/>
  <c r="N148" i="9"/>
  <c r="X148" i="9" s="1"/>
  <c r="Z147" i="9"/>
  <c r="V147" i="9"/>
  <c r="Q146" i="9"/>
  <c r="S146" i="9" s="1"/>
  <c r="M146" i="9"/>
  <c r="L146" i="9"/>
  <c r="Z145" i="9"/>
  <c r="V145" i="9"/>
  <c r="S144" i="9"/>
  <c r="N144" i="9"/>
  <c r="Z144" i="9" s="1"/>
  <c r="S142" i="9"/>
  <c r="N142" i="9"/>
  <c r="S141" i="9"/>
  <c r="N141" i="9"/>
  <c r="Z141" i="9" s="1"/>
  <c r="S140" i="9"/>
  <c r="N140" i="9"/>
  <c r="Z140" i="9" s="1"/>
  <c r="Q139" i="9"/>
  <c r="M139" i="9"/>
  <c r="L139" i="9"/>
  <c r="Z138" i="9"/>
  <c r="V138" i="9"/>
  <c r="S137" i="9"/>
  <c r="N137" i="9"/>
  <c r="X137" i="9" s="1"/>
  <c r="Z136" i="9"/>
  <c r="V136" i="9"/>
  <c r="S135" i="9"/>
  <c r="N135" i="9"/>
  <c r="X135" i="9" s="1"/>
  <c r="Z132" i="9"/>
  <c r="V132" i="9"/>
  <c r="N131" i="9"/>
  <c r="X131" i="9" s="1"/>
  <c r="T130" i="9"/>
  <c r="S129" i="9"/>
  <c r="N129" i="9"/>
  <c r="Z129" i="9" s="1"/>
  <c r="Z128" i="9"/>
  <c r="V128" i="9"/>
  <c r="S127" i="9"/>
  <c r="N127" i="9"/>
  <c r="Z127" i="9" s="1"/>
  <c r="Q126" i="9"/>
  <c r="S126" i="9" s="1"/>
  <c r="L126" i="9"/>
  <c r="S125" i="9"/>
  <c r="N125" i="9"/>
  <c r="X125" i="9" s="1"/>
  <c r="Q124" i="9"/>
  <c r="L124" i="9"/>
  <c r="S123" i="9"/>
  <c r="N123" i="9"/>
  <c r="Z123" i="9" s="1"/>
  <c r="V122" i="9"/>
  <c r="N122" i="9"/>
  <c r="Z122" i="9" s="1"/>
  <c r="M121" i="9"/>
  <c r="L121" i="9"/>
  <c r="Z120" i="9"/>
  <c r="V120" i="9"/>
  <c r="Z119" i="9"/>
  <c r="V119" i="9"/>
  <c r="Z117" i="9"/>
  <c r="S116" i="9"/>
  <c r="N116" i="9"/>
  <c r="Z115" i="9"/>
  <c r="S114" i="9"/>
  <c r="N114" i="9"/>
  <c r="X114" i="9" s="1"/>
  <c r="Z113" i="9"/>
  <c r="S112" i="9"/>
  <c r="T112" i="9" s="1"/>
  <c r="N112" i="9"/>
  <c r="Z112" i="9" s="1"/>
  <c r="Z111" i="9"/>
  <c r="S110" i="9"/>
  <c r="N110" i="9"/>
  <c r="X110" i="9" s="1"/>
  <c r="Z109" i="9"/>
  <c r="Q108" i="9"/>
  <c r="L108" i="9"/>
  <c r="N108" i="9" s="1"/>
  <c r="Z107" i="9"/>
  <c r="V107" i="9"/>
  <c r="S106" i="9"/>
  <c r="N106" i="9"/>
  <c r="Z106" i="9" s="1"/>
  <c r="Z105" i="9"/>
  <c r="V105" i="9"/>
  <c r="S104" i="9"/>
  <c r="N104" i="9"/>
  <c r="W104" i="9" s="1"/>
  <c r="S102" i="9"/>
  <c r="N102" i="9"/>
  <c r="S100" i="9"/>
  <c r="N100" i="9"/>
  <c r="S98" i="9"/>
  <c r="N98" i="9"/>
  <c r="S96" i="9"/>
  <c r="N96" i="9"/>
  <c r="S94" i="9"/>
  <c r="N94" i="9"/>
  <c r="S92" i="9"/>
  <c r="N92" i="9"/>
  <c r="S90" i="9"/>
  <c r="N90" i="9"/>
  <c r="Q88" i="9"/>
  <c r="Q86" i="9" s="1"/>
  <c r="L88" i="9"/>
  <c r="L86" i="9" s="1"/>
  <c r="Z87" i="9"/>
  <c r="V87" i="9"/>
  <c r="M86" i="9"/>
  <c r="Z85" i="9"/>
  <c r="V85" i="9"/>
  <c r="S84" i="9"/>
  <c r="N84" i="9"/>
  <c r="Z84" i="9" s="1"/>
  <c r="Z83" i="9"/>
  <c r="V83" i="9"/>
  <c r="S82" i="9"/>
  <c r="N82" i="9"/>
  <c r="X82" i="9" s="1"/>
  <c r="Z81" i="9"/>
  <c r="V81" i="9"/>
  <c r="S80" i="9"/>
  <c r="N80" i="9"/>
  <c r="W80" i="9" s="1"/>
  <c r="S78" i="9"/>
  <c r="N78" i="9"/>
  <c r="S76" i="9"/>
  <c r="N76" i="9"/>
  <c r="X76" i="9" s="1"/>
  <c r="S74" i="9"/>
  <c r="N74" i="9"/>
  <c r="Z73" i="9"/>
  <c r="S73" i="9"/>
  <c r="U73" i="9" s="1"/>
  <c r="V73" i="9" s="1"/>
  <c r="Q72" i="9"/>
  <c r="M72" i="9"/>
  <c r="L72" i="9"/>
  <c r="Z71" i="9"/>
  <c r="V71" i="9"/>
  <c r="S70" i="9"/>
  <c r="N70" i="9"/>
  <c r="Z70" i="9" s="1"/>
  <c r="S68" i="9"/>
  <c r="N68" i="9"/>
  <c r="S66" i="9"/>
  <c r="N66" i="9"/>
  <c r="X66" i="9" s="1"/>
  <c r="S64" i="9"/>
  <c r="N64" i="9"/>
  <c r="S62" i="9"/>
  <c r="N62" i="9"/>
  <c r="X62" i="9" s="1"/>
  <c r="Z61" i="9"/>
  <c r="V61" i="9"/>
  <c r="Q60" i="9"/>
  <c r="S60" i="9" s="1"/>
  <c r="M60" i="9"/>
  <c r="L60" i="9"/>
  <c r="N60" i="9" s="1"/>
  <c r="Z59" i="9"/>
  <c r="V59" i="9"/>
  <c r="Z58" i="9"/>
  <c r="X58" i="9"/>
  <c r="W58" i="9"/>
  <c r="S58" i="9"/>
  <c r="U58" i="9" s="1"/>
  <c r="V58" i="9" s="1"/>
  <c r="S56" i="9"/>
  <c r="N56" i="9"/>
  <c r="S54" i="9"/>
  <c r="N54" i="9"/>
  <c r="X54" i="9" s="1"/>
  <c r="Z53" i="9"/>
  <c r="V53" i="9"/>
  <c r="Q52" i="9"/>
  <c r="S52" i="9" s="1"/>
  <c r="M52" i="9"/>
  <c r="L52" i="9"/>
  <c r="Z51" i="9"/>
  <c r="V51" i="9"/>
  <c r="S50" i="9"/>
  <c r="N50" i="9"/>
  <c r="W50" i="9" s="1"/>
  <c r="Z49" i="9"/>
  <c r="V49" i="9"/>
  <c r="S48" i="9"/>
  <c r="N48" i="9"/>
  <c r="Z48" i="9" s="1"/>
  <c r="Z47" i="9"/>
  <c r="V47" i="9"/>
  <c r="S46" i="9"/>
  <c r="T46" i="9" s="1"/>
  <c r="N46" i="9"/>
  <c r="W46" i="9" s="1"/>
  <c r="Z45" i="9"/>
  <c r="V45" i="9"/>
  <c r="S44" i="9"/>
  <c r="N44" i="9"/>
  <c r="U44" i="9" s="1"/>
  <c r="V44" i="9" s="1"/>
  <c r="S42" i="9"/>
  <c r="N42" i="9"/>
  <c r="Z41" i="9"/>
  <c r="V41" i="9"/>
  <c r="Q40" i="9"/>
  <c r="S40" i="9" s="1"/>
  <c r="L40" i="9"/>
  <c r="N40" i="9" s="1"/>
  <c r="Z39" i="9"/>
  <c r="V39" i="9"/>
  <c r="S38" i="9"/>
  <c r="N38" i="9"/>
  <c r="X38" i="9" s="1"/>
  <c r="Z37" i="9"/>
  <c r="V37" i="9"/>
  <c r="S36" i="9"/>
  <c r="N36" i="9"/>
  <c r="X36" i="9" s="1"/>
  <c r="Z35" i="9"/>
  <c r="V35" i="9"/>
  <c r="S34" i="9"/>
  <c r="T34" i="9" s="1"/>
  <c r="S32" i="9"/>
  <c r="T32" i="9" s="1"/>
  <c r="S30" i="9"/>
  <c r="T30" i="9" s="1"/>
  <c r="Q28" i="9"/>
  <c r="N28" i="9"/>
  <c r="Z27" i="9"/>
  <c r="V27" i="9"/>
  <c r="S26" i="9"/>
  <c r="N26" i="9"/>
  <c r="S24" i="9"/>
  <c r="N24" i="9"/>
  <c r="Q22" i="9"/>
  <c r="L22" i="9"/>
  <c r="N22" i="9" s="1"/>
  <c r="Z21" i="9"/>
  <c r="V21" i="9"/>
  <c r="S20" i="9"/>
  <c r="N20" i="9"/>
  <c r="X20" i="9" s="1"/>
  <c r="Z19" i="9"/>
  <c r="V19" i="9"/>
  <c r="S18" i="9"/>
  <c r="N18" i="9"/>
  <c r="W18" i="9" s="1"/>
  <c r="Z17" i="9"/>
  <c r="V17" i="9"/>
  <c r="S16" i="9"/>
  <c r="N16" i="9"/>
  <c r="X16" i="9" s="1"/>
  <c r="Z15" i="9"/>
  <c r="V15" i="9"/>
  <c r="S14" i="9"/>
  <c r="N14" i="9"/>
  <c r="Z14" i="9" s="1"/>
  <c r="V13" i="9"/>
  <c r="O12" i="9"/>
  <c r="O10" i="9" s="1"/>
  <c r="L154" i="11" l="1"/>
  <c r="T62" i="9"/>
  <c r="W28" i="9"/>
  <c r="W38" i="9"/>
  <c r="T92" i="9"/>
  <c r="T104" i="9"/>
  <c r="Z38" i="9"/>
  <c r="X104" i="9"/>
  <c r="T26" i="9"/>
  <c r="T54" i="9"/>
  <c r="T100" i="9"/>
  <c r="T38" i="9"/>
  <c r="Q10" i="10"/>
  <c r="S10" i="10" s="1"/>
  <c r="W82" i="9"/>
  <c r="X108" i="9"/>
  <c r="N121" i="9"/>
  <c r="L10" i="11"/>
  <c r="X12" i="11"/>
  <c r="S118" i="11"/>
  <c r="T118" i="11" s="1"/>
  <c r="Q154" i="11"/>
  <c r="T121" i="11"/>
  <c r="U121" i="11"/>
  <c r="V121" i="11" s="1"/>
  <c r="U86" i="11"/>
  <c r="V86" i="11" s="1"/>
  <c r="S10" i="11"/>
  <c r="X10" i="11"/>
  <c r="U12" i="11"/>
  <c r="V12" i="11" s="1"/>
  <c r="N10" i="11"/>
  <c r="N154" i="11"/>
  <c r="Z118" i="11"/>
  <c r="W118" i="11"/>
  <c r="X118" i="11"/>
  <c r="T12" i="11"/>
  <c r="T94" i="9"/>
  <c r="T148" i="9"/>
  <c r="U18" i="9"/>
  <c r="V18" i="9" s="1"/>
  <c r="X44" i="9"/>
  <c r="T56" i="9"/>
  <c r="T76" i="9"/>
  <c r="T80" i="9"/>
  <c r="Z137" i="9"/>
  <c r="M133" i="9"/>
  <c r="M118" i="9" s="1"/>
  <c r="U140" i="9"/>
  <c r="V140" i="9" s="1"/>
  <c r="W148" i="9"/>
  <c r="T24" i="9"/>
  <c r="T64" i="9"/>
  <c r="T90" i="9"/>
  <c r="T98" i="9"/>
  <c r="W20" i="9"/>
  <c r="W36" i="9"/>
  <c r="M12" i="9"/>
  <c r="U74" i="9"/>
  <c r="X80" i="9"/>
  <c r="Z114" i="9"/>
  <c r="U125" i="9"/>
  <c r="V125" i="9" s="1"/>
  <c r="L133" i="9"/>
  <c r="Z148" i="9"/>
  <c r="L118" i="9"/>
  <c r="T44" i="9"/>
  <c r="X12" i="10"/>
  <c r="W12" i="10"/>
  <c r="Q154" i="10"/>
  <c r="N154" i="10"/>
  <c r="U118" i="10"/>
  <c r="V118" i="10" s="1"/>
  <c r="W118" i="10"/>
  <c r="X118" i="10"/>
  <c r="T118" i="10"/>
  <c r="Z118" i="10"/>
  <c r="X133" i="10"/>
  <c r="U133" i="10"/>
  <c r="V133" i="10" s="1"/>
  <c r="W133" i="10"/>
  <c r="Z133" i="10"/>
  <c r="T133" i="10"/>
  <c r="S154" i="10"/>
  <c r="T12" i="10"/>
  <c r="N10" i="10"/>
  <c r="T102" i="9"/>
  <c r="U96" i="9"/>
  <c r="U14" i="9"/>
  <c r="V14" i="9" s="1"/>
  <c r="W16" i="9"/>
  <c r="X18" i="9"/>
  <c r="X22" i="9"/>
  <c r="Z36" i="9"/>
  <c r="T40" i="9"/>
  <c r="T50" i="9"/>
  <c r="L12" i="9"/>
  <c r="W70" i="9"/>
  <c r="T74" i="9"/>
  <c r="U84" i="9"/>
  <c r="V84" i="9" s="1"/>
  <c r="T96" i="9"/>
  <c r="Z110" i="9"/>
  <c r="W14" i="9"/>
  <c r="Z16" i="9"/>
  <c r="T18" i="9"/>
  <c r="Z18" i="9"/>
  <c r="T20" i="9"/>
  <c r="X28" i="9"/>
  <c r="T36" i="9"/>
  <c r="Z44" i="9"/>
  <c r="X50" i="9"/>
  <c r="X70" i="9"/>
  <c r="N72" i="9"/>
  <c r="Z80" i="9"/>
  <c r="T82" i="9"/>
  <c r="W84" i="9"/>
  <c r="N86" i="9"/>
  <c r="W86" i="9" s="1"/>
  <c r="Q121" i="9"/>
  <c r="S121" i="9" s="1"/>
  <c r="T121" i="9" s="1"/>
  <c r="N126" i="9"/>
  <c r="T126" i="9" s="1"/>
  <c r="T127" i="9"/>
  <c r="T131" i="9"/>
  <c r="X14" i="9"/>
  <c r="X84" i="9"/>
  <c r="X127" i="9"/>
  <c r="U131" i="9"/>
  <c r="T135" i="9"/>
  <c r="T14" i="9"/>
  <c r="T16" i="9"/>
  <c r="Z20" i="9"/>
  <c r="U30" i="9"/>
  <c r="Z40" i="9"/>
  <c r="X46" i="9"/>
  <c r="U64" i="9"/>
  <c r="T66" i="9"/>
  <c r="T70" i="9"/>
  <c r="Z82" i="9"/>
  <c r="T84" i="9"/>
  <c r="T110" i="9"/>
  <c r="T114" i="9"/>
  <c r="Z125" i="9"/>
  <c r="Q133" i="9"/>
  <c r="Z135" i="9"/>
  <c r="N139" i="9"/>
  <c r="W139" i="9" s="1"/>
  <c r="N146" i="9"/>
  <c r="T146" i="9" s="1"/>
  <c r="T150" i="9"/>
  <c r="T152" i="9"/>
  <c r="X150" i="9"/>
  <c r="Z152" i="9"/>
  <c r="U114" i="9"/>
  <c r="U62" i="9"/>
  <c r="U54" i="9"/>
  <c r="X40" i="9"/>
  <c r="U36" i="9"/>
  <c r="V36" i="9" s="1"/>
  <c r="Z22" i="9"/>
  <c r="W22" i="9"/>
  <c r="S22" i="9"/>
  <c r="T22" i="9" s="1"/>
  <c r="U42" i="9"/>
  <c r="U90" i="9"/>
  <c r="U98" i="9"/>
  <c r="U32" i="9"/>
  <c r="U92" i="9"/>
  <c r="U100" i="9"/>
  <c r="U116" i="9"/>
  <c r="U40" i="9"/>
  <c r="V40" i="9" s="1"/>
  <c r="U56" i="9"/>
  <c r="T58" i="9"/>
  <c r="U68" i="9"/>
  <c r="U70" i="9"/>
  <c r="V70" i="9" s="1"/>
  <c r="U78" i="9"/>
  <c r="U80" i="9"/>
  <c r="V80" i="9" s="1"/>
  <c r="U94" i="9"/>
  <c r="U102" i="9"/>
  <c r="U142" i="9"/>
  <c r="V142" i="9" s="1"/>
  <c r="W60" i="9"/>
  <c r="Z60" i="9"/>
  <c r="U60" i="9"/>
  <c r="V60" i="9" s="1"/>
  <c r="X72" i="9"/>
  <c r="T60" i="9"/>
  <c r="X139" i="9"/>
  <c r="X60" i="9"/>
  <c r="W72" i="9"/>
  <c r="U16" i="9"/>
  <c r="V16" i="9" s="1"/>
  <c r="U20" i="9"/>
  <c r="V20" i="9" s="1"/>
  <c r="U24" i="9"/>
  <c r="U26" i="9"/>
  <c r="U34" i="9"/>
  <c r="U38" i="9"/>
  <c r="V38" i="9" s="1"/>
  <c r="T42" i="9"/>
  <c r="T48" i="9"/>
  <c r="X48" i="9"/>
  <c r="N52" i="9"/>
  <c r="T52" i="9" s="1"/>
  <c r="X56" i="9"/>
  <c r="X64" i="9"/>
  <c r="U66" i="9"/>
  <c r="T68" i="9"/>
  <c r="X74" i="9"/>
  <c r="U76" i="9"/>
  <c r="T78" i="9"/>
  <c r="U82" i="9"/>
  <c r="V82" i="9" s="1"/>
  <c r="T106" i="9"/>
  <c r="X106" i="9"/>
  <c r="U110" i="9"/>
  <c r="X112" i="9"/>
  <c r="T116" i="9"/>
  <c r="T123" i="9"/>
  <c r="X123" i="9"/>
  <c r="Z126" i="9"/>
  <c r="U127" i="9"/>
  <c r="V127" i="9" s="1"/>
  <c r="T129" i="9"/>
  <c r="X129" i="9"/>
  <c r="X140" i="9"/>
  <c r="T141" i="9"/>
  <c r="X141" i="9"/>
  <c r="T142" i="9"/>
  <c r="Z142" i="9"/>
  <c r="T144" i="9"/>
  <c r="X144" i="9"/>
  <c r="W146" i="9"/>
  <c r="U148" i="9"/>
  <c r="V148" i="9" s="1"/>
  <c r="U152" i="9"/>
  <c r="Q12" i="9"/>
  <c r="Z28" i="9"/>
  <c r="U46" i="9"/>
  <c r="V46" i="9" s="1"/>
  <c r="Z46" i="9"/>
  <c r="W48" i="9"/>
  <c r="U50" i="9"/>
  <c r="V50" i="9" s="1"/>
  <c r="Z50" i="9"/>
  <c r="Z72" i="9"/>
  <c r="N88" i="9"/>
  <c r="W88" i="9" s="1"/>
  <c r="U104" i="9"/>
  <c r="V104" i="9" s="1"/>
  <c r="Z104" i="9"/>
  <c r="W106" i="9"/>
  <c r="S108" i="9"/>
  <c r="T108" i="9" s="1"/>
  <c r="Z108" i="9"/>
  <c r="U112" i="9"/>
  <c r="Z116" i="9"/>
  <c r="W123" i="9"/>
  <c r="N124" i="9"/>
  <c r="X124" i="9" s="1"/>
  <c r="W129" i="9"/>
  <c r="U135" i="9"/>
  <c r="V135" i="9" s="1"/>
  <c r="U137" i="9"/>
  <c r="V137" i="9" s="1"/>
  <c r="Z139" i="9"/>
  <c r="W141" i="9"/>
  <c r="X142" i="9"/>
  <c r="W144" i="9"/>
  <c r="U150" i="9"/>
  <c r="V150" i="9" s="1"/>
  <c r="Z150" i="9"/>
  <c r="X42" i="9"/>
  <c r="X68" i="9"/>
  <c r="X78" i="9"/>
  <c r="X116" i="9"/>
  <c r="U146" i="9"/>
  <c r="V146" i="9" s="1"/>
  <c r="Z146" i="9"/>
  <c r="M154" i="9"/>
  <c r="S28" i="9"/>
  <c r="T28" i="9" s="1"/>
  <c r="U48" i="9"/>
  <c r="V48" i="9" s="1"/>
  <c r="S72" i="9"/>
  <c r="T72" i="9" s="1"/>
  <c r="S86" i="9"/>
  <c r="T86" i="9" s="1"/>
  <c r="S88" i="9"/>
  <c r="U106" i="9"/>
  <c r="V106" i="9" s="1"/>
  <c r="U123" i="9"/>
  <c r="V123" i="9" s="1"/>
  <c r="S124" i="9"/>
  <c r="U129" i="9"/>
  <c r="V129" i="9" s="1"/>
  <c r="S133" i="9"/>
  <c r="S139" i="9"/>
  <c r="U139" i="9" s="1"/>
  <c r="V139" i="9" s="1"/>
  <c r="U141" i="9"/>
  <c r="V141" i="9" s="1"/>
  <c r="U144" i="9"/>
  <c r="V144" i="9" s="1"/>
  <c r="T130" i="8"/>
  <c r="S100" i="8"/>
  <c r="S102" i="8"/>
  <c r="S98" i="8"/>
  <c r="S96" i="8"/>
  <c r="S94" i="8"/>
  <c r="S92" i="8"/>
  <c r="S90" i="8"/>
  <c r="S34" i="8"/>
  <c r="U34" i="8" s="1"/>
  <c r="S32" i="8"/>
  <c r="U32" i="8" s="1"/>
  <c r="S30" i="8"/>
  <c r="U30" i="8" s="1"/>
  <c r="Q118" i="9" l="1"/>
  <c r="N118" i="9"/>
  <c r="Z118" i="9" s="1"/>
  <c r="U118" i="11"/>
  <c r="V118" i="11" s="1"/>
  <c r="Z121" i="9"/>
  <c r="M10" i="9"/>
  <c r="X154" i="10"/>
  <c r="S154" i="11"/>
  <c r="T154" i="11" s="1"/>
  <c r="T124" i="9"/>
  <c r="U22" i="9"/>
  <c r="V22" i="9" s="1"/>
  <c r="L10" i="9"/>
  <c r="U121" i="9"/>
  <c r="V121" i="9" s="1"/>
  <c r="Z86" i="9"/>
  <c r="X121" i="9"/>
  <c r="W121" i="9"/>
  <c r="X146" i="9"/>
  <c r="T10" i="11"/>
  <c r="W154" i="11"/>
  <c r="U154" i="11"/>
  <c r="V154" i="11" s="1"/>
  <c r="U10" i="11"/>
  <c r="V10" i="11" s="1"/>
  <c r="X154" i="11"/>
  <c r="W10" i="11"/>
  <c r="X118" i="9"/>
  <c r="N133" i="9"/>
  <c r="T133" i="9" s="1"/>
  <c r="N12" i="9"/>
  <c r="N154" i="9" s="1"/>
  <c r="U126" i="9"/>
  <c r="V126" i="9" s="1"/>
  <c r="L154" i="9"/>
  <c r="U10" i="10"/>
  <c r="V10" i="10" s="1"/>
  <c r="W154" i="10"/>
  <c r="U154" i="10"/>
  <c r="V154" i="10" s="1"/>
  <c r="W10" i="10"/>
  <c r="T154" i="10"/>
  <c r="X10" i="10"/>
  <c r="T10" i="10"/>
  <c r="X86" i="9"/>
  <c r="T30" i="8"/>
  <c r="T34" i="8"/>
  <c r="T32" i="8"/>
  <c r="Z88" i="9"/>
  <c r="U28" i="9"/>
  <c r="V28" i="9" s="1"/>
  <c r="AF142" i="9"/>
  <c r="T139" i="9"/>
  <c r="Z124" i="9"/>
  <c r="U124" i="9"/>
  <c r="V124" i="9" s="1"/>
  <c r="Q154" i="9"/>
  <c r="S12" i="9"/>
  <c r="Q10" i="9"/>
  <c r="U72" i="9"/>
  <c r="V72" i="9" s="1"/>
  <c r="T88" i="9"/>
  <c r="U86" i="9"/>
  <c r="V86" i="9" s="1"/>
  <c r="X88" i="9"/>
  <c r="U88" i="9"/>
  <c r="V88" i="9" s="1"/>
  <c r="W52" i="9"/>
  <c r="Z52" i="9"/>
  <c r="U52" i="9"/>
  <c r="V52" i="9" s="1"/>
  <c r="U108" i="9"/>
  <c r="X52" i="9"/>
  <c r="Q88" i="8"/>
  <c r="S88" i="8" s="1"/>
  <c r="Q72" i="8"/>
  <c r="S72" i="8" s="1"/>
  <c r="Q40" i="8"/>
  <c r="S40" i="8" s="1"/>
  <c r="Q28" i="8"/>
  <c r="S26" i="8"/>
  <c r="S24" i="8"/>
  <c r="Q22" i="8"/>
  <c r="S22" i="8" s="1"/>
  <c r="R154" i="8"/>
  <c r="S18" i="8"/>
  <c r="S20" i="8"/>
  <c r="S36" i="8"/>
  <c r="S38" i="8"/>
  <c r="S46" i="8"/>
  <c r="S58" i="8"/>
  <c r="S62" i="8"/>
  <c r="S70" i="8"/>
  <c r="S74" i="8"/>
  <c r="S82" i="8"/>
  <c r="S84" i="8"/>
  <c r="S104" i="8"/>
  <c r="S112" i="8"/>
  <c r="S148" i="8"/>
  <c r="S150" i="8"/>
  <c r="S152" i="8"/>
  <c r="S142" i="8"/>
  <c r="S137" i="8"/>
  <c r="S129" i="8"/>
  <c r="S116" i="8"/>
  <c r="S114" i="8"/>
  <c r="S78" i="8"/>
  <c r="S76" i="8"/>
  <c r="S64" i="8"/>
  <c r="S56" i="8"/>
  <c r="S48" i="8"/>
  <c r="S44" i="8"/>
  <c r="S14" i="8"/>
  <c r="S123" i="8"/>
  <c r="S127" i="8"/>
  <c r="S144" i="8"/>
  <c r="S140" i="8"/>
  <c r="S110" i="8"/>
  <c r="S68" i="8"/>
  <c r="S66" i="8"/>
  <c r="S50" i="8"/>
  <c r="S42" i="8"/>
  <c r="AE155" i="8"/>
  <c r="Z153" i="8"/>
  <c r="V153" i="8"/>
  <c r="N152" i="8"/>
  <c r="Z152" i="8" s="1"/>
  <c r="Z151" i="8"/>
  <c r="N150" i="8"/>
  <c r="Z150" i="8" s="1"/>
  <c r="Z149" i="8"/>
  <c r="W149" i="8"/>
  <c r="V149" i="8"/>
  <c r="N148" i="8"/>
  <c r="X148" i="8" s="1"/>
  <c r="Z147" i="8"/>
  <c r="V147" i="8"/>
  <c r="Q146" i="8"/>
  <c r="S146" i="8" s="1"/>
  <c r="M146" i="8"/>
  <c r="L146" i="8"/>
  <c r="Z145" i="8"/>
  <c r="V145" i="8"/>
  <c r="N144" i="8"/>
  <c r="Z144" i="8" s="1"/>
  <c r="N142" i="8"/>
  <c r="X142" i="8" s="1"/>
  <c r="S141" i="8"/>
  <c r="N141" i="8"/>
  <c r="Z141" i="8" s="1"/>
  <c r="N140" i="8"/>
  <c r="Z140" i="8" s="1"/>
  <c r="Q139" i="8"/>
  <c r="M139" i="8"/>
  <c r="L139" i="8"/>
  <c r="Z138" i="8"/>
  <c r="V138" i="8"/>
  <c r="N137" i="8"/>
  <c r="X137" i="8" s="1"/>
  <c r="Z136" i="8"/>
  <c r="V136" i="8"/>
  <c r="S135" i="8"/>
  <c r="N135" i="8"/>
  <c r="X135" i="8" s="1"/>
  <c r="Z132" i="8"/>
  <c r="V132" i="8"/>
  <c r="N131" i="8"/>
  <c r="N129" i="8"/>
  <c r="W129" i="8" s="1"/>
  <c r="Z128" i="8"/>
  <c r="V128" i="8"/>
  <c r="N127" i="8"/>
  <c r="Z127" i="8" s="1"/>
  <c r="Q126" i="8"/>
  <c r="S126" i="8" s="1"/>
  <c r="L126" i="8"/>
  <c r="S125" i="8"/>
  <c r="N125" i="8"/>
  <c r="Z125" i="8" s="1"/>
  <c r="Q124" i="8"/>
  <c r="L124" i="8"/>
  <c r="N123" i="8"/>
  <c r="X123" i="8" s="1"/>
  <c r="V122" i="8"/>
  <c r="N122" i="8"/>
  <c r="Z122" i="8" s="1"/>
  <c r="M121" i="8"/>
  <c r="L121" i="8"/>
  <c r="N121" i="8" s="1"/>
  <c r="Z120" i="8"/>
  <c r="V120" i="8"/>
  <c r="Z119" i="8"/>
  <c r="V119" i="8"/>
  <c r="Z117" i="8"/>
  <c r="N116" i="8"/>
  <c r="X116" i="8" s="1"/>
  <c r="Z115" i="8"/>
  <c r="N114" i="8"/>
  <c r="Z114" i="8" s="1"/>
  <c r="Z113" i="8"/>
  <c r="N112" i="8"/>
  <c r="X112" i="8" s="1"/>
  <c r="Z111" i="8"/>
  <c r="N110" i="8"/>
  <c r="Z110" i="8" s="1"/>
  <c r="Z109" i="8"/>
  <c r="Q108" i="8"/>
  <c r="L108" i="8"/>
  <c r="N108" i="8" s="1"/>
  <c r="Z107" i="8"/>
  <c r="V107" i="8"/>
  <c r="S106" i="8"/>
  <c r="N106" i="8"/>
  <c r="W106" i="8" s="1"/>
  <c r="Z105" i="8"/>
  <c r="V105" i="8"/>
  <c r="N104" i="8"/>
  <c r="X104" i="8" s="1"/>
  <c r="N102" i="8"/>
  <c r="U102" i="8" s="1"/>
  <c r="N100" i="8"/>
  <c r="U100" i="8" s="1"/>
  <c r="N98" i="8"/>
  <c r="N96" i="8"/>
  <c r="N94" i="8"/>
  <c r="U94" i="8" s="1"/>
  <c r="N92" i="8"/>
  <c r="U92" i="8" s="1"/>
  <c r="N90" i="8"/>
  <c r="L88" i="8"/>
  <c r="L86" i="8" s="1"/>
  <c r="Z87" i="8"/>
  <c r="V87" i="8"/>
  <c r="M86" i="8"/>
  <c r="Z85" i="8"/>
  <c r="V85" i="8"/>
  <c r="N84" i="8"/>
  <c r="W84" i="8" s="1"/>
  <c r="Z83" i="8"/>
  <c r="V83" i="8"/>
  <c r="N82" i="8"/>
  <c r="Z82" i="8" s="1"/>
  <c r="Z81" i="8"/>
  <c r="V81" i="8"/>
  <c r="S80" i="8"/>
  <c r="N80" i="8"/>
  <c r="W80" i="8" s="1"/>
  <c r="N78" i="8"/>
  <c r="N76" i="8"/>
  <c r="N74" i="8"/>
  <c r="X74" i="8" s="1"/>
  <c r="Z73" i="8"/>
  <c r="S73" i="8"/>
  <c r="U73" i="8" s="1"/>
  <c r="V73" i="8" s="1"/>
  <c r="M72" i="8"/>
  <c r="L72" i="8"/>
  <c r="Z71" i="8"/>
  <c r="V71" i="8"/>
  <c r="N70" i="8"/>
  <c r="W70" i="8" s="1"/>
  <c r="N68" i="8"/>
  <c r="X68" i="8" s="1"/>
  <c r="N66" i="8"/>
  <c r="N64" i="8"/>
  <c r="X64" i="8" s="1"/>
  <c r="N62" i="8"/>
  <c r="Z61" i="8"/>
  <c r="V61" i="8"/>
  <c r="Q60" i="8"/>
  <c r="S60" i="8" s="1"/>
  <c r="M60" i="8"/>
  <c r="L60" i="8"/>
  <c r="Z59" i="8"/>
  <c r="V59" i="8"/>
  <c r="Z58" i="8"/>
  <c r="X58" i="8"/>
  <c r="W58" i="8"/>
  <c r="N56" i="8"/>
  <c r="X56" i="8" s="1"/>
  <c r="S54" i="8"/>
  <c r="N54" i="8"/>
  <c r="X54" i="8" s="1"/>
  <c r="Z53" i="8"/>
  <c r="V53" i="8"/>
  <c r="Q52" i="8"/>
  <c r="S52" i="8" s="1"/>
  <c r="M52" i="8"/>
  <c r="L52" i="8"/>
  <c r="Z51" i="8"/>
  <c r="V51" i="8"/>
  <c r="N50" i="8"/>
  <c r="Z50" i="8" s="1"/>
  <c r="Z49" i="8"/>
  <c r="V49" i="8"/>
  <c r="N48" i="8"/>
  <c r="X48" i="8" s="1"/>
  <c r="Z47" i="8"/>
  <c r="V47" i="8"/>
  <c r="N46" i="8"/>
  <c r="W46" i="8" s="1"/>
  <c r="Z45" i="8"/>
  <c r="V45" i="8"/>
  <c r="N44" i="8"/>
  <c r="X44" i="8" s="1"/>
  <c r="N42" i="8"/>
  <c r="X42" i="8" s="1"/>
  <c r="Z41" i="8"/>
  <c r="V41" i="8"/>
  <c r="L40" i="8"/>
  <c r="N40" i="8" s="1"/>
  <c r="Z39" i="8"/>
  <c r="V39" i="8"/>
  <c r="N38" i="8"/>
  <c r="Z38" i="8" s="1"/>
  <c r="Z37" i="8"/>
  <c r="V37" i="8"/>
  <c r="N36" i="8"/>
  <c r="W36" i="8" s="1"/>
  <c r="Z35" i="8"/>
  <c r="V35" i="8"/>
  <c r="N28" i="8"/>
  <c r="Z27" i="8"/>
  <c r="V27" i="8"/>
  <c r="N26" i="8"/>
  <c r="U26" i="8" s="1"/>
  <c r="N24" i="8"/>
  <c r="L22" i="8"/>
  <c r="N22" i="8" s="1"/>
  <c r="Z21" i="8"/>
  <c r="V21" i="8"/>
  <c r="N20" i="8"/>
  <c r="X20" i="8" s="1"/>
  <c r="Z19" i="8"/>
  <c r="V19" i="8"/>
  <c r="N18" i="8"/>
  <c r="W18" i="8" s="1"/>
  <c r="Z17" i="8"/>
  <c r="V17" i="8"/>
  <c r="S16" i="8"/>
  <c r="N16" i="8"/>
  <c r="X16" i="8" s="1"/>
  <c r="Z15" i="8"/>
  <c r="V15" i="8"/>
  <c r="N14" i="8"/>
  <c r="W14" i="8" s="1"/>
  <c r="V13" i="8"/>
  <c r="O12" i="8"/>
  <c r="O10" i="8" s="1"/>
  <c r="N26" i="7"/>
  <c r="N24" i="7"/>
  <c r="L22" i="7"/>
  <c r="L88" i="7"/>
  <c r="N102" i="7"/>
  <c r="N100" i="7"/>
  <c r="N98" i="7"/>
  <c r="N96" i="7"/>
  <c r="N94" i="7"/>
  <c r="N92" i="7"/>
  <c r="N90" i="7"/>
  <c r="U133" i="9" l="1"/>
  <c r="V133" i="9" s="1"/>
  <c r="X12" i="9"/>
  <c r="N10" i="9"/>
  <c r="W10" i="9" s="1"/>
  <c r="W12" i="9"/>
  <c r="W118" i="9"/>
  <c r="S118" i="9"/>
  <c r="W133" i="9"/>
  <c r="Z133" i="9"/>
  <c r="X133" i="9"/>
  <c r="X14" i="8"/>
  <c r="X18" i="8"/>
  <c r="W50" i="8"/>
  <c r="U96" i="8"/>
  <c r="T96" i="8"/>
  <c r="T110" i="8"/>
  <c r="T123" i="8"/>
  <c r="T142" i="8"/>
  <c r="T112" i="8"/>
  <c r="T26" i="8"/>
  <c r="T94" i="8"/>
  <c r="Z14" i="8"/>
  <c r="U90" i="8"/>
  <c r="T90" i="8"/>
  <c r="U98" i="8"/>
  <c r="T98" i="8"/>
  <c r="U131" i="8"/>
  <c r="T131" i="8"/>
  <c r="T100" i="8"/>
  <c r="W16" i="8"/>
  <c r="T129" i="8"/>
  <c r="T102" i="8"/>
  <c r="T127" i="8"/>
  <c r="T148" i="8"/>
  <c r="T24" i="8"/>
  <c r="T92" i="8"/>
  <c r="T12" i="9"/>
  <c r="S10" i="9"/>
  <c r="T10" i="9" s="1"/>
  <c r="W154" i="9"/>
  <c r="X154" i="9"/>
  <c r="U12" i="9"/>
  <c r="V12" i="9" s="1"/>
  <c r="W48" i="8"/>
  <c r="W104" i="8"/>
  <c r="T106" i="8"/>
  <c r="N146" i="8"/>
  <c r="Z146" i="8" s="1"/>
  <c r="Q86" i="8"/>
  <c r="Q12" i="8" s="1"/>
  <c r="S12" i="8" s="1"/>
  <c r="X50" i="8"/>
  <c r="X106" i="8"/>
  <c r="X144" i="8"/>
  <c r="W38" i="8"/>
  <c r="N60" i="8"/>
  <c r="U60" i="8" s="1"/>
  <c r="V60" i="8" s="1"/>
  <c r="N72" i="8"/>
  <c r="T80" i="8"/>
  <c r="X82" i="8"/>
  <c r="Z106" i="8"/>
  <c r="T16" i="8"/>
  <c r="U24" i="8"/>
  <c r="N52" i="8"/>
  <c r="Q121" i="8"/>
  <c r="X121" i="8" s="1"/>
  <c r="N139" i="8"/>
  <c r="W139" i="8" s="1"/>
  <c r="W144" i="8"/>
  <c r="Z46" i="8"/>
  <c r="Z116" i="8"/>
  <c r="X46" i="8"/>
  <c r="N86" i="8"/>
  <c r="M12" i="8"/>
  <c r="W82" i="8"/>
  <c r="N124" i="8"/>
  <c r="X124" i="8" s="1"/>
  <c r="W141" i="8"/>
  <c r="W150" i="8"/>
  <c r="T42" i="8"/>
  <c r="T114" i="8"/>
  <c r="U142" i="8"/>
  <c r="V142" i="8" s="1"/>
  <c r="U112" i="8"/>
  <c r="T46" i="8"/>
  <c r="T18" i="8"/>
  <c r="Z18" i="8"/>
  <c r="W20" i="8"/>
  <c r="X38" i="8"/>
  <c r="X141" i="8"/>
  <c r="X150" i="8"/>
  <c r="U64" i="8"/>
  <c r="T116" i="8"/>
  <c r="T152" i="8"/>
  <c r="T104" i="8"/>
  <c r="T70" i="8"/>
  <c r="U38" i="8"/>
  <c r="V38" i="8" s="1"/>
  <c r="W123" i="8"/>
  <c r="T66" i="8"/>
  <c r="T44" i="8"/>
  <c r="T76" i="8"/>
  <c r="T150" i="8"/>
  <c r="T84" i="8"/>
  <c r="T62" i="8"/>
  <c r="T36" i="8"/>
  <c r="N88" i="8"/>
  <c r="T88" i="8" s="1"/>
  <c r="X108" i="8"/>
  <c r="T141" i="8"/>
  <c r="Z142" i="8"/>
  <c r="M133" i="8"/>
  <c r="M118" i="8" s="1"/>
  <c r="T68" i="8"/>
  <c r="T48" i="8"/>
  <c r="T78" i="8"/>
  <c r="U137" i="8"/>
  <c r="V137" i="8" s="1"/>
  <c r="T82" i="8"/>
  <c r="T20" i="8"/>
  <c r="X28" i="8"/>
  <c r="Q133" i="8"/>
  <c r="W72" i="8"/>
  <c r="Z72" i="8"/>
  <c r="Z28" i="8"/>
  <c r="W28" i="8"/>
  <c r="S28" i="8"/>
  <c r="T28" i="8" s="1"/>
  <c r="U14" i="8"/>
  <c r="V14" i="8" s="1"/>
  <c r="T14" i="8"/>
  <c r="T64" i="8"/>
  <c r="T56" i="8"/>
  <c r="U56" i="8"/>
  <c r="U106" i="8"/>
  <c r="V106" i="8" s="1"/>
  <c r="S124" i="8"/>
  <c r="T38" i="8"/>
  <c r="T144" i="8"/>
  <c r="U144" i="8"/>
  <c r="V144" i="8" s="1"/>
  <c r="T74" i="8"/>
  <c r="U74" i="8"/>
  <c r="T50" i="8"/>
  <c r="U50" i="8"/>
  <c r="V50" i="8" s="1"/>
  <c r="T58" i="8"/>
  <c r="U58" i="8"/>
  <c r="V58" i="8" s="1"/>
  <c r="U78" i="8"/>
  <c r="U116" i="8"/>
  <c r="U62" i="8"/>
  <c r="U125" i="8"/>
  <c r="V125" i="8" s="1"/>
  <c r="U18" i="8"/>
  <c r="V18" i="8" s="1"/>
  <c r="U46" i="8"/>
  <c r="V46" i="8" s="1"/>
  <c r="U152" i="8"/>
  <c r="U66" i="8"/>
  <c r="U76" i="8"/>
  <c r="U52" i="8"/>
  <c r="V52" i="8" s="1"/>
  <c r="X52" i="8"/>
  <c r="W52" i="8"/>
  <c r="T52" i="8"/>
  <c r="X60" i="8"/>
  <c r="Z22" i="8"/>
  <c r="U22" i="8"/>
  <c r="V22" i="8" s="1"/>
  <c r="X22" i="8"/>
  <c r="W22" i="8"/>
  <c r="T22" i="8"/>
  <c r="U40" i="8"/>
  <c r="V40" i="8" s="1"/>
  <c r="X40" i="8"/>
  <c r="T40" i="8"/>
  <c r="Z40" i="8"/>
  <c r="M10" i="8"/>
  <c r="M154" i="8"/>
  <c r="Z52" i="8"/>
  <c r="U72" i="8"/>
  <c r="V72" i="8" s="1"/>
  <c r="X140" i="8"/>
  <c r="W148" i="8"/>
  <c r="U44" i="8"/>
  <c r="V44" i="8" s="1"/>
  <c r="U54" i="8"/>
  <c r="U70" i="8"/>
  <c r="V70" i="8" s="1"/>
  <c r="T72" i="8"/>
  <c r="X72" i="8"/>
  <c r="X78" i="8"/>
  <c r="U80" i="8"/>
  <c r="V80" i="8" s="1"/>
  <c r="Z84" i="8"/>
  <c r="U88" i="8"/>
  <c r="V88" i="8" s="1"/>
  <c r="X110" i="8"/>
  <c r="U114" i="8"/>
  <c r="Z121" i="8"/>
  <c r="X125" i="8"/>
  <c r="U129" i="8"/>
  <c r="V129" i="8" s="1"/>
  <c r="Z129" i="8"/>
  <c r="X152" i="8"/>
  <c r="U16" i="8"/>
  <c r="V16" i="8" s="1"/>
  <c r="Z16" i="8"/>
  <c r="U20" i="8"/>
  <c r="V20" i="8" s="1"/>
  <c r="Z20" i="8"/>
  <c r="X36" i="8"/>
  <c r="U42" i="8"/>
  <c r="Z44" i="8"/>
  <c r="U48" i="8"/>
  <c r="V48" i="8" s="1"/>
  <c r="Z48" i="8"/>
  <c r="T54" i="8"/>
  <c r="X66" i="8"/>
  <c r="U68" i="8"/>
  <c r="X70" i="8"/>
  <c r="X76" i="8"/>
  <c r="X80" i="8"/>
  <c r="X84" i="8"/>
  <c r="S86" i="8"/>
  <c r="X88" i="8"/>
  <c r="U104" i="8"/>
  <c r="V104" i="8" s="1"/>
  <c r="Z104" i="8"/>
  <c r="S108" i="8"/>
  <c r="T108" i="8" s="1"/>
  <c r="Z108" i="8"/>
  <c r="U110" i="8"/>
  <c r="Z112" i="8"/>
  <c r="U123" i="8"/>
  <c r="V123" i="8" s="1"/>
  <c r="Z123" i="8"/>
  <c r="Z124" i="8"/>
  <c r="N126" i="8"/>
  <c r="U126" i="8" s="1"/>
  <c r="V126" i="8" s="1"/>
  <c r="U127" i="8"/>
  <c r="V127" i="8" s="1"/>
  <c r="X129" i="8"/>
  <c r="X131" i="8"/>
  <c r="T135" i="8"/>
  <c r="Z135" i="8"/>
  <c r="Z137" i="8"/>
  <c r="X139" i="8"/>
  <c r="U140" i="8"/>
  <c r="V140" i="8" s="1"/>
  <c r="U148" i="8"/>
  <c r="V148" i="8" s="1"/>
  <c r="Z148" i="8"/>
  <c r="X62" i="8"/>
  <c r="X114" i="8"/>
  <c r="X127" i="8"/>
  <c r="U36" i="8"/>
  <c r="V36" i="8" s="1"/>
  <c r="Z36" i="8"/>
  <c r="Z70" i="8"/>
  <c r="Z80" i="8"/>
  <c r="U84" i="8"/>
  <c r="V84" i="8" s="1"/>
  <c r="Z88" i="8"/>
  <c r="U135" i="8"/>
  <c r="V135" i="8" s="1"/>
  <c r="Z139" i="8"/>
  <c r="L12" i="8"/>
  <c r="U82" i="8"/>
  <c r="V82" i="8" s="1"/>
  <c r="S121" i="8"/>
  <c r="L133" i="8"/>
  <c r="S139" i="8"/>
  <c r="U141" i="8"/>
  <c r="V141" i="8" s="1"/>
  <c r="U150" i="8"/>
  <c r="V150" i="8" s="1"/>
  <c r="Q108" i="7"/>
  <c r="S108" i="7" s="1"/>
  <c r="Q86" i="7"/>
  <c r="Q60" i="7"/>
  <c r="S60" i="7" s="1"/>
  <c r="AE155" i="7"/>
  <c r="R154" i="7"/>
  <c r="Z153" i="7"/>
  <c r="V153" i="7"/>
  <c r="S152" i="7"/>
  <c r="N152" i="7"/>
  <c r="Z152" i="7" s="1"/>
  <c r="Z151" i="7"/>
  <c r="S150" i="7"/>
  <c r="N150" i="7"/>
  <c r="Z150" i="7" s="1"/>
  <c r="Z149" i="7"/>
  <c r="W149" i="7"/>
  <c r="V149" i="7"/>
  <c r="S148" i="7"/>
  <c r="N148" i="7"/>
  <c r="W148" i="7" s="1"/>
  <c r="Z147" i="7"/>
  <c r="V147" i="7"/>
  <c r="Q146" i="7"/>
  <c r="M146" i="7"/>
  <c r="L146" i="7"/>
  <c r="Z145" i="7"/>
  <c r="V145" i="7"/>
  <c r="S144" i="7"/>
  <c r="N144" i="7"/>
  <c r="Z144" i="7" s="1"/>
  <c r="S142" i="7"/>
  <c r="N142" i="7"/>
  <c r="X142" i="7" s="1"/>
  <c r="S141" i="7"/>
  <c r="N141" i="7"/>
  <c r="Z141" i="7" s="1"/>
  <c r="S140" i="7"/>
  <c r="N140" i="7"/>
  <c r="X140" i="7" s="1"/>
  <c r="Q139" i="7"/>
  <c r="M139" i="7"/>
  <c r="L139" i="7"/>
  <c r="Z138" i="7"/>
  <c r="V138" i="7"/>
  <c r="S137" i="7"/>
  <c r="N137" i="7"/>
  <c r="Z137" i="7" s="1"/>
  <c r="Z136" i="7"/>
  <c r="V136" i="7"/>
  <c r="S135" i="7"/>
  <c r="N135" i="7"/>
  <c r="Z135" i="7" s="1"/>
  <c r="Z132" i="7"/>
  <c r="V132" i="7"/>
  <c r="N131" i="7"/>
  <c r="X131" i="7" s="1"/>
  <c r="S129" i="7"/>
  <c r="N129" i="7"/>
  <c r="Z129" i="7" s="1"/>
  <c r="Z128" i="7"/>
  <c r="V128" i="7"/>
  <c r="S127" i="7"/>
  <c r="N127" i="7"/>
  <c r="X127" i="7" s="1"/>
  <c r="Q126" i="7"/>
  <c r="L126" i="7"/>
  <c r="S125" i="7"/>
  <c r="N125" i="7"/>
  <c r="Q124" i="7"/>
  <c r="L124" i="7"/>
  <c r="S123" i="7"/>
  <c r="N123" i="7"/>
  <c r="Z123" i="7" s="1"/>
  <c r="V122" i="7"/>
  <c r="N122" i="7"/>
  <c r="Z122" i="7" s="1"/>
  <c r="M121" i="7"/>
  <c r="L121" i="7"/>
  <c r="Z120" i="7"/>
  <c r="V120" i="7"/>
  <c r="Z119" i="7"/>
  <c r="V119" i="7"/>
  <c r="Z117" i="7"/>
  <c r="S116" i="7"/>
  <c r="N116" i="7"/>
  <c r="X116" i="7" s="1"/>
  <c r="Z115" i="7"/>
  <c r="S114" i="7"/>
  <c r="N114" i="7"/>
  <c r="Z114" i="7" s="1"/>
  <c r="Z113" i="7"/>
  <c r="S112" i="7"/>
  <c r="N112" i="7"/>
  <c r="Z112" i="7" s="1"/>
  <c r="Z111" i="7"/>
  <c r="S110" i="7"/>
  <c r="N110" i="7"/>
  <c r="Z110" i="7" s="1"/>
  <c r="Z109" i="7"/>
  <c r="L108" i="7"/>
  <c r="N108" i="7" s="1"/>
  <c r="Z107" i="7"/>
  <c r="V107" i="7"/>
  <c r="S106" i="7"/>
  <c r="N106" i="7"/>
  <c r="Z106" i="7" s="1"/>
  <c r="Z105" i="7"/>
  <c r="V105" i="7"/>
  <c r="S104" i="7"/>
  <c r="N104" i="7"/>
  <c r="X104" i="7" s="1"/>
  <c r="S88" i="7"/>
  <c r="N88" i="7"/>
  <c r="Z88" i="7" s="1"/>
  <c r="Z87" i="7"/>
  <c r="V87" i="7"/>
  <c r="M86" i="7"/>
  <c r="L86" i="7"/>
  <c r="Z85" i="7"/>
  <c r="V85" i="7"/>
  <c r="S84" i="7"/>
  <c r="N84" i="7"/>
  <c r="W84" i="7" s="1"/>
  <c r="Z83" i="7"/>
  <c r="V83" i="7"/>
  <c r="S82" i="7"/>
  <c r="N82" i="7"/>
  <c r="W82" i="7" s="1"/>
  <c r="Z81" i="7"/>
  <c r="V81" i="7"/>
  <c r="S80" i="7"/>
  <c r="N80" i="7"/>
  <c r="S78" i="7"/>
  <c r="N78" i="7"/>
  <c r="X78" i="7" s="1"/>
  <c r="S76" i="7"/>
  <c r="N76" i="7"/>
  <c r="X76" i="7" s="1"/>
  <c r="S74" i="7"/>
  <c r="N74" i="7"/>
  <c r="X74" i="7" s="1"/>
  <c r="Z73" i="7"/>
  <c r="S73" i="7"/>
  <c r="U73" i="7" s="1"/>
  <c r="V73" i="7" s="1"/>
  <c r="Q72" i="7"/>
  <c r="M72" i="7"/>
  <c r="L72" i="7"/>
  <c r="Z71" i="7"/>
  <c r="V71" i="7"/>
  <c r="S70" i="7"/>
  <c r="N70" i="7"/>
  <c r="W70" i="7" s="1"/>
  <c r="S68" i="7"/>
  <c r="N68" i="7"/>
  <c r="X68" i="7" s="1"/>
  <c r="S66" i="7"/>
  <c r="N66" i="7"/>
  <c r="X66" i="7" s="1"/>
  <c r="S64" i="7"/>
  <c r="N64" i="7"/>
  <c r="X64" i="7" s="1"/>
  <c r="S62" i="7"/>
  <c r="N62" i="7"/>
  <c r="X62" i="7" s="1"/>
  <c r="Z61" i="7"/>
  <c r="V61" i="7"/>
  <c r="M60" i="7"/>
  <c r="L60" i="7"/>
  <c r="Z59" i="7"/>
  <c r="V59" i="7"/>
  <c r="Z58" i="7"/>
  <c r="X58" i="7"/>
  <c r="W58" i="7"/>
  <c r="S58" i="7"/>
  <c r="U58" i="7" s="1"/>
  <c r="V58" i="7" s="1"/>
  <c r="S56" i="7"/>
  <c r="N56" i="7"/>
  <c r="X56" i="7" s="1"/>
  <c r="S54" i="7"/>
  <c r="N54" i="7"/>
  <c r="Z53" i="7"/>
  <c r="V53" i="7"/>
  <c r="Q52" i="7"/>
  <c r="S52" i="7" s="1"/>
  <c r="M52" i="7"/>
  <c r="L52" i="7"/>
  <c r="Z51" i="7"/>
  <c r="V51" i="7"/>
  <c r="S50" i="7"/>
  <c r="N50" i="7"/>
  <c r="Z50" i="7" s="1"/>
  <c r="Z49" i="7"/>
  <c r="V49" i="7"/>
  <c r="S48" i="7"/>
  <c r="N48" i="7"/>
  <c r="W48" i="7" s="1"/>
  <c r="Z47" i="7"/>
  <c r="V47" i="7"/>
  <c r="S46" i="7"/>
  <c r="N46" i="7"/>
  <c r="Z46" i="7" s="1"/>
  <c r="Z45" i="7"/>
  <c r="V45" i="7"/>
  <c r="S44" i="7"/>
  <c r="N44" i="7"/>
  <c r="S42" i="7"/>
  <c r="N42" i="7"/>
  <c r="X42" i="7" s="1"/>
  <c r="Z41" i="7"/>
  <c r="V41" i="7"/>
  <c r="Q40" i="7"/>
  <c r="S40" i="7" s="1"/>
  <c r="L40" i="7"/>
  <c r="N40" i="7" s="1"/>
  <c r="Z39" i="7"/>
  <c r="V39" i="7"/>
  <c r="S38" i="7"/>
  <c r="N38" i="7"/>
  <c r="Z38" i="7" s="1"/>
  <c r="Z37" i="7"/>
  <c r="V37" i="7"/>
  <c r="S36" i="7"/>
  <c r="N36" i="7"/>
  <c r="Z35" i="7"/>
  <c r="V35" i="7"/>
  <c r="S28" i="7"/>
  <c r="N28" i="7"/>
  <c r="Z28" i="7" s="1"/>
  <c r="Z27" i="7"/>
  <c r="V27" i="7"/>
  <c r="S22" i="7"/>
  <c r="N22" i="7"/>
  <c r="Z21" i="7"/>
  <c r="V21" i="7"/>
  <c r="S20" i="7"/>
  <c r="N20" i="7"/>
  <c r="Z20" i="7" s="1"/>
  <c r="Z19" i="7"/>
  <c r="V19" i="7"/>
  <c r="S18" i="7"/>
  <c r="N18" i="7"/>
  <c r="W18" i="7" s="1"/>
  <c r="Z17" i="7"/>
  <c r="V17" i="7"/>
  <c r="S16" i="7"/>
  <c r="N16" i="7"/>
  <c r="W16" i="7" s="1"/>
  <c r="Z15" i="7"/>
  <c r="V15" i="7"/>
  <c r="S14" i="7"/>
  <c r="N14" i="7"/>
  <c r="Z14" i="7" s="1"/>
  <c r="V13" i="7"/>
  <c r="O12" i="7"/>
  <c r="O10" i="7" s="1"/>
  <c r="Z60" i="8" l="1"/>
  <c r="T118" i="9"/>
  <c r="U118" i="9"/>
  <c r="V118" i="9" s="1"/>
  <c r="T60" i="8"/>
  <c r="X10" i="9"/>
  <c r="W60" i="8"/>
  <c r="X146" i="8"/>
  <c r="X86" i="8"/>
  <c r="S154" i="9"/>
  <c r="U154" i="9" s="1"/>
  <c r="V154" i="9" s="1"/>
  <c r="W121" i="8"/>
  <c r="Q133" i="7"/>
  <c r="S133" i="7" s="1"/>
  <c r="U124" i="8"/>
  <c r="V124" i="8" s="1"/>
  <c r="T124" i="8"/>
  <c r="T126" i="8"/>
  <c r="U10" i="9"/>
  <c r="V10" i="9" s="1"/>
  <c r="T154" i="9"/>
  <c r="U131" i="7"/>
  <c r="W146" i="8"/>
  <c r="Z86" i="8"/>
  <c r="U146" i="8"/>
  <c r="V146" i="8" s="1"/>
  <c r="T146" i="8"/>
  <c r="T86" i="8"/>
  <c r="W86" i="8"/>
  <c r="Q118" i="8"/>
  <c r="Q10" i="8" s="1"/>
  <c r="N139" i="7"/>
  <c r="Z139" i="7" s="1"/>
  <c r="W88" i="8"/>
  <c r="M133" i="7"/>
  <c r="M118" i="7" s="1"/>
  <c r="X18" i="7"/>
  <c r="S133" i="8"/>
  <c r="U28" i="8"/>
  <c r="V28" i="8" s="1"/>
  <c r="AF142" i="8"/>
  <c r="T139" i="8"/>
  <c r="U121" i="8"/>
  <c r="V121" i="8" s="1"/>
  <c r="T121" i="8"/>
  <c r="N12" i="8"/>
  <c r="T12" i="8" s="1"/>
  <c r="L118" i="8"/>
  <c r="N118" i="8" s="1"/>
  <c r="N133" i="8"/>
  <c r="Z126" i="8"/>
  <c r="U86" i="8"/>
  <c r="V86" i="8" s="1"/>
  <c r="U108" i="8"/>
  <c r="U139" i="8"/>
  <c r="V139" i="8" s="1"/>
  <c r="Q154" i="8"/>
  <c r="X82" i="7"/>
  <c r="N60" i="7"/>
  <c r="W60" i="7" s="1"/>
  <c r="W50" i="7"/>
  <c r="M12" i="7"/>
  <c r="N72" i="7"/>
  <c r="U76" i="7"/>
  <c r="T80" i="7"/>
  <c r="T82" i="7"/>
  <c r="N86" i="7"/>
  <c r="Z86" i="7" s="1"/>
  <c r="N126" i="7"/>
  <c r="Z126" i="7" s="1"/>
  <c r="Z127" i="7"/>
  <c r="T129" i="7"/>
  <c r="X135" i="7"/>
  <c r="T135" i="7"/>
  <c r="X148" i="7"/>
  <c r="T50" i="7"/>
  <c r="T68" i="7"/>
  <c r="X88" i="7"/>
  <c r="U127" i="7"/>
  <c r="V127" i="7" s="1"/>
  <c r="U148" i="7"/>
  <c r="V148" i="7" s="1"/>
  <c r="X125" i="7"/>
  <c r="Z125" i="7"/>
  <c r="L12" i="7"/>
  <c r="W88" i="7"/>
  <c r="X106" i="7"/>
  <c r="S124" i="7"/>
  <c r="W28" i="7"/>
  <c r="U66" i="7"/>
  <c r="T88" i="7"/>
  <c r="U116" i="7"/>
  <c r="L133" i="7"/>
  <c r="N146" i="7"/>
  <c r="X146" i="7" s="1"/>
  <c r="Z148" i="7"/>
  <c r="T152" i="7"/>
  <c r="W14" i="7"/>
  <c r="W20" i="7"/>
  <c r="W38" i="7"/>
  <c r="U44" i="7"/>
  <c r="V44" i="7" s="1"/>
  <c r="U46" i="7"/>
  <c r="V46" i="7" s="1"/>
  <c r="T104" i="7"/>
  <c r="T114" i="7"/>
  <c r="N121" i="7"/>
  <c r="W129" i="7"/>
  <c r="Z140" i="7"/>
  <c r="T150" i="7"/>
  <c r="X14" i="7"/>
  <c r="T16" i="7"/>
  <c r="T18" i="7"/>
  <c r="X20" i="7"/>
  <c r="U22" i="7"/>
  <c r="V22" i="7" s="1"/>
  <c r="T28" i="7"/>
  <c r="X38" i="7"/>
  <c r="T40" i="7"/>
  <c r="T42" i="7"/>
  <c r="W46" i="7"/>
  <c r="X50" i="7"/>
  <c r="U56" i="7"/>
  <c r="Z72" i="7"/>
  <c r="T74" i="7"/>
  <c r="T78" i="7"/>
  <c r="Z82" i="7"/>
  <c r="T84" i="7"/>
  <c r="Z104" i="7"/>
  <c r="T106" i="7"/>
  <c r="U110" i="7"/>
  <c r="X129" i="7"/>
  <c r="X46" i="7"/>
  <c r="W106" i="7"/>
  <c r="X110" i="7"/>
  <c r="T141" i="7"/>
  <c r="T144" i="7"/>
  <c r="X86" i="7"/>
  <c r="T14" i="7"/>
  <c r="Z18" i="7"/>
  <c r="T20" i="7"/>
  <c r="X28" i="7"/>
  <c r="T38" i="7"/>
  <c r="T70" i="7"/>
  <c r="U140" i="7"/>
  <c r="V140" i="7" s="1"/>
  <c r="W144" i="7"/>
  <c r="U152" i="7"/>
  <c r="S139" i="7"/>
  <c r="AF142" i="7" s="1"/>
  <c r="Q12" i="7"/>
  <c r="S12" i="7" s="1"/>
  <c r="Z40" i="7"/>
  <c r="T54" i="7"/>
  <c r="T66" i="7"/>
  <c r="T46" i="7"/>
  <c r="U50" i="7"/>
  <c r="V50" i="7" s="1"/>
  <c r="T56" i="7"/>
  <c r="U104" i="7"/>
  <c r="V104" i="7" s="1"/>
  <c r="U82" i="7"/>
  <c r="V82" i="7" s="1"/>
  <c r="U114" i="7"/>
  <c r="U74" i="7"/>
  <c r="S126" i="7"/>
  <c r="U36" i="7"/>
  <c r="V36" i="7" s="1"/>
  <c r="T58" i="7"/>
  <c r="U62" i="7"/>
  <c r="U135" i="7"/>
  <c r="V135" i="7" s="1"/>
  <c r="T76" i="7"/>
  <c r="X16" i="7"/>
  <c r="X22" i="7"/>
  <c r="T22" i="7"/>
  <c r="W22" i="7"/>
  <c r="Z22" i="7"/>
  <c r="U40" i="7"/>
  <c r="V40" i="7" s="1"/>
  <c r="X40" i="7"/>
  <c r="U42" i="7"/>
  <c r="U54" i="7"/>
  <c r="T62" i="7"/>
  <c r="U64" i="7"/>
  <c r="T108" i="7"/>
  <c r="U16" i="7"/>
  <c r="V16" i="7" s="1"/>
  <c r="Z16" i="7"/>
  <c r="N52" i="7"/>
  <c r="Z52" i="7" s="1"/>
  <c r="X54" i="7"/>
  <c r="Z70" i="7"/>
  <c r="U70" i="7"/>
  <c r="V70" i="7" s="1"/>
  <c r="X70" i="7"/>
  <c r="W80" i="7"/>
  <c r="Z80" i="7"/>
  <c r="U80" i="7"/>
  <c r="V80" i="7" s="1"/>
  <c r="X80" i="7"/>
  <c r="X36" i="7"/>
  <c r="T36" i="7"/>
  <c r="W36" i="7"/>
  <c r="Z36" i="7"/>
  <c r="Z48" i="7"/>
  <c r="U48" i="7"/>
  <c r="V48" i="7" s="1"/>
  <c r="X48" i="7"/>
  <c r="X72" i="7"/>
  <c r="W72" i="7"/>
  <c r="S72" i="7"/>
  <c r="T72" i="7" s="1"/>
  <c r="Z108" i="7"/>
  <c r="U108" i="7"/>
  <c r="U14" i="7"/>
  <c r="V14" i="7" s="1"/>
  <c r="U18" i="7"/>
  <c r="V18" i="7" s="1"/>
  <c r="Z44" i="7"/>
  <c r="T44" i="7"/>
  <c r="X44" i="7"/>
  <c r="T48" i="7"/>
  <c r="T64" i="7"/>
  <c r="X108" i="7"/>
  <c r="W139" i="7"/>
  <c r="U20" i="7"/>
  <c r="V20" i="7" s="1"/>
  <c r="U28" i="7"/>
  <c r="V28" i="7" s="1"/>
  <c r="U38" i="7"/>
  <c r="V38" i="7" s="1"/>
  <c r="U68" i="7"/>
  <c r="U78" i="7"/>
  <c r="X84" i="7"/>
  <c r="S86" i="7"/>
  <c r="T86" i="7" s="1"/>
  <c r="W86" i="7"/>
  <c r="U88" i="7"/>
  <c r="V88" i="7" s="1"/>
  <c r="W104" i="7"/>
  <c r="U106" i="7"/>
  <c r="V106" i="7" s="1"/>
  <c r="U112" i="7"/>
  <c r="X114" i="7"/>
  <c r="Z116" i="7"/>
  <c r="Q121" i="7"/>
  <c r="W123" i="7"/>
  <c r="N124" i="7"/>
  <c r="X124" i="7" s="1"/>
  <c r="U129" i="7"/>
  <c r="V129" i="7" s="1"/>
  <c r="U137" i="7"/>
  <c r="V137" i="7" s="1"/>
  <c r="W141" i="7"/>
  <c r="Z142" i="7"/>
  <c r="X144" i="7"/>
  <c r="S146" i="7"/>
  <c r="W150" i="7"/>
  <c r="X152" i="7"/>
  <c r="U84" i="7"/>
  <c r="V84" i="7" s="1"/>
  <c r="Z84" i="7"/>
  <c r="X112" i="7"/>
  <c r="T116" i="7"/>
  <c r="T123" i="7"/>
  <c r="X123" i="7"/>
  <c r="U125" i="7"/>
  <c r="V125" i="7" s="1"/>
  <c r="X141" i="7"/>
  <c r="U142" i="7"/>
  <c r="V142" i="7" s="1"/>
  <c r="U144" i="7"/>
  <c r="V144" i="7" s="1"/>
  <c r="X150" i="7"/>
  <c r="U123" i="7"/>
  <c r="V123" i="7" s="1"/>
  <c r="X137" i="7"/>
  <c r="U141" i="7"/>
  <c r="V141" i="7" s="1"/>
  <c r="U150" i="7"/>
  <c r="V150" i="7" s="1"/>
  <c r="Z125" i="6"/>
  <c r="Z127" i="6"/>
  <c r="Z129" i="6"/>
  <c r="AE131" i="6"/>
  <c r="N124" i="6"/>
  <c r="N126" i="6"/>
  <c r="Z126" i="6" s="1"/>
  <c r="L115" i="6"/>
  <c r="R102" i="6"/>
  <c r="Q102" i="6"/>
  <c r="Q97" i="6" s="1"/>
  <c r="L102" i="6"/>
  <c r="Z146" i="7" l="1"/>
  <c r="T146" i="7"/>
  <c r="X139" i="7"/>
  <c r="W146" i="7"/>
  <c r="U139" i="7"/>
  <c r="V139" i="7" s="1"/>
  <c r="M154" i="7"/>
  <c r="N133" i="7"/>
  <c r="Z133" i="7" s="1"/>
  <c r="M10" i="7"/>
  <c r="T133" i="8"/>
  <c r="S118" i="8"/>
  <c r="S154" i="8" s="1"/>
  <c r="Z118" i="8"/>
  <c r="L154" i="8"/>
  <c r="N154" i="8"/>
  <c r="U133" i="8"/>
  <c r="V133" i="8" s="1"/>
  <c r="X133" i="8"/>
  <c r="W133" i="8"/>
  <c r="Z133" i="8"/>
  <c r="X12" i="8"/>
  <c r="U12" i="8"/>
  <c r="V12" i="8" s="1"/>
  <c r="N10" i="8"/>
  <c r="W12" i="8"/>
  <c r="S10" i="8"/>
  <c r="W118" i="8"/>
  <c r="L10" i="8"/>
  <c r="X118" i="8"/>
  <c r="X60" i="7"/>
  <c r="T60" i="7"/>
  <c r="Z60" i="7"/>
  <c r="U126" i="7"/>
  <c r="V126" i="7" s="1"/>
  <c r="U60" i="7"/>
  <c r="V60" i="7" s="1"/>
  <c r="Z124" i="7"/>
  <c r="T139" i="7"/>
  <c r="L118" i="7"/>
  <c r="N12" i="7"/>
  <c r="T12" i="7" s="1"/>
  <c r="U146" i="7"/>
  <c r="V146" i="7" s="1"/>
  <c r="Z121" i="7"/>
  <c r="X121" i="7"/>
  <c r="W121" i="7"/>
  <c r="S121" i="7"/>
  <c r="Q118" i="7"/>
  <c r="S118" i="7" s="1"/>
  <c r="U72" i="7"/>
  <c r="V72" i="7" s="1"/>
  <c r="U124" i="7"/>
  <c r="V124" i="7" s="1"/>
  <c r="U86" i="7"/>
  <c r="V86" i="7" s="1"/>
  <c r="W133" i="7"/>
  <c r="U52" i="7"/>
  <c r="V52" i="7" s="1"/>
  <c r="X52" i="7"/>
  <c r="W52" i="7"/>
  <c r="T52" i="7"/>
  <c r="S102" i="6"/>
  <c r="S88" i="6"/>
  <c r="S86" i="6"/>
  <c r="Q76" i="6"/>
  <c r="S76" i="6" s="1"/>
  <c r="Q62" i="6"/>
  <c r="S62" i="6" s="1"/>
  <c r="S63" i="6"/>
  <c r="U63" i="6" s="1"/>
  <c r="V63" i="6" s="1"/>
  <c r="Q42" i="6"/>
  <c r="Q30" i="6"/>
  <c r="S30" i="6" s="1"/>
  <c r="R130" i="6"/>
  <c r="S128" i="6"/>
  <c r="S120" i="6"/>
  <c r="S118" i="6"/>
  <c r="S105" i="6"/>
  <c r="S99" i="6"/>
  <c r="S90" i="6"/>
  <c r="S70" i="6"/>
  <c r="S68" i="6"/>
  <c r="S64" i="6"/>
  <c r="S60" i="6"/>
  <c r="S54" i="6"/>
  <c r="S46" i="6"/>
  <c r="S28" i="6"/>
  <c r="S14" i="6"/>
  <c r="V129" i="6"/>
  <c r="N128" i="6"/>
  <c r="Z128" i="6" s="1"/>
  <c r="S126" i="6"/>
  <c r="T126" i="6" s="1"/>
  <c r="W126" i="6"/>
  <c r="W125" i="6"/>
  <c r="V125" i="6"/>
  <c r="Z124" i="6"/>
  <c r="X124" i="6"/>
  <c r="S124" i="6"/>
  <c r="U124" i="6" s="1"/>
  <c r="V124" i="6" s="1"/>
  <c r="W124" i="6"/>
  <c r="Z123" i="6"/>
  <c r="V123" i="6"/>
  <c r="Q122" i="6"/>
  <c r="M122" i="6"/>
  <c r="L122" i="6"/>
  <c r="L109" i="6" s="1"/>
  <c r="Z121" i="6"/>
  <c r="V121" i="6"/>
  <c r="N120" i="6"/>
  <c r="X120" i="6" s="1"/>
  <c r="N118" i="6"/>
  <c r="X118" i="6" s="1"/>
  <c r="S117" i="6"/>
  <c r="N117" i="6"/>
  <c r="W117" i="6" s="1"/>
  <c r="S116" i="6"/>
  <c r="N116" i="6"/>
  <c r="Z116" i="6" s="1"/>
  <c r="Q115" i="6"/>
  <c r="Q109" i="6" s="1"/>
  <c r="Q94" i="6" s="1"/>
  <c r="S94" i="6" s="1"/>
  <c r="M115" i="6"/>
  <c r="Z114" i="6"/>
  <c r="V114" i="6"/>
  <c r="S113" i="6"/>
  <c r="N113" i="6"/>
  <c r="Z113" i="6" s="1"/>
  <c r="Z112" i="6"/>
  <c r="V112" i="6"/>
  <c r="S111" i="6"/>
  <c r="N111" i="6"/>
  <c r="Z111" i="6" s="1"/>
  <c r="Z108" i="6"/>
  <c r="V108" i="6"/>
  <c r="N107" i="6"/>
  <c r="U107" i="6" s="1"/>
  <c r="N105" i="6"/>
  <c r="W105" i="6" s="1"/>
  <c r="Z104" i="6"/>
  <c r="V104" i="6"/>
  <c r="N103" i="6"/>
  <c r="S101" i="6"/>
  <c r="N101" i="6"/>
  <c r="Z101" i="6" s="1"/>
  <c r="Q100" i="6"/>
  <c r="L100" i="6"/>
  <c r="N99" i="6"/>
  <c r="W99" i="6" s="1"/>
  <c r="V98" i="6"/>
  <c r="N98" i="6"/>
  <c r="Z98" i="6" s="1"/>
  <c r="S97" i="6"/>
  <c r="M97" i="6"/>
  <c r="L97" i="6"/>
  <c r="Z96" i="6"/>
  <c r="V96" i="6"/>
  <c r="Z95" i="6"/>
  <c r="V95" i="6"/>
  <c r="Z93" i="6"/>
  <c r="S92" i="6"/>
  <c r="N92" i="6"/>
  <c r="X92" i="6" s="1"/>
  <c r="Z91" i="6"/>
  <c r="N90" i="6"/>
  <c r="Z90" i="6" s="1"/>
  <c r="Z89" i="6"/>
  <c r="N88" i="6"/>
  <c r="X88" i="6" s="1"/>
  <c r="Z87" i="6"/>
  <c r="N86" i="6"/>
  <c r="X86" i="6" s="1"/>
  <c r="Z85" i="6"/>
  <c r="Q84" i="6"/>
  <c r="L84" i="6"/>
  <c r="N84" i="6" s="1"/>
  <c r="Z83" i="6"/>
  <c r="V83" i="6"/>
  <c r="S82" i="6"/>
  <c r="N82" i="6"/>
  <c r="Z82" i="6" s="1"/>
  <c r="Z81" i="6"/>
  <c r="V81" i="6"/>
  <c r="S80" i="6"/>
  <c r="N80" i="6"/>
  <c r="W80" i="6" s="1"/>
  <c r="Z79" i="6"/>
  <c r="V79" i="6"/>
  <c r="S78" i="6"/>
  <c r="N78" i="6"/>
  <c r="W78" i="6" s="1"/>
  <c r="Z77" i="6"/>
  <c r="V77" i="6"/>
  <c r="M76" i="6"/>
  <c r="L76" i="6"/>
  <c r="Z75" i="6"/>
  <c r="V75" i="6"/>
  <c r="S74" i="6"/>
  <c r="N74" i="6"/>
  <c r="W74" i="6" s="1"/>
  <c r="Z73" i="6"/>
  <c r="V73" i="6"/>
  <c r="S72" i="6"/>
  <c r="N72" i="6"/>
  <c r="Z72" i="6" s="1"/>
  <c r="Z71" i="6"/>
  <c r="V71" i="6"/>
  <c r="N70" i="6"/>
  <c r="W70" i="6" s="1"/>
  <c r="N68" i="6"/>
  <c r="X68" i="6" s="1"/>
  <c r="S66" i="6"/>
  <c r="N66" i="6"/>
  <c r="N64" i="6"/>
  <c r="X64" i="6" s="1"/>
  <c r="Z63" i="6"/>
  <c r="M62" i="6"/>
  <c r="L62" i="6"/>
  <c r="Z61" i="6"/>
  <c r="V61" i="6"/>
  <c r="N60" i="6"/>
  <c r="X60" i="6" s="1"/>
  <c r="S58" i="6"/>
  <c r="N58" i="6"/>
  <c r="S56" i="6"/>
  <c r="N56" i="6"/>
  <c r="X56" i="6" s="1"/>
  <c r="N54" i="6"/>
  <c r="S52" i="6"/>
  <c r="N52" i="6"/>
  <c r="X52" i="6" s="1"/>
  <c r="Z51" i="6"/>
  <c r="V51" i="6"/>
  <c r="S50" i="6"/>
  <c r="M50" i="6"/>
  <c r="L50" i="6"/>
  <c r="Z49" i="6"/>
  <c r="V49" i="6"/>
  <c r="Z48" i="6"/>
  <c r="X48" i="6"/>
  <c r="W48" i="6"/>
  <c r="S48" i="6"/>
  <c r="T48" i="6" s="1"/>
  <c r="N46" i="6"/>
  <c r="X46" i="6" s="1"/>
  <c r="S44" i="6"/>
  <c r="N44" i="6"/>
  <c r="X44" i="6" s="1"/>
  <c r="Z43" i="6"/>
  <c r="V43" i="6"/>
  <c r="M42" i="6"/>
  <c r="L42" i="6"/>
  <c r="Z41" i="6"/>
  <c r="V41" i="6"/>
  <c r="S40" i="6"/>
  <c r="N40" i="6"/>
  <c r="Z40" i="6" s="1"/>
  <c r="Z39" i="6"/>
  <c r="V39" i="6"/>
  <c r="S38" i="6"/>
  <c r="N38" i="6"/>
  <c r="W38" i="6" s="1"/>
  <c r="Z37" i="6"/>
  <c r="V37" i="6"/>
  <c r="S36" i="6"/>
  <c r="N36" i="6"/>
  <c r="Z36" i="6" s="1"/>
  <c r="Z35" i="6"/>
  <c r="V35" i="6"/>
  <c r="S34" i="6"/>
  <c r="N34" i="6"/>
  <c r="X34" i="6" s="1"/>
  <c r="S32" i="6"/>
  <c r="N32" i="6"/>
  <c r="Z31" i="6"/>
  <c r="V31" i="6"/>
  <c r="L30" i="6"/>
  <c r="N30" i="6" s="1"/>
  <c r="Z29" i="6"/>
  <c r="V29" i="6"/>
  <c r="N28" i="6"/>
  <c r="W28" i="6" s="1"/>
  <c r="Z27" i="6"/>
  <c r="V27" i="6"/>
  <c r="S26" i="6"/>
  <c r="N26" i="6"/>
  <c r="Z26" i="6" s="1"/>
  <c r="Z25" i="6"/>
  <c r="V25" i="6"/>
  <c r="S24" i="6"/>
  <c r="N24" i="6"/>
  <c r="W24" i="6" s="1"/>
  <c r="Z23" i="6"/>
  <c r="V23" i="6"/>
  <c r="S22" i="6"/>
  <c r="N22" i="6"/>
  <c r="Z22" i="6" s="1"/>
  <c r="Z21" i="6"/>
  <c r="V21" i="6"/>
  <c r="S20" i="6"/>
  <c r="N20" i="6"/>
  <c r="W20" i="6" s="1"/>
  <c r="Z19" i="6"/>
  <c r="V19" i="6"/>
  <c r="S18" i="6"/>
  <c r="N18" i="6"/>
  <c r="Z18" i="6" s="1"/>
  <c r="Z17" i="6"/>
  <c r="V17" i="6"/>
  <c r="S16" i="6"/>
  <c r="N16" i="6"/>
  <c r="W16" i="6" s="1"/>
  <c r="Z15" i="6"/>
  <c r="V15" i="6"/>
  <c r="N14" i="6"/>
  <c r="Z14" i="6" s="1"/>
  <c r="V13" i="6"/>
  <c r="O12" i="6"/>
  <c r="O10" i="6" s="1"/>
  <c r="U10" i="5"/>
  <c r="W10" i="5"/>
  <c r="Z10" i="5" s="1"/>
  <c r="Z115" i="5"/>
  <c r="S128" i="4"/>
  <c r="S126" i="4"/>
  <c r="S124" i="4"/>
  <c r="Q122" i="4"/>
  <c r="Z30" i="6" l="1"/>
  <c r="N76" i="6"/>
  <c r="U118" i="8"/>
  <c r="V118" i="8" s="1"/>
  <c r="T118" i="8"/>
  <c r="T44" i="6"/>
  <c r="X133" i="7"/>
  <c r="M109" i="6"/>
  <c r="T16" i="6"/>
  <c r="T18" i="6"/>
  <c r="N62" i="6"/>
  <c r="T62" i="6" s="1"/>
  <c r="U154" i="8"/>
  <c r="V154" i="8" s="1"/>
  <c r="T154" i="8"/>
  <c r="W154" i="8"/>
  <c r="X18" i="6"/>
  <c r="T20" i="6"/>
  <c r="T22" i="6"/>
  <c r="T24" i="6"/>
  <c r="U26" i="6"/>
  <c r="V26" i="6" s="1"/>
  <c r="U78" i="6"/>
  <c r="V78" i="6" s="1"/>
  <c r="X40" i="6"/>
  <c r="N50" i="6"/>
  <c r="Z50" i="6" s="1"/>
  <c r="T10" i="8"/>
  <c r="S122" i="4"/>
  <c r="U10" i="8"/>
  <c r="V10" i="8" s="1"/>
  <c r="X10" i="8"/>
  <c r="W10" i="8"/>
  <c r="X154" i="8"/>
  <c r="X12" i="7"/>
  <c r="W12" i="7"/>
  <c r="U12" i="7"/>
  <c r="V12" i="7" s="1"/>
  <c r="N118" i="7"/>
  <c r="L154" i="7"/>
  <c r="L10" i="7"/>
  <c r="X78" i="6"/>
  <c r="U92" i="6"/>
  <c r="T111" i="6"/>
  <c r="U117" i="6"/>
  <c r="V117" i="6" s="1"/>
  <c r="T52" i="6"/>
  <c r="W26" i="6"/>
  <c r="T38" i="6"/>
  <c r="T40" i="6"/>
  <c r="N97" i="6"/>
  <c r="X97" i="6" s="1"/>
  <c r="T121" i="7"/>
  <c r="U121" i="7"/>
  <c r="V121" i="7" s="1"/>
  <c r="T133" i="7"/>
  <c r="U133" i="7"/>
  <c r="V133" i="7" s="1"/>
  <c r="X118" i="7"/>
  <c r="Q10" i="7"/>
  <c r="Q154" i="7"/>
  <c r="X22" i="6"/>
  <c r="W36" i="6"/>
  <c r="X36" i="6"/>
  <c r="Z117" i="6"/>
  <c r="L94" i="6"/>
  <c r="T128" i="6"/>
  <c r="W22" i="6"/>
  <c r="Z34" i="6"/>
  <c r="T36" i="6"/>
  <c r="W82" i="6"/>
  <c r="X84" i="6"/>
  <c r="X14" i="6"/>
  <c r="Z86" i="6"/>
  <c r="Z88" i="6"/>
  <c r="T68" i="6"/>
  <c r="T105" i="6"/>
  <c r="W18" i="6"/>
  <c r="T26" i="6"/>
  <c r="U34" i="6"/>
  <c r="V34" i="6" s="1"/>
  <c r="W40" i="6"/>
  <c r="N42" i="6"/>
  <c r="Z42" i="6" s="1"/>
  <c r="T58" i="6"/>
  <c r="T66" i="6"/>
  <c r="X72" i="6"/>
  <c r="T74" i="6"/>
  <c r="Z78" i="6"/>
  <c r="T80" i="6"/>
  <c r="U82" i="6"/>
  <c r="V82" i="6" s="1"/>
  <c r="X117" i="6"/>
  <c r="W120" i="6"/>
  <c r="T54" i="6"/>
  <c r="T70" i="6"/>
  <c r="U118" i="6"/>
  <c r="V118" i="6" s="1"/>
  <c r="T30" i="6"/>
  <c r="U88" i="6"/>
  <c r="N122" i="6"/>
  <c r="W122" i="6" s="1"/>
  <c r="T14" i="6"/>
  <c r="T60" i="6"/>
  <c r="T90" i="6"/>
  <c r="T120" i="6"/>
  <c r="U38" i="6"/>
  <c r="V38" i="6" s="1"/>
  <c r="W14" i="6"/>
  <c r="X26" i="6"/>
  <c r="X30" i="6"/>
  <c r="T32" i="6"/>
  <c r="M12" i="6"/>
  <c r="U56" i="6"/>
  <c r="W60" i="6"/>
  <c r="T72" i="6"/>
  <c r="X82" i="6"/>
  <c r="Z92" i="6"/>
  <c r="Z103" i="6"/>
  <c r="N102" i="6"/>
  <c r="T28" i="6"/>
  <c r="T99" i="6"/>
  <c r="T76" i="6"/>
  <c r="W72" i="6"/>
  <c r="S42" i="6"/>
  <c r="Q12" i="6"/>
  <c r="T117" i="6"/>
  <c r="S115" i="6"/>
  <c r="AF118" i="6" s="1"/>
  <c r="U86" i="6"/>
  <c r="S84" i="6"/>
  <c r="U84" i="6" s="1"/>
  <c r="W76" i="6"/>
  <c r="Q130" i="6"/>
  <c r="T34" i="6"/>
  <c r="U48" i="6"/>
  <c r="V48" i="6" s="1"/>
  <c r="T56" i="6"/>
  <c r="U66" i="6"/>
  <c r="T64" i="6"/>
  <c r="U64" i="6"/>
  <c r="T46" i="6"/>
  <c r="U46" i="6"/>
  <c r="U54" i="6"/>
  <c r="U90" i="6"/>
  <c r="U116" i="6"/>
  <c r="V116" i="6" s="1"/>
  <c r="U58" i="6"/>
  <c r="T92" i="6"/>
  <c r="S103" i="6"/>
  <c r="S100" i="6" s="1"/>
  <c r="U32" i="6"/>
  <c r="T78" i="6"/>
  <c r="T82" i="6"/>
  <c r="U128" i="6"/>
  <c r="X42" i="6"/>
  <c r="T50" i="6"/>
  <c r="W50" i="6"/>
  <c r="X50" i="6"/>
  <c r="Z84" i="6"/>
  <c r="M94" i="6"/>
  <c r="M130" i="6" s="1"/>
  <c r="N109" i="6"/>
  <c r="Z109" i="6" s="1"/>
  <c r="U97" i="6"/>
  <c r="V97" i="6" s="1"/>
  <c r="X32" i="6"/>
  <c r="X54" i="6"/>
  <c r="X111" i="6"/>
  <c r="X113" i="6"/>
  <c r="U16" i="6"/>
  <c r="V16" i="6" s="1"/>
  <c r="U20" i="6"/>
  <c r="V20" i="6" s="1"/>
  <c r="Z20" i="6"/>
  <c r="U24" i="6"/>
  <c r="V24" i="6" s="1"/>
  <c r="U28" i="6"/>
  <c r="V28" i="6" s="1"/>
  <c r="Z38" i="6"/>
  <c r="U44" i="6"/>
  <c r="U70" i="6"/>
  <c r="V70" i="6" s="1"/>
  <c r="U74" i="6"/>
  <c r="V74" i="6" s="1"/>
  <c r="U76" i="6"/>
  <c r="V76" i="6" s="1"/>
  <c r="U80" i="6"/>
  <c r="V80" i="6" s="1"/>
  <c r="X90" i="6"/>
  <c r="U99" i="6"/>
  <c r="V99" i="6" s="1"/>
  <c r="Z99" i="6"/>
  <c r="U105" i="6"/>
  <c r="V105" i="6" s="1"/>
  <c r="X116" i="6"/>
  <c r="Z122" i="6"/>
  <c r="U126" i="6"/>
  <c r="V126" i="6" s="1"/>
  <c r="X128" i="6"/>
  <c r="L12" i="6"/>
  <c r="X16" i="6"/>
  <c r="X20" i="6"/>
  <c r="X24" i="6"/>
  <c r="X28" i="6"/>
  <c r="U30" i="6"/>
  <c r="V30" i="6" s="1"/>
  <c r="X38" i="6"/>
  <c r="U52" i="6"/>
  <c r="X58" i="6"/>
  <c r="U60" i="6"/>
  <c r="V60" i="6" s="1"/>
  <c r="Z60" i="6"/>
  <c r="X66" i="6"/>
  <c r="U68" i="6"/>
  <c r="X70" i="6"/>
  <c r="X74" i="6"/>
  <c r="X76" i="6"/>
  <c r="X80" i="6"/>
  <c r="X99" i="6"/>
  <c r="U101" i="6"/>
  <c r="V101" i="6" s="1"/>
  <c r="X105" i="6"/>
  <c r="X107" i="6"/>
  <c r="U111" i="6"/>
  <c r="V111" i="6" s="1"/>
  <c r="U113" i="6"/>
  <c r="V113" i="6" s="1"/>
  <c r="N115" i="6"/>
  <c r="Z118" i="6"/>
  <c r="U120" i="6"/>
  <c r="V120" i="6" s="1"/>
  <c r="Z120" i="6"/>
  <c r="X122" i="6"/>
  <c r="X126" i="6"/>
  <c r="X101" i="6"/>
  <c r="X103" i="6"/>
  <c r="Z16" i="6"/>
  <c r="Z24" i="6"/>
  <c r="Z28" i="6"/>
  <c r="Z70" i="6"/>
  <c r="Z74" i="6"/>
  <c r="Z76" i="6"/>
  <c r="Z80" i="6"/>
  <c r="Z105" i="6"/>
  <c r="U14" i="6"/>
  <c r="V14" i="6" s="1"/>
  <c r="U18" i="6"/>
  <c r="V18" i="6" s="1"/>
  <c r="U22" i="6"/>
  <c r="V22" i="6" s="1"/>
  <c r="U36" i="6"/>
  <c r="V36" i="6" s="1"/>
  <c r="U40" i="6"/>
  <c r="V40" i="6" s="1"/>
  <c r="U72" i="6"/>
  <c r="V72" i="6" s="1"/>
  <c r="N100" i="6"/>
  <c r="X100" i="6" s="1"/>
  <c r="S109" i="6"/>
  <c r="S122" i="6"/>
  <c r="T122" i="6" s="1"/>
  <c r="W128" i="5"/>
  <c r="W117" i="5"/>
  <c r="W107" i="5"/>
  <c r="W88" i="5"/>
  <c r="W86" i="5"/>
  <c r="R130" i="5"/>
  <c r="AA129" i="5"/>
  <c r="V129" i="5"/>
  <c r="N128" i="5"/>
  <c r="S126" i="5"/>
  <c r="W126" i="5" s="1"/>
  <c r="Z126" i="5" s="1"/>
  <c r="N126" i="5"/>
  <c r="AA125" i="5"/>
  <c r="V125" i="5"/>
  <c r="S124" i="5"/>
  <c r="W124" i="5" s="1"/>
  <c r="N124" i="5"/>
  <c r="AA124" i="5" s="1"/>
  <c r="AA123" i="5"/>
  <c r="V123" i="5"/>
  <c r="S122" i="5"/>
  <c r="M122" i="5"/>
  <c r="L122" i="5"/>
  <c r="L109" i="5" s="1"/>
  <c r="AA121" i="5"/>
  <c r="V121" i="5"/>
  <c r="S120" i="5"/>
  <c r="W120" i="5" s="1"/>
  <c r="N120" i="5"/>
  <c r="S118" i="5"/>
  <c r="W118" i="5" s="1"/>
  <c r="N118" i="5"/>
  <c r="X118" i="5" s="1"/>
  <c r="N117" i="5"/>
  <c r="AA117" i="5" s="1"/>
  <c r="S116" i="5"/>
  <c r="N116" i="5"/>
  <c r="AA116" i="5" s="1"/>
  <c r="Q115" i="5"/>
  <c r="S115" i="5" s="1"/>
  <c r="M115" i="5"/>
  <c r="N115" i="5" s="1"/>
  <c r="AA114" i="5"/>
  <c r="V114" i="5"/>
  <c r="S113" i="5"/>
  <c r="W113" i="5" s="1"/>
  <c r="N113" i="5"/>
  <c r="X113" i="5" s="1"/>
  <c r="AA112" i="5"/>
  <c r="V112" i="5"/>
  <c r="S111" i="5"/>
  <c r="W111" i="5" s="1"/>
  <c r="N111" i="5"/>
  <c r="X111" i="5" s="1"/>
  <c r="S109" i="5"/>
  <c r="M109" i="5"/>
  <c r="AA108" i="5"/>
  <c r="V108" i="5"/>
  <c r="N107" i="5"/>
  <c r="X107" i="5" s="1"/>
  <c r="S105" i="5"/>
  <c r="W105" i="5" s="1"/>
  <c r="N105" i="5"/>
  <c r="AA105" i="5" s="1"/>
  <c r="AA104" i="5"/>
  <c r="V104" i="5"/>
  <c r="S103" i="5"/>
  <c r="W103" i="5" s="1"/>
  <c r="N103" i="5"/>
  <c r="X103" i="5" s="1"/>
  <c r="AA102" i="5"/>
  <c r="V102" i="5"/>
  <c r="S101" i="5"/>
  <c r="S100" i="5" s="1"/>
  <c r="N101" i="5"/>
  <c r="X101" i="5" s="1"/>
  <c r="Q100" i="5"/>
  <c r="L100" i="5"/>
  <c r="S99" i="5"/>
  <c r="W99" i="5" s="1"/>
  <c r="Z99" i="5" s="1"/>
  <c r="N99" i="5"/>
  <c r="AA99" i="5" s="1"/>
  <c r="V98" i="5"/>
  <c r="N98" i="5"/>
  <c r="AA98" i="5" s="1"/>
  <c r="S97" i="5"/>
  <c r="M97" i="5"/>
  <c r="L97" i="5"/>
  <c r="AA96" i="5"/>
  <c r="V96" i="5"/>
  <c r="AA95" i="5"/>
  <c r="V95" i="5"/>
  <c r="S94" i="5"/>
  <c r="AA93" i="5"/>
  <c r="S92" i="5"/>
  <c r="W92" i="5" s="1"/>
  <c r="Z92" i="5" s="1"/>
  <c r="N92" i="5"/>
  <c r="AA92" i="5" s="1"/>
  <c r="AA91" i="5"/>
  <c r="S90" i="5"/>
  <c r="W90" i="5" s="1"/>
  <c r="Z90" i="5" s="1"/>
  <c r="N90" i="5"/>
  <c r="X90" i="5" s="1"/>
  <c r="AA89" i="5"/>
  <c r="N88" i="5"/>
  <c r="U88" i="5" s="1"/>
  <c r="AA87" i="5"/>
  <c r="U86" i="5"/>
  <c r="N86" i="5"/>
  <c r="X86" i="5" s="1"/>
  <c r="AA85" i="5"/>
  <c r="Q84" i="5"/>
  <c r="L84" i="5"/>
  <c r="N84" i="5" s="1"/>
  <c r="AA83" i="5"/>
  <c r="V83" i="5"/>
  <c r="S82" i="5"/>
  <c r="W82" i="5" s="1"/>
  <c r="Z82" i="5" s="1"/>
  <c r="N82" i="5"/>
  <c r="AA81" i="5"/>
  <c r="V81" i="5"/>
  <c r="S80" i="5"/>
  <c r="W80" i="5" s="1"/>
  <c r="N80" i="5"/>
  <c r="AA80" i="5" s="1"/>
  <c r="AA79" i="5"/>
  <c r="V79" i="5"/>
  <c r="S78" i="5"/>
  <c r="W78" i="5" s="1"/>
  <c r="N78" i="5"/>
  <c r="AA77" i="5"/>
  <c r="V77" i="5"/>
  <c r="S76" i="5"/>
  <c r="M76" i="5"/>
  <c r="L76" i="5"/>
  <c r="AA75" i="5"/>
  <c r="V75" i="5"/>
  <c r="S74" i="5"/>
  <c r="W74" i="5" s="1"/>
  <c r="Z74" i="5" s="1"/>
  <c r="N74" i="5"/>
  <c r="AA74" i="5" s="1"/>
  <c r="AA73" i="5"/>
  <c r="V73" i="5"/>
  <c r="S72" i="5"/>
  <c r="W72" i="5" s="1"/>
  <c r="N72" i="5"/>
  <c r="AA71" i="5"/>
  <c r="V71" i="5"/>
  <c r="S70" i="5"/>
  <c r="W70" i="5" s="1"/>
  <c r="N70" i="5"/>
  <c r="AA70" i="5" s="1"/>
  <c r="S68" i="5"/>
  <c r="W68" i="5" s="1"/>
  <c r="N68" i="5"/>
  <c r="X68" i="5" s="1"/>
  <c r="S66" i="5"/>
  <c r="N66" i="5"/>
  <c r="X66" i="5" s="1"/>
  <c r="S64" i="5"/>
  <c r="N64" i="5"/>
  <c r="X64" i="5" s="1"/>
  <c r="AA63" i="5"/>
  <c r="V63" i="5"/>
  <c r="S62" i="5"/>
  <c r="M62" i="5"/>
  <c r="L62" i="5"/>
  <c r="AA61" i="5"/>
  <c r="V61" i="5"/>
  <c r="S60" i="5"/>
  <c r="N60" i="5"/>
  <c r="W60" i="5" s="1"/>
  <c r="S58" i="5"/>
  <c r="N58" i="5"/>
  <c r="X58" i="5" s="1"/>
  <c r="S56" i="5"/>
  <c r="N56" i="5"/>
  <c r="X56" i="5" s="1"/>
  <c r="S54" i="5"/>
  <c r="N54" i="5"/>
  <c r="S52" i="5"/>
  <c r="N52" i="5"/>
  <c r="X52" i="5" s="1"/>
  <c r="AA51" i="5"/>
  <c r="V51" i="5"/>
  <c r="S50" i="5"/>
  <c r="M50" i="5"/>
  <c r="L50" i="5"/>
  <c r="AA49" i="5"/>
  <c r="V49" i="5"/>
  <c r="AA48" i="5"/>
  <c r="X48" i="5"/>
  <c r="S48" i="5"/>
  <c r="T48" i="5" s="1"/>
  <c r="S46" i="5"/>
  <c r="N46" i="5"/>
  <c r="X46" i="5" s="1"/>
  <c r="S44" i="5"/>
  <c r="N44" i="5"/>
  <c r="AA43" i="5"/>
  <c r="V43" i="5"/>
  <c r="S42" i="5"/>
  <c r="M42" i="5"/>
  <c r="L42" i="5"/>
  <c r="AA41" i="5"/>
  <c r="V41" i="5"/>
  <c r="S40" i="5"/>
  <c r="W40" i="5" s="1"/>
  <c r="Z40" i="5" s="1"/>
  <c r="N40" i="5"/>
  <c r="AA39" i="5"/>
  <c r="V39" i="5"/>
  <c r="S38" i="5"/>
  <c r="W38" i="5" s="1"/>
  <c r="Z38" i="5" s="1"/>
  <c r="N38" i="5"/>
  <c r="AA38" i="5" s="1"/>
  <c r="AA37" i="5"/>
  <c r="V37" i="5"/>
  <c r="S36" i="5"/>
  <c r="N36" i="5"/>
  <c r="AA35" i="5"/>
  <c r="V35" i="5"/>
  <c r="S34" i="5"/>
  <c r="W34" i="5" s="1"/>
  <c r="N34" i="5"/>
  <c r="AA34" i="5" s="1"/>
  <c r="S32" i="5"/>
  <c r="W32" i="5" s="1"/>
  <c r="N32" i="5"/>
  <c r="AA31" i="5"/>
  <c r="V31" i="5"/>
  <c r="S30" i="5"/>
  <c r="L30" i="5"/>
  <c r="N30" i="5" s="1"/>
  <c r="AA29" i="5"/>
  <c r="V29" i="5"/>
  <c r="S28" i="5"/>
  <c r="W28" i="5" s="1"/>
  <c r="Z28" i="5" s="1"/>
  <c r="N28" i="5"/>
  <c r="AA28" i="5" s="1"/>
  <c r="AA27" i="5"/>
  <c r="V27" i="5"/>
  <c r="S26" i="5"/>
  <c r="N26" i="5"/>
  <c r="AA25" i="5"/>
  <c r="V25" i="5"/>
  <c r="S24" i="5"/>
  <c r="W24" i="5" s="1"/>
  <c r="Z24" i="5" s="1"/>
  <c r="N24" i="5"/>
  <c r="AA24" i="5" s="1"/>
  <c r="AA23" i="5"/>
  <c r="V23" i="5"/>
  <c r="S22" i="5"/>
  <c r="N22" i="5"/>
  <c r="AA21" i="5"/>
  <c r="V21" i="5"/>
  <c r="S20" i="5"/>
  <c r="W20" i="5" s="1"/>
  <c r="Z20" i="5" s="1"/>
  <c r="N20" i="5"/>
  <c r="AA20" i="5" s="1"/>
  <c r="AA19" i="5"/>
  <c r="V19" i="5"/>
  <c r="S18" i="5"/>
  <c r="N18" i="5"/>
  <c r="AA17" i="5"/>
  <c r="V17" i="5"/>
  <c r="S16" i="5"/>
  <c r="W16" i="5" s="1"/>
  <c r="Z16" i="5" s="1"/>
  <c r="N16" i="5"/>
  <c r="AA16" i="5" s="1"/>
  <c r="AA15" i="5"/>
  <c r="V15" i="5"/>
  <c r="S14" i="5"/>
  <c r="N14" i="5"/>
  <c r="AA14" i="5" s="1"/>
  <c r="V13" i="5"/>
  <c r="Q12" i="5"/>
  <c r="O12" i="5"/>
  <c r="O10" i="5" s="1"/>
  <c r="L12" i="5"/>
  <c r="W42" i="6" l="1"/>
  <c r="Z62" i="6"/>
  <c r="U62" i="6"/>
  <c r="V62" i="6" s="1"/>
  <c r="Z97" i="6"/>
  <c r="U50" i="6"/>
  <c r="V50" i="6" s="1"/>
  <c r="X62" i="6"/>
  <c r="W62" i="6"/>
  <c r="T44" i="5"/>
  <c r="N76" i="5"/>
  <c r="U76" i="5" s="1"/>
  <c r="V76" i="5" s="1"/>
  <c r="X80" i="5"/>
  <c r="N94" i="6"/>
  <c r="W97" i="6"/>
  <c r="X20" i="5"/>
  <c r="T22" i="5"/>
  <c r="W30" i="5"/>
  <c r="Z30" i="5" s="1"/>
  <c r="T97" i="6"/>
  <c r="T84" i="6"/>
  <c r="T42" i="6"/>
  <c r="N154" i="7"/>
  <c r="W154" i="7" s="1"/>
  <c r="N10" i="7"/>
  <c r="X10" i="7" s="1"/>
  <c r="W118" i="7"/>
  <c r="Z118" i="7"/>
  <c r="U60" i="5"/>
  <c r="V60" i="5" s="1"/>
  <c r="T54" i="5"/>
  <c r="AA60" i="5"/>
  <c r="W97" i="5"/>
  <c r="T52" i="5"/>
  <c r="T56" i="5"/>
  <c r="T117" i="5"/>
  <c r="T118" i="7"/>
  <c r="U118" i="7"/>
  <c r="V118" i="7" s="1"/>
  <c r="S154" i="7"/>
  <c r="S10" i="7"/>
  <c r="T14" i="5"/>
  <c r="U32" i="5"/>
  <c r="N50" i="5"/>
  <c r="X50" i="5" s="1"/>
  <c r="U54" i="5"/>
  <c r="T60" i="5"/>
  <c r="T68" i="5"/>
  <c r="W76" i="5"/>
  <c r="Z76" i="5" s="1"/>
  <c r="T105" i="5"/>
  <c r="M10" i="6"/>
  <c r="T46" i="5"/>
  <c r="U107" i="5"/>
  <c r="M12" i="5"/>
  <c r="N12" i="5" s="1"/>
  <c r="W62" i="5"/>
  <c r="Z62" i="5" s="1"/>
  <c r="T70" i="5"/>
  <c r="T90" i="5"/>
  <c r="T16" i="5"/>
  <c r="X16" i="5"/>
  <c r="T18" i="5"/>
  <c r="X24" i="5"/>
  <c r="T26" i="5"/>
  <c r="T36" i="5"/>
  <c r="U52" i="5"/>
  <c r="X60" i="5"/>
  <c r="N62" i="5"/>
  <c r="U62" i="5" s="1"/>
  <c r="V62" i="5" s="1"/>
  <c r="T66" i="5"/>
  <c r="U68" i="5"/>
  <c r="X70" i="5"/>
  <c r="T80" i="5"/>
  <c r="U90" i="5"/>
  <c r="X99" i="5"/>
  <c r="W100" i="5"/>
  <c r="Z100" i="5" s="1"/>
  <c r="AA103" i="5"/>
  <c r="U124" i="5"/>
  <c r="V124" i="5" s="1"/>
  <c r="W14" i="5"/>
  <c r="Z14" i="5" s="1"/>
  <c r="W22" i="5"/>
  <c r="Z22" i="5" s="1"/>
  <c r="W66" i="5"/>
  <c r="T20" i="5"/>
  <c r="T28" i="5"/>
  <c r="T38" i="5"/>
  <c r="W42" i="5"/>
  <c r="Z42" i="5" s="1"/>
  <c r="T74" i="5"/>
  <c r="AA90" i="5"/>
  <c r="N97" i="5"/>
  <c r="X97" i="5" s="1"/>
  <c r="U101" i="5"/>
  <c r="V101" i="5" s="1"/>
  <c r="L94" i="5"/>
  <c r="L130" i="5" s="1"/>
  <c r="X124" i="5"/>
  <c r="W26" i="5"/>
  <c r="Z26" i="5" s="1"/>
  <c r="W44" i="5"/>
  <c r="U102" i="6"/>
  <c r="V102" i="6" s="1"/>
  <c r="Z102" i="6"/>
  <c r="X28" i="5"/>
  <c r="T32" i="5"/>
  <c r="X38" i="5"/>
  <c r="T40" i="5"/>
  <c r="W50" i="5"/>
  <c r="Z50" i="5" s="1"/>
  <c r="T64" i="5"/>
  <c r="X74" i="5"/>
  <c r="AA84" i="5"/>
  <c r="AA101" i="5"/>
  <c r="X105" i="5"/>
  <c r="X117" i="5"/>
  <c r="W18" i="5"/>
  <c r="Z18" i="5" s="1"/>
  <c r="W36" i="5"/>
  <c r="Z36" i="5" s="1"/>
  <c r="W46" i="5"/>
  <c r="W101" i="5"/>
  <c r="T24" i="5"/>
  <c r="T99" i="5"/>
  <c r="U103" i="5"/>
  <c r="V103" i="5" s="1"/>
  <c r="M94" i="5"/>
  <c r="U113" i="5"/>
  <c r="V113" i="5" s="1"/>
  <c r="U42" i="6"/>
  <c r="V42" i="6" s="1"/>
  <c r="T115" i="6"/>
  <c r="T109" i="6"/>
  <c r="Q10" i="6"/>
  <c r="S10" i="6" s="1"/>
  <c r="S12" i="6"/>
  <c r="S130" i="6" s="1"/>
  <c r="U103" i="6"/>
  <c r="V103" i="6" s="1"/>
  <c r="X94" i="6"/>
  <c r="Z94" i="6"/>
  <c r="U94" i="6"/>
  <c r="V94" i="6" s="1"/>
  <c r="W94" i="6"/>
  <c r="W115" i="6"/>
  <c r="U115" i="6"/>
  <c r="V115" i="6" s="1"/>
  <c r="Z100" i="6"/>
  <c r="U100" i="6"/>
  <c r="V100" i="6" s="1"/>
  <c r="L130" i="6"/>
  <c r="L10" i="6"/>
  <c r="N12" i="6"/>
  <c r="U109" i="6"/>
  <c r="V109" i="6" s="1"/>
  <c r="U122" i="6"/>
  <c r="V122" i="6" s="1"/>
  <c r="T94" i="6"/>
  <c r="Z115" i="6"/>
  <c r="X109" i="6"/>
  <c r="X115" i="6"/>
  <c r="W109" i="6"/>
  <c r="AA111" i="5"/>
  <c r="U111" i="5"/>
  <c r="V111" i="5" s="1"/>
  <c r="W123" i="5"/>
  <c r="Z123" i="5" s="1"/>
  <c r="AA118" i="5"/>
  <c r="U118" i="5"/>
  <c r="V118" i="5" s="1"/>
  <c r="N122" i="5"/>
  <c r="X122" i="5" s="1"/>
  <c r="W122" i="5"/>
  <c r="X128" i="5"/>
  <c r="U128" i="5"/>
  <c r="N109" i="5"/>
  <c r="X109" i="5" s="1"/>
  <c r="AA113" i="5"/>
  <c r="W109" i="5"/>
  <c r="T97" i="5"/>
  <c r="N100" i="5"/>
  <c r="X100" i="5" s="1"/>
  <c r="W48" i="5"/>
  <c r="X34" i="5"/>
  <c r="U44" i="5"/>
  <c r="N42" i="5"/>
  <c r="AA42" i="5" s="1"/>
  <c r="T34" i="5"/>
  <c r="T62" i="5"/>
  <c r="AA76" i="5"/>
  <c r="T76" i="5"/>
  <c r="T30" i="5"/>
  <c r="X30" i="5"/>
  <c r="AA30" i="5"/>
  <c r="U30" i="5"/>
  <c r="V30" i="5" s="1"/>
  <c r="M10" i="5"/>
  <c r="U115" i="5"/>
  <c r="V115" i="5" s="1"/>
  <c r="X84" i="5"/>
  <c r="U14" i="5"/>
  <c r="V14" i="5" s="1"/>
  <c r="U18" i="5"/>
  <c r="V18" i="5" s="1"/>
  <c r="AA22" i="5"/>
  <c r="U26" i="5"/>
  <c r="V26" i="5" s="1"/>
  <c r="U36" i="5"/>
  <c r="V36" i="5" s="1"/>
  <c r="U58" i="5"/>
  <c r="U66" i="5"/>
  <c r="AA72" i="5"/>
  <c r="U78" i="5"/>
  <c r="V78" i="5" s="1"/>
  <c r="AA82" i="5"/>
  <c r="U120" i="5"/>
  <c r="V120" i="5" s="1"/>
  <c r="AA126" i="5"/>
  <c r="X14" i="5"/>
  <c r="X18" i="5"/>
  <c r="X22" i="5"/>
  <c r="X26" i="5"/>
  <c r="X32" i="5"/>
  <c r="U34" i="5"/>
  <c r="V34" i="5" s="1"/>
  <c r="X36" i="5"/>
  <c r="X40" i="5"/>
  <c r="X44" i="5"/>
  <c r="U46" i="5"/>
  <c r="U48" i="5"/>
  <c r="V48" i="5" s="1"/>
  <c r="X54" i="5"/>
  <c r="U56" i="5"/>
  <c r="T58" i="5"/>
  <c r="U64" i="5"/>
  <c r="T72" i="5"/>
  <c r="X72" i="5"/>
  <c r="T78" i="5"/>
  <c r="X78" i="5"/>
  <c r="T82" i="5"/>
  <c r="X82" i="5"/>
  <c r="AA86" i="5"/>
  <c r="X88" i="5"/>
  <c r="T92" i="5"/>
  <c r="U97" i="5"/>
  <c r="V97" i="5" s="1"/>
  <c r="AA97" i="5"/>
  <c r="X115" i="5"/>
  <c r="U116" i="5"/>
  <c r="V116" i="5" s="1"/>
  <c r="T120" i="5"/>
  <c r="X120" i="5"/>
  <c r="T126" i="5"/>
  <c r="X126" i="5"/>
  <c r="X92" i="5"/>
  <c r="X116" i="5"/>
  <c r="AA18" i="5"/>
  <c r="U22" i="5"/>
  <c r="V22" i="5" s="1"/>
  <c r="AA26" i="5"/>
  <c r="AA36" i="5"/>
  <c r="U40" i="5"/>
  <c r="V40" i="5" s="1"/>
  <c r="AA40" i="5"/>
  <c r="U72" i="5"/>
  <c r="V72" i="5" s="1"/>
  <c r="AA78" i="5"/>
  <c r="U82" i="5"/>
  <c r="V82" i="5" s="1"/>
  <c r="AA88" i="5"/>
  <c r="U92" i="5"/>
  <c r="AA115" i="5"/>
  <c r="AA120" i="5"/>
  <c r="U126" i="5"/>
  <c r="V126" i="5" s="1"/>
  <c r="Q130" i="5"/>
  <c r="Q10" i="5"/>
  <c r="S12" i="5"/>
  <c r="W12" i="5" s="1"/>
  <c r="U16" i="5"/>
  <c r="V16" i="5" s="1"/>
  <c r="U20" i="5"/>
  <c r="V20" i="5" s="1"/>
  <c r="U24" i="5"/>
  <c r="V24" i="5" s="1"/>
  <c r="U28" i="5"/>
  <c r="V28" i="5" s="1"/>
  <c r="U38" i="5"/>
  <c r="V38" i="5" s="1"/>
  <c r="U70" i="5"/>
  <c r="V70" i="5" s="1"/>
  <c r="U74" i="5"/>
  <c r="V74" i="5" s="1"/>
  <c r="U80" i="5"/>
  <c r="V80" i="5" s="1"/>
  <c r="S84" i="5"/>
  <c r="U99" i="5"/>
  <c r="V99" i="5" s="1"/>
  <c r="U105" i="5"/>
  <c r="V105" i="5" s="1"/>
  <c r="T115" i="5"/>
  <c r="U117" i="5"/>
  <c r="V117" i="5" s="1"/>
  <c r="U42" i="5" l="1"/>
  <c r="V42" i="5" s="1"/>
  <c r="AA50" i="5"/>
  <c r="M130" i="5"/>
  <c r="X76" i="5"/>
  <c r="X62" i="5"/>
  <c r="W94" i="5"/>
  <c r="U50" i="5"/>
  <c r="V50" i="5" s="1"/>
  <c r="T50" i="5"/>
  <c r="AA62" i="5"/>
  <c r="N94" i="5"/>
  <c r="X94" i="5" s="1"/>
  <c r="W10" i="7"/>
  <c r="X154" i="7"/>
  <c r="T10" i="7"/>
  <c r="U10" i="7"/>
  <c r="V10" i="7" s="1"/>
  <c r="T154" i="7"/>
  <c r="U154" i="7"/>
  <c r="V154" i="7" s="1"/>
  <c r="T94" i="5"/>
  <c r="X42" i="5"/>
  <c r="T109" i="5"/>
  <c r="T84" i="5"/>
  <c r="W84" i="5"/>
  <c r="Z84" i="5" s="1"/>
  <c r="U12" i="6"/>
  <c r="V12" i="6" s="1"/>
  <c r="N10" i="6"/>
  <c r="T12" i="6"/>
  <c r="W12" i="6"/>
  <c r="X12" i="6"/>
  <c r="N130" i="6"/>
  <c r="U122" i="5"/>
  <c r="V122" i="5" s="1"/>
  <c r="T122" i="5"/>
  <c r="AA122" i="5"/>
  <c r="AA109" i="5"/>
  <c r="U109" i="5"/>
  <c r="V109" i="5" s="1"/>
  <c r="U100" i="5"/>
  <c r="V100" i="5" s="1"/>
  <c r="AA100" i="5"/>
  <c r="T42" i="5"/>
  <c r="U12" i="5"/>
  <c r="V12" i="5" s="1"/>
  <c r="S130" i="5"/>
  <c r="T12" i="5"/>
  <c r="X12" i="5"/>
  <c r="N130" i="5"/>
  <c r="U84" i="5"/>
  <c r="U94" i="5" l="1"/>
  <c r="V94" i="5" s="1"/>
  <c r="AA94" i="5"/>
  <c r="N10" i="5"/>
  <c r="T10" i="5" s="1"/>
  <c r="U130" i="6"/>
  <c r="V130" i="6" s="1"/>
  <c r="W130" i="6"/>
  <c r="T130" i="6"/>
  <c r="X130" i="6"/>
  <c r="W10" i="6"/>
  <c r="U10" i="6"/>
  <c r="V10" i="6" s="1"/>
  <c r="T10" i="6"/>
  <c r="X10" i="6"/>
  <c r="V10" i="5"/>
  <c r="U130" i="5"/>
  <c r="V130" i="5" s="1"/>
  <c r="W130" i="5"/>
  <c r="X10" i="5"/>
  <c r="T130" i="5"/>
  <c r="X130" i="5"/>
  <c r="Z85" i="4"/>
  <c r="Z87" i="4"/>
  <c r="Z89" i="4"/>
  <c r="Z91" i="4"/>
  <c r="Z93" i="4"/>
  <c r="R130" i="4" l="1"/>
  <c r="Z129" i="4"/>
  <c r="V129" i="4"/>
  <c r="N128" i="4"/>
  <c r="N126" i="4"/>
  <c r="Z125" i="4"/>
  <c r="W125" i="4"/>
  <c r="V125" i="4"/>
  <c r="N124" i="4"/>
  <c r="W124" i="4" s="1"/>
  <c r="Z123" i="4"/>
  <c r="V123" i="4"/>
  <c r="M122" i="4"/>
  <c r="L122" i="4"/>
  <c r="Z121" i="4"/>
  <c r="V121" i="4"/>
  <c r="S120" i="4"/>
  <c r="N120" i="4"/>
  <c r="W120" i="4" s="1"/>
  <c r="S118" i="4"/>
  <c r="N118" i="4"/>
  <c r="Z118" i="4" s="1"/>
  <c r="S117" i="4"/>
  <c r="N117" i="4"/>
  <c r="W117" i="4" s="1"/>
  <c r="S116" i="4"/>
  <c r="N116" i="4"/>
  <c r="X116" i="4" s="1"/>
  <c r="Q115" i="4"/>
  <c r="Q109" i="4" s="1"/>
  <c r="Q94" i="4" s="1"/>
  <c r="M115" i="4"/>
  <c r="L115" i="4"/>
  <c r="Z114" i="4"/>
  <c r="V114" i="4"/>
  <c r="S113" i="4"/>
  <c r="N113" i="4"/>
  <c r="X113" i="4" s="1"/>
  <c r="Z112" i="4"/>
  <c r="V112" i="4"/>
  <c r="S111" i="4"/>
  <c r="N111" i="4"/>
  <c r="X111" i="4" s="1"/>
  <c r="Z108" i="4"/>
  <c r="V108" i="4"/>
  <c r="N107" i="4"/>
  <c r="S105" i="4"/>
  <c r="N105" i="4"/>
  <c r="Z104" i="4"/>
  <c r="V104" i="4"/>
  <c r="S103" i="4"/>
  <c r="N103" i="4"/>
  <c r="X103" i="4" s="1"/>
  <c r="Z102" i="4"/>
  <c r="V102" i="4"/>
  <c r="S101" i="4"/>
  <c r="N101" i="4"/>
  <c r="X101" i="4" s="1"/>
  <c r="Q100" i="4"/>
  <c r="L100" i="4"/>
  <c r="S99" i="4"/>
  <c r="N99" i="4"/>
  <c r="V98" i="4"/>
  <c r="N98" i="4"/>
  <c r="Z98" i="4" s="1"/>
  <c r="M97" i="4"/>
  <c r="L97" i="4"/>
  <c r="Z96" i="4"/>
  <c r="V96" i="4"/>
  <c r="Z95" i="4"/>
  <c r="V95" i="4"/>
  <c r="S92" i="4"/>
  <c r="N92" i="4"/>
  <c r="S90" i="4"/>
  <c r="N90" i="4"/>
  <c r="N88" i="4"/>
  <c r="N86" i="4"/>
  <c r="Q84" i="4"/>
  <c r="L84" i="4"/>
  <c r="N84" i="4" s="1"/>
  <c r="Z83" i="4"/>
  <c r="V83" i="4"/>
  <c r="S82" i="4"/>
  <c r="N82" i="4"/>
  <c r="W82" i="4" s="1"/>
  <c r="Z81" i="4"/>
  <c r="V81" i="4"/>
  <c r="S80" i="4"/>
  <c r="N80" i="4"/>
  <c r="W80" i="4" s="1"/>
  <c r="Z79" i="4"/>
  <c r="V79" i="4"/>
  <c r="S78" i="4"/>
  <c r="N78" i="4"/>
  <c r="W78" i="4" s="1"/>
  <c r="Z77" i="4"/>
  <c r="V77" i="4"/>
  <c r="S76" i="4"/>
  <c r="M76" i="4"/>
  <c r="L76" i="4"/>
  <c r="Z75" i="4"/>
  <c r="V75" i="4"/>
  <c r="S74" i="4"/>
  <c r="N74" i="4"/>
  <c r="Z74" i="4" s="1"/>
  <c r="Z73" i="4"/>
  <c r="V73" i="4"/>
  <c r="S72" i="4"/>
  <c r="N72" i="4"/>
  <c r="Z71" i="4"/>
  <c r="V71" i="4"/>
  <c r="S70" i="4"/>
  <c r="N70" i="4"/>
  <c r="Z70" i="4" s="1"/>
  <c r="S68" i="4"/>
  <c r="N68" i="4"/>
  <c r="X68" i="4" s="1"/>
  <c r="S66" i="4"/>
  <c r="N66" i="4"/>
  <c r="X66" i="4" s="1"/>
  <c r="S64" i="4"/>
  <c r="N64" i="4"/>
  <c r="Z63" i="4"/>
  <c r="V63" i="4"/>
  <c r="M62" i="4"/>
  <c r="L62" i="4"/>
  <c r="Z61" i="4"/>
  <c r="V61" i="4"/>
  <c r="S60" i="4"/>
  <c r="N60" i="4"/>
  <c r="S58" i="4"/>
  <c r="N58" i="4"/>
  <c r="S56" i="4"/>
  <c r="N56" i="4"/>
  <c r="X56" i="4" s="1"/>
  <c r="S54" i="4"/>
  <c r="N54" i="4"/>
  <c r="X54" i="4" s="1"/>
  <c r="S52" i="4"/>
  <c r="N52" i="4"/>
  <c r="Z51" i="4"/>
  <c r="V51" i="4"/>
  <c r="S50" i="4"/>
  <c r="M50" i="4"/>
  <c r="L50" i="4"/>
  <c r="Z49" i="4"/>
  <c r="V49" i="4"/>
  <c r="Z48" i="4"/>
  <c r="X48" i="4"/>
  <c r="W48" i="4"/>
  <c r="S48" i="4"/>
  <c r="T48" i="4" s="1"/>
  <c r="S46" i="4"/>
  <c r="N46" i="4"/>
  <c r="X46" i="4" s="1"/>
  <c r="S44" i="4"/>
  <c r="N44" i="4"/>
  <c r="X44" i="4" s="1"/>
  <c r="Z43" i="4"/>
  <c r="V43" i="4"/>
  <c r="S42" i="4"/>
  <c r="M42" i="4"/>
  <c r="L42" i="4"/>
  <c r="Z41" i="4"/>
  <c r="V41" i="4"/>
  <c r="S40" i="4"/>
  <c r="N40" i="4"/>
  <c r="Z40" i="4" s="1"/>
  <c r="Z39" i="4"/>
  <c r="V39" i="4"/>
  <c r="S38" i="4"/>
  <c r="N38" i="4"/>
  <c r="W38" i="4" s="1"/>
  <c r="Z37" i="4"/>
  <c r="V37" i="4"/>
  <c r="S36" i="4"/>
  <c r="N36" i="4"/>
  <c r="Z35" i="4"/>
  <c r="V35" i="4"/>
  <c r="S34" i="4"/>
  <c r="N34" i="4"/>
  <c r="S32" i="4"/>
  <c r="N32" i="4"/>
  <c r="X32" i="4" s="1"/>
  <c r="Z31" i="4"/>
  <c r="V31" i="4"/>
  <c r="S30" i="4"/>
  <c r="L30" i="4"/>
  <c r="N30" i="4" s="1"/>
  <c r="Z30" i="4" s="1"/>
  <c r="Z29" i="4"/>
  <c r="V29" i="4"/>
  <c r="S28" i="4"/>
  <c r="N28" i="4"/>
  <c r="Z28" i="4" s="1"/>
  <c r="Z27" i="4"/>
  <c r="V27" i="4"/>
  <c r="S26" i="4"/>
  <c r="N26" i="4"/>
  <c r="Z25" i="4"/>
  <c r="V25" i="4"/>
  <c r="S24" i="4"/>
  <c r="N24" i="4"/>
  <c r="Z24" i="4" s="1"/>
  <c r="Z23" i="4"/>
  <c r="V23" i="4"/>
  <c r="S22" i="4"/>
  <c r="N22" i="4"/>
  <c r="Z21" i="4"/>
  <c r="V21" i="4"/>
  <c r="S20" i="4"/>
  <c r="N20" i="4"/>
  <c r="Z20" i="4" s="1"/>
  <c r="Z19" i="4"/>
  <c r="V19" i="4"/>
  <c r="S18" i="4"/>
  <c r="N18" i="4"/>
  <c r="Z17" i="4"/>
  <c r="V17" i="4"/>
  <c r="S16" i="4"/>
  <c r="N16" i="4"/>
  <c r="Z16" i="4" s="1"/>
  <c r="Z15" i="4"/>
  <c r="V15" i="4"/>
  <c r="S14" i="4"/>
  <c r="N14" i="4"/>
  <c r="Z14" i="4" s="1"/>
  <c r="V13" i="4"/>
  <c r="O12" i="4"/>
  <c r="O10" i="4" s="1"/>
  <c r="R100" i="3"/>
  <c r="Q100" i="3"/>
  <c r="L100" i="3"/>
  <c r="S124" i="3"/>
  <c r="Q122" i="3"/>
  <c r="Q42" i="3"/>
  <c r="S126" i="3"/>
  <c r="S117" i="3"/>
  <c r="S92" i="3"/>
  <c r="S72" i="3"/>
  <c r="S70" i="3"/>
  <c r="S56" i="3"/>
  <c r="S48" i="3"/>
  <c r="T48" i="3" s="1"/>
  <c r="S46" i="3"/>
  <c r="S32" i="3"/>
  <c r="S24" i="3"/>
  <c r="S22" i="3"/>
  <c r="S16" i="3"/>
  <c r="S14" i="3"/>
  <c r="Z129" i="3"/>
  <c r="V129" i="3"/>
  <c r="N128" i="3"/>
  <c r="X128" i="3" s="1"/>
  <c r="N126" i="3"/>
  <c r="X126" i="3" s="1"/>
  <c r="Z125" i="3"/>
  <c r="W125" i="3"/>
  <c r="V125" i="3"/>
  <c r="N124" i="3"/>
  <c r="Z124" i="3" s="1"/>
  <c r="Z123" i="3"/>
  <c r="V123" i="3"/>
  <c r="M122" i="3"/>
  <c r="L122" i="3"/>
  <c r="N122" i="3" s="1"/>
  <c r="Z121" i="3"/>
  <c r="V121" i="3"/>
  <c r="S120" i="3"/>
  <c r="N120" i="3"/>
  <c r="X120" i="3" s="1"/>
  <c r="S118" i="3"/>
  <c r="N118" i="3"/>
  <c r="X118" i="3" s="1"/>
  <c r="N117" i="3"/>
  <c r="W117" i="3" s="1"/>
  <c r="S116" i="3"/>
  <c r="N116" i="3"/>
  <c r="X116" i="3" s="1"/>
  <c r="Q115" i="3"/>
  <c r="M115" i="3"/>
  <c r="M109" i="3" s="1"/>
  <c r="L115" i="3"/>
  <c r="Z114" i="3"/>
  <c r="V114" i="3"/>
  <c r="S113" i="3"/>
  <c r="N113" i="3"/>
  <c r="X113" i="3" s="1"/>
  <c r="Z112" i="3"/>
  <c r="V112" i="3"/>
  <c r="N111" i="3"/>
  <c r="Z108" i="3"/>
  <c r="V108" i="3"/>
  <c r="N107" i="3"/>
  <c r="X107" i="3" s="1"/>
  <c r="S105" i="3"/>
  <c r="N105" i="3"/>
  <c r="Z105" i="3" s="1"/>
  <c r="Z104" i="3"/>
  <c r="V104" i="3"/>
  <c r="S103" i="3"/>
  <c r="N103" i="3"/>
  <c r="X103" i="3" s="1"/>
  <c r="Z102" i="3"/>
  <c r="V102" i="3"/>
  <c r="S101" i="3"/>
  <c r="N101" i="3"/>
  <c r="X101" i="3" s="1"/>
  <c r="S99" i="3"/>
  <c r="N99" i="3"/>
  <c r="Z99" i="3" s="1"/>
  <c r="V98" i="3"/>
  <c r="N98" i="3"/>
  <c r="Z98" i="3" s="1"/>
  <c r="Q97" i="3"/>
  <c r="M97" i="3"/>
  <c r="L97" i="3"/>
  <c r="Z96" i="3"/>
  <c r="V96" i="3"/>
  <c r="Z95" i="3"/>
  <c r="V95" i="3"/>
  <c r="N92" i="3"/>
  <c r="S90" i="3"/>
  <c r="N90" i="3"/>
  <c r="X90" i="3" s="1"/>
  <c r="N88" i="3"/>
  <c r="X88" i="3" s="1"/>
  <c r="N86" i="3"/>
  <c r="U86" i="3" s="1"/>
  <c r="Q84" i="3"/>
  <c r="S84" i="3" s="1"/>
  <c r="L84" i="3"/>
  <c r="N84" i="3" s="1"/>
  <c r="Z83" i="3"/>
  <c r="V83" i="3"/>
  <c r="S82" i="3"/>
  <c r="N82" i="3"/>
  <c r="X82" i="3" s="1"/>
  <c r="Z81" i="3"/>
  <c r="V81" i="3"/>
  <c r="S80" i="3"/>
  <c r="N80" i="3"/>
  <c r="Z80" i="3" s="1"/>
  <c r="Z79" i="3"/>
  <c r="V79" i="3"/>
  <c r="S78" i="3"/>
  <c r="N78" i="3"/>
  <c r="X78" i="3" s="1"/>
  <c r="Z77" i="3"/>
  <c r="V77" i="3"/>
  <c r="Q76" i="3"/>
  <c r="S76" i="3" s="1"/>
  <c r="M76" i="3"/>
  <c r="L76" i="3"/>
  <c r="Z75" i="3"/>
  <c r="V75" i="3"/>
  <c r="S74" i="3"/>
  <c r="N74" i="3"/>
  <c r="W74" i="3" s="1"/>
  <c r="Z73" i="3"/>
  <c r="V73" i="3"/>
  <c r="N72" i="3"/>
  <c r="Z72" i="3" s="1"/>
  <c r="Z71" i="3"/>
  <c r="V71" i="3"/>
  <c r="N70" i="3"/>
  <c r="W70" i="3" s="1"/>
  <c r="S68" i="3"/>
  <c r="N68" i="3"/>
  <c r="S66" i="3"/>
  <c r="N66" i="3"/>
  <c r="S64" i="3"/>
  <c r="N64" i="3"/>
  <c r="X64" i="3" s="1"/>
  <c r="Z63" i="3"/>
  <c r="V63" i="3"/>
  <c r="Q62" i="3"/>
  <c r="S62" i="3" s="1"/>
  <c r="M62" i="3"/>
  <c r="L62" i="3"/>
  <c r="Z61" i="3"/>
  <c r="V61" i="3"/>
  <c r="S60" i="3"/>
  <c r="N60" i="3"/>
  <c r="Z60" i="3" s="1"/>
  <c r="S58" i="3"/>
  <c r="N58" i="3"/>
  <c r="X58" i="3" s="1"/>
  <c r="N56" i="3"/>
  <c r="S54" i="3"/>
  <c r="N54" i="3"/>
  <c r="X54" i="3" s="1"/>
  <c r="S52" i="3"/>
  <c r="N52" i="3"/>
  <c r="Z51" i="3"/>
  <c r="V51" i="3"/>
  <c r="Q50" i="3"/>
  <c r="M50" i="3"/>
  <c r="L50" i="3"/>
  <c r="Z49" i="3"/>
  <c r="V49" i="3"/>
  <c r="Z48" i="3"/>
  <c r="X48" i="3"/>
  <c r="W48" i="3"/>
  <c r="N46" i="3"/>
  <c r="X46" i="3" s="1"/>
  <c r="S44" i="3"/>
  <c r="N44" i="3"/>
  <c r="Z43" i="3"/>
  <c r="V43" i="3"/>
  <c r="M42" i="3"/>
  <c r="L42" i="3"/>
  <c r="Z41" i="3"/>
  <c r="V41" i="3"/>
  <c r="S40" i="3"/>
  <c r="N40" i="3"/>
  <c r="X40" i="3" s="1"/>
  <c r="Z39" i="3"/>
  <c r="V39" i="3"/>
  <c r="S38" i="3"/>
  <c r="N38" i="3"/>
  <c r="W38" i="3" s="1"/>
  <c r="Z37" i="3"/>
  <c r="V37" i="3"/>
  <c r="S36" i="3"/>
  <c r="N36" i="3"/>
  <c r="X36" i="3" s="1"/>
  <c r="Z35" i="3"/>
  <c r="V35" i="3"/>
  <c r="S34" i="3"/>
  <c r="N34" i="3"/>
  <c r="X34" i="3" s="1"/>
  <c r="N32" i="3"/>
  <c r="X32" i="3" s="1"/>
  <c r="Z31" i="3"/>
  <c r="V31" i="3"/>
  <c r="Q30" i="3"/>
  <c r="L30" i="3"/>
  <c r="N30" i="3" s="1"/>
  <c r="Z29" i="3"/>
  <c r="V29" i="3"/>
  <c r="S28" i="3"/>
  <c r="N28" i="3"/>
  <c r="X28" i="3" s="1"/>
  <c r="Z27" i="3"/>
  <c r="V27" i="3"/>
  <c r="S26" i="3"/>
  <c r="N26" i="3"/>
  <c r="Z26" i="3" s="1"/>
  <c r="Z25" i="3"/>
  <c r="V25" i="3"/>
  <c r="N24" i="3"/>
  <c r="X24" i="3" s="1"/>
  <c r="Z23" i="3"/>
  <c r="V23" i="3"/>
  <c r="N22" i="3"/>
  <c r="Z22" i="3" s="1"/>
  <c r="Z21" i="3"/>
  <c r="V21" i="3"/>
  <c r="S20" i="3"/>
  <c r="N20" i="3"/>
  <c r="X20" i="3" s="1"/>
  <c r="Z19" i="3"/>
  <c r="V19" i="3"/>
  <c r="S18" i="3"/>
  <c r="N18" i="3"/>
  <c r="X18" i="3" s="1"/>
  <c r="Z17" i="3"/>
  <c r="V17" i="3"/>
  <c r="N16" i="3"/>
  <c r="X16" i="3" s="1"/>
  <c r="Z15" i="3"/>
  <c r="V15" i="3"/>
  <c r="N14" i="3"/>
  <c r="W14" i="3" s="1"/>
  <c r="V13" i="3"/>
  <c r="O12" i="3"/>
  <c r="O10" i="3" s="1"/>
  <c r="S100" i="3" l="1"/>
  <c r="T36" i="3"/>
  <c r="N50" i="3"/>
  <c r="T66" i="3"/>
  <c r="T20" i="3"/>
  <c r="Z117" i="3"/>
  <c r="T120" i="3"/>
  <c r="M109" i="4"/>
  <c r="W99" i="3"/>
  <c r="X14" i="3"/>
  <c r="W36" i="3"/>
  <c r="N97" i="3"/>
  <c r="X117" i="3"/>
  <c r="N100" i="3"/>
  <c r="U88" i="4"/>
  <c r="Z88" i="4"/>
  <c r="X128" i="4"/>
  <c r="U128" i="4"/>
  <c r="X90" i="4"/>
  <c r="Z90" i="4"/>
  <c r="W26" i="3"/>
  <c r="T28" i="3"/>
  <c r="U58" i="3"/>
  <c r="T82" i="3"/>
  <c r="T105" i="3"/>
  <c r="Z116" i="3"/>
  <c r="W120" i="3"/>
  <c r="W124" i="3"/>
  <c r="S84" i="4"/>
  <c r="T84" i="4" s="1"/>
  <c r="Z84" i="4"/>
  <c r="S115" i="3"/>
  <c r="Q109" i="3"/>
  <c r="X124" i="3"/>
  <c r="X86" i="4"/>
  <c r="Z86" i="4"/>
  <c r="X92" i="4"/>
  <c r="Z92" i="4"/>
  <c r="S115" i="4"/>
  <c r="N42" i="4"/>
  <c r="X42" i="4" s="1"/>
  <c r="M94" i="4"/>
  <c r="N122" i="4"/>
  <c r="Z122" i="4" s="1"/>
  <c r="W70" i="4"/>
  <c r="X88" i="4"/>
  <c r="Q12" i="4"/>
  <c r="S12" i="4" s="1"/>
  <c r="X16" i="4"/>
  <c r="T90" i="4"/>
  <c r="U105" i="4"/>
  <c r="V105" i="4" s="1"/>
  <c r="X20" i="4"/>
  <c r="Z78" i="4"/>
  <c r="T36" i="4"/>
  <c r="Z116" i="4"/>
  <c r="T20" i="4"/>
  <c r="W40" i="4"/>
  <c r="U22" i="4"/>
  <c r="V22" i="4" s="1"/>
  <c r="T24" i="4"/>
  <c r="T32" i="4"/>
  <c r="X40" i="4"/>
  <c r="T56" i="4"/>
  <c r="X70" i="4"/>
  <c r="T74" i="4"/>
  <c r="T117" i="4"/>
  <c r="T14" i="4"/>
  <c r="T16" i="4"/>
  <c r="U40" i="4"/>
  <c r="V40" i="4" s="1"/>
  <c r="T58" i="4"/>
  <c r="T70" i="4"/>
  <c r="T80" i="4"/>
  <c r="N97" i="4"/>
  <c r="Z97" i="4" s="1"/>
  <c r="U118" i="4"/>
  <c r="V118" i="4" s="1"/>
  <c r="X24" i="4"/>
  <c r="T28" i="4"/>
  <c r="W36" i="4"/>
  <c r="X74" i="4"/>
  <c r="S100" i="4"/>
  <c r="Z117" i="4"/>
  <c r="T120" i="4"/>
  <c r="U124" i="4"/>
  <c r="V124" i="4" s="1"/>
  <c r="W20" i="4"/>
  <c r="W28" i="4"/>
  <c r="X36" i="4"/>
  <c r="U54" i="4"/>
  <c r="N62" i="4"/>
  <c r="Z62" i="4" s="1"/>
  <c r="T64" i="4"/>
  <c r="U68" i="4"/>
  <c r="T72" i="4"/>
  <c r="U82" i="4"/>
  <c r="V82" i="4" s="1"/>
  <c r="X124" i="4"/>
  <c r="X28" i="4"/>
  <c r="T30" i="4"/>
  <c r="U36" i="4"/>
  <c r="V36" i="4" s="1"/>
  <c r="Z36" i="4"/>
  <c r="T38" i="4"/>
  <c r="U46" i="4"/>
  <c r="T54" i="4"/>
  <c r="U78" i="4"/>
  <c r="V78" i="4" s="1"/>
  <c r="X82" i="4"/>
  <c r="U86" i="4"/>
  <c r="U92" i="4"/>
  <c r="U117" i="4"/>
  <c r="V117" i="4" s="1"/>
  <c r="Z124" i="4"/>
  <c r="W16" i="4"/>
  <c r="W24" i="4"/>
  <c r="W74" i="4"/>
  <c r="N76" i="4"/>
  <c r="W76" i="4" s="1"/>
  <c r="X78" i="4"/>
  <c r="Z82" i="4"/>
  <c r="X117" i="4"/>
  <c r="T92" i="4"/>
  <c r="T78" i="4"/>
  <c r="U42" i="4"/>
  <c r="V42" i="4" s="1"/>
  <c r="T46" i="4"/>
  <c r="U48" i="4"/>
  <c r="V48" i="4" s="1"/>
  <c r="T52" i="4"/>
  <c r="T82" i="4"/>
  <c r="U14" i="4"/>
  <c r="V14" i="4" s="1"/>
  <c r="U34" i="4"/>
  <c r="V34" i="4" s="1"/>
  <c r="T40" i="4"/>
  <c r="T68" i="4"/>
  <c r="T44" i="4"/>
  <c r="U72" i="4"/>
  <c r="V72" i="4" s="1"/>
  <c r="U90" i="4"/>
  <c r="U52" i="4"/>
  <c r="X60" i="4"/>
  <c r="W60" i="4"/>
  <c r="Z60" i="4"/>
  <c r="Z99" i="4"/>
  <c r="U99" i="4"/>
  <c r="V99" i="4" s="1"/>
  <c r="X99" i="4"/>
  <c r="X107" i="4"/>
  <c r="U107" i="4"/>
  <c r="X126" i="4"/>
  <c r="W126" i="4"/>
  <c r="Z126" i="4"/>
  <c r="L12" i="4"/>
  <c r="X18" i="4"/>
  <c r="T18" i="4"/>
  <c r="W18" i="4"/>
  <c r="Z18" i="4"/>
  <c r="X26" i="4"/>
  <c r="T26" i="4"/>
  <c r="W26" i="4"/>
  <c r="Z26" i="4"/>
  <c r="Z38" i="4"/>
  <c r="U38" i="4"/>
  <c r="V38" i="4" s="1"/>
  <c r="X38" i="4"/>
  <c r="M12" i="4"/>
  <c r="N50" i="4"/>
  <c r="Z50" i="4" s="1"/>
  <c r="X52" i="4"/>
  <c r="U58" i="4"/>
  <c r="T60" i="4"/>
  <c r="U64" i="4"/>
  <c r="T66" i="4"/>
  <c r="Z80" i="4"/>
  <c r="U80" i="4"/>
  <c r="V80" i="4" s="1"/>
  <c r="X80" i="4"/>
  <c r="T99" i="4"/>
  <c r="N100" i="4"/>
  <c r="X100" i="4" s="1"/>
  <c r="U103" i="4"/>
  <c r="V103" i="4" s="1"/>
  <c r="Z103" i="4"/>
  <c r="U111" i="4"/>
  <c r="V111" i="4" s="1"/>
  <c r="Z111" i="4"/>
  <c r="N115" i="4"/>
  <c r="L109" i="4"/>
  <c r="Z120" i="4"/>
  <c r="U120" i="4"/>
  <c r="V120" i="4" s="1"/>
  <c r="X120" i="4"/>
  <c r="T126" i="4"/>
  <c r="Z34" i="4"/>
  <c r="T34" i="4"/>
  <c r="X34" i="4"/>
  <c r="Z42" i="4"/>
  <c r="U60" i="4"/>
  <c r="V60" i="4" s="1"/>
  <c r="U66" i="4"/>
  <c r="S97" i="4"/>
  <c r="T97" i="4" s="1"/>
  <c r="U126" i="4"/>
  <c r="V126" i="4" s="1"/>
  <c r="X14" i="4"/>
  <c r="W14" i="4"/>
  <c r="U18" i="4"/>
  <c r="V18" i="4" s="1"/>
  <c r="X22" i="4"/>
  <c r="T22" i="4"/>
  <c r="W22" i="4"/>
  <c r="Z22" i="4"/>
  <c r="U26" i="4"/>
  <c r="V26" i="4" s="1"/>
  <c r="U30" i="4"/>
  <c r="V30" i="4" s="1"/>
  <c r="X30" i="4"/>
  <c r="U32" i="4"/>
  <c r="U44" i="4"/>
  <c r="X58" i="4"/>
  <c r="X64" i="4"/>
  <c r="X72" i="4"/>
  <c r="W72" i="4"/>
  <c r="Z72" i="4"/>
  <c r="W99" i="4"/>
  <c r="U101" i="4"/>
  <c r="V101" i="4" s="1"/>
  <c r="Z101" i="4"/>
  <c r="X105" i="4"/>
  <c r="T105" i="4"/>
  <c r="W105" i="4"/>
  <c r="Z105" i="4"/>
  <c r="U113" i="4"/>
  <c r="V113" i="4" s="1"/>
  <c r="Z113" i="4"/>
  <c r="X115" i="4"/>
  <c r="U116" i="4"/>
  <c r="V116" i="4" s="1"/>
  <c r="U16" i="4"/>
  <c r="V16" i="4" s="1"/>
  <c r="U20" i="4"/>
  <c r="V20" i="4" s="1"/>
  <c r="U24" i="4"/>
  <c r="V24" i="4" s="1"/>
  <c r="U28" i="4"/>
  <c r="V28" i="4" s="1"/>
  <c r="U56" i="4"/>
  <c r="U70" i="4"/>
  <c r="V70" i="4" s="1"/>
  <c r="U74" i="4"/>
  <c r="V74" i="4" s="1"/>
  <c r="X84" i="4"/>
  <c r="X118" i="4"/>
  <c r="S62" i="4"/>
  <c r="X86" i="3"/>
  <c r="N76" i="3"/>
  <c r="T76" i="3" s="1"/>
  <c r="T78" i="3"/>
  <c r="W80" i="3"/>
  <c r="T64" i="3"/>
  <c r="T68" i="3"/>
  <c r="X72" i="3"/>
  <c r="W60" i="3"/>
  <c r="N42" i="3"/>
  <c r="W42" i="3" s="1"/>
  <c r="T44" i="3"/>
  <c r="X38" i="3"/>
  <c r="M12" i="3"/>
  <c r="M130" i="3" s="1"/>
  <c r="T92" i="3"/>
  <c r="W122" i="3"/>
  <c r="U48" i="3"/>
  <c r="X30" i="3"/>
  <c r="Z34" i="3"/>
  <c r="L12" i="3"/>
  <c r="Z14" i="3"/>
  <c r="W16" i="3"/>
  <c r="T18" i="3"/>
  <c r="W20" i="3"/>
  <c r="W22" i="3"/>
  <c r="X26" i="3"/>
  <c r="U38" i="3"/>
  <c r="V38" i="3" s="1"/>
  <c r="Z38" i="3"/>
  <c r="T40" i="3"/>
  <c r="T54" i="3"/>
  <c r="T58" i="3"/>
  <c r="X60" i="3"/>
  <c r="X80" i="3"/>
  <c r="T90" i="3"/>
  <c r="M94" i="3"/>
  <c r="X99" i="3"/>
  <c r="T24" i="3"/>
  <c r="W18" i="3"/>
  <c r="X22" i="3"/>
  <c r="T34" i="3"/>
  <c r="T38" i="3"/>
  <c r="W40" i="3"/>
  <c r="L109" i="3"/>
  <c r="N109" i="3" s="1"/>
  <c r="U118" i="3"/>
  <c r="V118" i="3" s="1"/>
  <c r="Z126" i="3"/>
  <c r="U124" i="3"/>
  <c r="V124" i="3" s="1"/>
  <c r="U88" i="3"/>
  <c r="Z18" i="3"/>
  <c r="X97" i="3"/>
  <c r="W24" i="3"/>
  <c r="T26" i="3"/>
  <c r="W28" i="3"/>
  <c r="W50" i="3"/>
  <c r="T52" i="3"/>
  <c r="T60" i="3"/>
  <c r="W72" i="3"/>
  <c r="W78" i="3"/>
  <c r="T80" i="3"/>
  <c r="W82" i="3"/>
  <c r="S97" i="3"/>
  <c r="T97" i="3" s="1"/>
  <c r="U99" i="3"/>
  <c r="V99" i="3" s="1"/>
  <c r="N115" i="3"/>
  <c r="T115" i="3" s="1"/>
  <c r="T16" i="3"/>
  <c r="T46" i="3"/>
  <c r="T72" i="3"/>
  <c r="U107" i="3"/>
  <c r="Q94" i="3"/>
  <c r="U32" i="3"/>
  <c r="T32" i="3"/>
  <c r="U117" i="3"/>
  <c r="V117" i="3" s="1"/>
  <c r="T117" i="3"/>
  <c r="T126" i="3"/>
  <c r="U126" i="3"/>
  <c r="V126" i="3" s="1"/>
  <c r="U14" i="3"/>
  <c r="V14" i="3" s="1"/>
  <c r="T14" i="3"/>
  <c r="U22" i="3"/>
  <c r="V22" i="3" s="1"/>
  <c r="T22" i="3"/>
  <c r="T56" i="3"/>
  <c r="U18" i="3"/>
  <c r="V18" i="3" s="1"/>
  <c r="U26" i="3"/>
  <c r="V26" i="3" s="1"/>
  <c r="U34" i="3"/>
  <c r="V34" i="3" s="1"/>
  <c r="U44" i="3"/>
  <c r="U64" i="3"/>
  <c r="U68" i="3"/>
  <c r="U80" i="3"/>
  <c r="V80" i="3" s="1"/>
  <c r="U92" i="3"/>
  <c r="U52" i="3"/>
  <c r="U66" i="3"/>
  <c r="T99" i="3"/>
  <c r="T84" i="3"/>
  <c r="U84" i="3"/>
  <c r="W97" i="3"/>
  <c r="X84" i="3"/>
  <c r="U90" i="3"/>
  <c r="Z97" i="3"/>
  <c r="U101" i="3"/>
  <c r="V101" i="3" s="1"/>
  <c r="U103" i="3"/>
  <c r="V103" i="3" s="1"/>
  <c r="X105" i="3"/>
  <c r="U113" i="3"/>
  <c r="V113" i="3" s="1"/>
  <c r="Z118" i="3"/>
  <c r="U120" i="3"/>
  <c r="V120" i="3" s="1"/>
  <c r="Z120" i="3"/>
  <c r="Z122" i="3"/>
  <c r="W126" i="3"/>
  <c r="Z101" i="3"/>
  <c r="Z103" i="3"/>
  <c r="W105" i="3"/>
  <c r="S111" i="3"/>
  <c r="U111" i="3" s="1"/>
  <c r="V111" i="3" s="1"/>
  <c r="Z111" i="3"/>
  <c r="Z113" i="3"/>
  <c r="U116" i="3"/>
  <c r="V116" i="3" s="1"/>
  <c r="S122" i="3"/>
  <c r="T122" i="3" s="1"/>
  <c r="X122" i="3"/>
  <c r="X56" i="3"/>
  <c r="Z76" i="3"/>
  <c r="Z50" i="3"/>
  <c r="U56" i="3"/>
  <c r="X68" i="3"/>
  <c r="U70" i="3"/>
  <c r="V70" i="3" s="1"/>
  <c r="U74" i="3"/>
  <c r="V74" i="3" s="1"/>
  <c r="X76" i="3"/>
  <c r="U28" i="3"/>
  <c r="V28" i="3" s="1"/>
  <c r="U36" i="3"/>
  <c r="V36" i="3" s="1"/>
  <c r="Z36" i="3"/>
  <c r="U40" i="3"/>
  <c r="V40" i="3" s="1"/>
  <c r="Z40" i="3"/>
  <c r="X44" i="3"/>
  <c r="U46" i="3"/>
  <c r="V48" i="3"/>
  <c r="X50" i="3"/>
  <c r="X52" i="3"/>
  <c r="U54" i="3"/>
  <c r="N62" i="3"/>
  <c r="X66" i="3"/>
  <c r="T70" i="3"/>
  <c r="X70" i="3"/>
  <c r="T74" i="3"/>
  <c r="X74" i="3"/>
  <c r="W76" i="3"/>
  <c r="U78" i="3"/>
  <c r="V78" i="3" s="1"/>
  <c r="Z78" i="3"/>
  <c r="U82" i="3"/>
  <c r="V82" i="3" s="1"/>
  <c r="Z82" i="3"/>
  <c r="X92" i="3"/>
  <c r="X111" i="3"/>
  <c r="U76" i="3"/>
  <c r="V76" i="3" s="1"/>
  <c r="Z42" i="3"/>
  <c r="Z70" i="3"/>
  <c r="Z74" i="3"/>
  <c r="U16" i="3"/>
  <c r="V16" i="3" s="1"/>
  <c r="Z16" i="3"/>
  <c r="U20" i="3"/>
  <c r="V20" i="3" s="1"/>
  <c r="Z20" i="3"/>
  <c r="U24" i="3"/>
  <c r="V24" i="3" s="1"/>
  <c r="Z24" i="3"/>
  <c r="Z28" i="3"/>
  <c r="Z30" i="3"/>
  <c r="Q12" i="3"/>
  <c r="S30" i="3"/>
  <c r="S42" i="3"/>
  <c r="T42" i="3" s="1"/>
  <c r="S50" i="3"/>
  <c r="T50" i="3" s="1"/>
  <c r="U60" i="3"/>
  <c r="V60" i="3" s="1"/>
  <c r="U72" i="3"/>
  <c r="V72" i="3" s="1"/>
  <c r="U105" i="3"/>
  <c r="V105" i="3" s="1"/>
  <c r="X48" i="1"/>
  <c r="S126" i="1"/>
  <c r="U100" i="3" l="1"/>
  <c r="V100" i="3" s="1"/>
  <c r="U84" i="4"/>
  <c r="X115" i="3"/>
  <c r="U97" i="3"/>
  <c r="V97" i="3" s="1"/>
  <c r="U115" i="3"/>
  <c r="V115" i="3" s="1"/>
  <c r="W115" i="3"/>
  <c r="X42" i="3"/>
  <c r="Z115" i="3"/>
  <c r="L94" i="3"/>
  <c r="N94" i="3" s="1"/>
  <c r="T115" i="4"/>
  <c r="AD117" i="4"/>
  <c r="M10" i="3"/>
  <c r="Z100" i="3"/>
  <c r="N12" i="3"/>
  <c r="U122" i="3"/>
  <c r="V122" i="3" s="1"/>
  <c r="X100" i="3"/>
  <c r="W97" i="4"/>
  <c r="U76" i="4"/>
  <c r="V76" i="4" s="1"/>
  <c r="T42" i="4"/>
  <c r="W42" i="4"/>
  <c r="X97" i="4"/>
  <c r="W122" i="4"/>
  <c r="X122" i="4"/>
  <c r="Z115" i="4"/>
  <c r="X76" i="4"/>
  <c r="T76" i="4"/>
  <c r="Z76" i="4"/>
  <c r="T62" i="4"/>
  <c r="W62" i="4"/>
  <c r="X62" i="4"/>
  <c r="S94" i="4"/>
  <c r="L94" i="4"/>
  <c r="N94" i="4" s="1"/>
  <c r="Z94" i="4" s="1"/>
  <c r="N109" i="4"/>
  <c r="X109" i="4" s="1"/>
  <c r="S109" i="4"/>
  <c r="M10" i="4"/>
  <c r="M130" i="4"/>
  <c r="N12" i="4"/>
  <c r="T12" i="4" s="1"/>
  <c r="T50" i="4"/>
  <c r="Q130" i="4"/>
  <c r="U115" i="4"/>
  <c r="V115" i="4" s="1"/>
  <c r="W115" i="4"/>
  <c r="U62" i="4"/>
  <c r="V62" i="4" s="1"/>
  <c r="U50" i="4"/>
  <c r="V50" i="4" s="1"/>
  <c r="X50" i="4"/>
  <c r="W50" i="4"/>
  <c r="Q10" i="4"/>
  <c r="Z100" i="4"/>
  <c r="U100" i="4"/>
  <c r="V100" i="4" s="1"/>
  <c r="U97" i="4"/>
  <c r="V97" i="4" s="1"/>
  <c r="T122" i="4"/>
  <c r="U122" i="4"/>
  <c r="V122" i="4" s="1"/>
  <c r="L10" i="3"/>
  <c r="L130" i="3"/>
  <c r="X109" i="3"/>
  <c r="W109" i="3"/>
  <c r="S109" i="3"/>
  <c r="T109" i="3" s="1"/>
  <c r="Z109" i="3"/>
  <c r="Q130" i="3"/>
  <c r="R130" i="3"/>
  <c r="U50" i="3"/>
  <c r="V50" i="3" s="1"/>
  <c r="T30" i="3"/>
  <c r="U30" i="3"/>
  <c r="V30" i="3" s="1"/>
  <c r="U62" i="3"/>
  <c r="V62" i="3" s="1"/>
  <c r="W62" i="3"/>
  <c r="Z94" i="3"/>
  <c r="W94" i="3"/>
  <c r="S94" i="3"/>
  <c r="T94" i="3" s="1"/>
  <c r="X94" i="3"/>
  <c r="N130" i="3"/>
  <c r="N10" i="3"/>
  <c r="W12" i="3"/>
  <c r="Q10" i="3"/>
  <c r="X12" i="3"/>
  <c r="Z62" i="3"/>
  <c r="X62" i="3"/>
  <c r="U109" i="3"/>
  <c r="V109" i="3" s="1"/>
  <c r="U42" i="3"/>
  <c r="V42" i="3" s="1"/>
  <c r="T62" i="3"/>
  <c r="Q122" i="1"/>
  <c r="Q115" i="1"/>
  <c r="Q97" i="1"/>
  <c r="S92" i="1"/>
  <c r="S90" i="1"/>
  <c r="S82" i="1"/>
  <c r="S74" i="1"/>
  <c r="R84" i="1"/>
  <c r="Q84" i="1"/>
  <c r="Q76" i="1"/>
  <c r="S72" i="1"/>
  <c r="S70" i="1"/>
  <c r="S68" i="1"/>
  <c r="S66" i="1"/>
  <c r="S64" i="1"/>
  <c r="Q62" i="1"/>
  <c r="S60" i="1"/>
  <c r="S58" i="1"/>
  <c r="S56" i="1"/>
  <c r="S54" i="1"/>
  <c r="S52" i="1"/>
  <c r="Q50" i="1"/>
  <c r="S48" i="1"/>
  <c r="T48" i="1" s="1"/>
  <c r="S46" i="1"/>
  <c r="S44" i="1"/>
  <c r="Q42" i="1"/>
  <c r="S34" i="1"/>
  <c r="S32" i="1"/>
  <c r="S28" i="1"/>
  <c r="R30" i="1"/>
  <c r="Q30" i="1"/>
  <c r="S20" i="1"/>
  <c r="L130" i="4" l="1"/>
  <c r="T109" i="4"/>
  <c r="Z109" i="4"/>
  <c r="L10" i="4"/>
  <c r="U109" i="4"/>
  <c r="V109" i="4" s="1"/>
  <c r="T94" i="4"/>
  <c r="U12" i="4"/>
  <c r="V12" i="4" s="1"/>
  <c r="N10" i="4"/>
  <c r="X10" i="4" s="1"/>
  <c r="X12" i="4"/>
  <c r="W12" i="4"/>
  <c r="N130" i="4"/>
  <c r="X130" i="4" s="1"/>
  <c r="U94" i="4"/>
  <c r="V94" i="4" s="1"/>
  <c r="W94" i="4"/>
  <c r="S10" i="4"/>
  <c r="W109" i="4"/>
  <c r="X94" i="4"/>
  <c r="S130" i="4"/>
  <c r="S76" i="1"/>
  <c r="S122" i="1"/>
  <c r="S12" i="3"/>
  <c r="S130" i="3" s="1"/>
  <c r="T130" i="3" s="1"/>
  <c r="U94" i="3"/>
  <c r="V94" i="3" s="1"/>
  <c r="W130" i="3"/>
  <c r="X130" i="3"/>
  <c r="T12" i="3"/>
  <c r="W10" i="3"/>
  <c r="X10" i="3"/>
  <c r="S10" i="3"/>
  <c r="T10" i="3" s="1"/>
  <c r="S84" i="1"/>
  <c r="Q12" i="1"/>
  <c r="S30" i="1"/>
  <c r="L115" i="1"/>
  <c r="M122" i="1"/>
  <c r="L122" i="1"/>
  <c r="N128" i="1"/>
  <c r="X128" i="1" s="1"/>
  <c r="N126" i="1"/>
  <c r="X126" i="1" s="1"/>
  <c r="N124" i="1"/>
  <c r="X124" i="1" s="1"/>
  <c r="N120" i="1"/>
  <c r="X120" i="1" s="1"/>
  <c r="N118" i="1"/>
  <c r="X118" i="1" s="1"/>
  <c r="N117" i="1"/>
  <c r="X117" i="1" s="1"/>
  <c r="S118" i="1"/>
  <c r="N113" i="1"/>
  <c r="X113" i="1" s="1"/>
  <c r="N111" i="1"/>
  <c r="L97" i="1"/>
  <c r="N107" i="1"/>
  <c r="X107" i="1" s="1"/>
  <c r="N105" i="1"/>
  <c r="X105" i="1" s="1"/>
  <c r="N103" i="1"/>
  <c r="X103" i="1" s="1"/>
  <c r="N99" i="1"/>
  <c r="X99" i="1" s="1"/>
  <c r="N92" i="1"/>
  <c r="N90" i="1"/>
  <c r="N88" i="1"/>
  <c r="X88" i="1" s="1"/>
  <c r="N86" i="1"/>
  <c r="X86" i="1" s="1"/>
  <c r="L84" i="1"/>
  <c r="N84" i="1" s="1"/>
  <c r="X84" i="1" s="1"/>
  <c r="N80" i="1"/>
  <c r="X80" i="1" s="1"/>
  <c r="N78" i="1"/>
  <c r="X78" i="1" s="1"/>
  <c r="M76" i="1"/>
  <c r="L76" i="1"/>
  <c r="N74" i="1"/>
  <c r="X74" i="1" s="1"/>
  <c r="L62" i="1"/>
  <c r="N72" i="1"/>
  <c r="X72" i="1" s="1"/>
  <c r="N70" i="1"/>
  <c r="X70" i="1" s="1"/>
  <c r="N68" i="1"/>
  <c r="N66" i="1"/>
  <c r="N64" i="1"/>
  <c r="M62" i="1"/>
  <c r="T130" i="4" l="1"/>
  <c r="T10" i="4"/>
  <c r="U10" i="4"/>
  <c r="V10" i="4" s="1"/>
  <c r="U130" i="4"/>
  <c r="V130" i="4" s="1"/>
  <c r="W10" i="4"/>
  <c r="W130" i="4"/>
  <c r="U90" i="1"/>
  <c r="X90" i="1"/>
  <c r="U92" i="1"/>
  <c r="X92" i="1"/>
  <c r="U68" i="1"/>
  <c r="X68" i="1"/>
  <c r="U64" i="1"/>
  <c r="X64" i="1"/>
  <c r="U66" i="1"/>
  <c r="X66" i="1"/>
  <c r="U12" i="3"/>
  <c r="V12" i="3" s="1"/>
  <c r="U10" i="3"/>
  <c r="V10" i="3" s="1"/>
  <c r="U130" i="3"/>
  <c r="V130" i="3" s="1"/>
  <c r="U118" i="1"/>
  <c r="N122" i="1"/>
  <c r="T92" i="1"/>
  <c r="T68" i="1"/>
  <c r="T66" i="1"/>
  <c r="U126" i="1"/>
  <c r="T126" i="1"/>
  <c r="T64" i="1"/>
  <c r="U84" i="1"/>
  <c r="T84" i="1"/>
  <c r="L109" i="1"/>
  <c r="L94" i="1" s="1"/>
  <c r="T90" i="1"/>
  <c r="N76" i="1"/>
  <c r="X76" i="1" s="1"/>
  <c r="N62" i="1"/>
  <c r="X62" i="1" s="1"/>
  <c r="N60" i="1"/>
  <c r="X60" i="1" s="1"/>
  <c r="N58" i="1"/>
  <c r="X58" i="1" s="1"/>
  <c r="N56" i="1"/>
  <c r="X56" i="1" s="1"/>
  <c r="N54" i="1"/>
  <c r="X54" i="1" s="1"/>
  <c r="N52" i="1"/>
  <c r="X52" i="1" s="1"/>
  <c r="M50" i="1"/>
  <c r="M42" i="1"/>
  <c r="L50" i="1"/>
  <c r="N46" i="1"/>
  <c r="X46" i="1" s="1"/>
  <c r="N44" i="1"/>
  <c r="X44" i="1" s="1"/>
  <c r="L42" i="1"/>
  <c r="N40" i="1"/>
  <c r="X40" i="1" s="1"/>
  <c r="N38" i="1"/>
  <c r="X38" i="1" s="1"/>
  <c r="N36" i="1"/>
  <c r="X36" i="1" s="1"/>
  <c r="N34" i="1"/>
  <c r="N32" i="1"/>
  <c r="X32" i="1" s="1"/>
  <c r="L30" i="1"/>
  <c r="N24" i="1"/>
  <c r="X24" i="1" s="1"/>
  <c r="N22" i="1"/>
  <c r="X22" i="1" s="1"/>
  <c r="N20" i="1"/>
  <c r="X20" i="1" s="1"/>
  <c r="N18" i="1"/>
  <c r="X18" i="1" s="1"/>
  <c r="N16" i="1"/>
  <c r="X16" i="1" s="1"/>
  <c r="N14" i="1"/>
  <c r="X14" i="1" s="1"/>
  <c r="R180" i="2"/>
  <c r="Z179" i="2"/>
  <c r="X179" i="2"/>
  <c r="W179" i="2"/>
  <c r="S179" i="2"/>
  <c r="U179" i="2" s="1"/>
  <c r="V179" i="2" s="1"/>
  <c r="S178" i="2"/>
  <c r="N178" i="2"/>
  <c r="W178" i="2" s="1"/>
  <c r="Z177" i="2"/>
  <c r="X177" i="2"/>
  <c r="W177" i="2"/>
  <c r="S177" i="2"/>
  <c r="T177" i="2" s="1"/>
  <c r="S176" i="2"/>
  <c r="N176" i="2"/>
  <c r="W176" i="2" s="1"/>
  <c r="Q175" i="2"/>
  <c r="M175" i="2"/>
  <c r="L175" i="2"/>
  <c r="Z174" i="2"/>
  <c r="V174" i="2"/>
  <c r="Z173" i="2"/>
  <c r="X173" i="2"/>
  <c r="W173" i="2"/>
  <c r="S173" i="2"/>
  <c r="T173" i="2" s="1"/>
  <c r="Q172" i="2"/>
  <c r="N172" i="2"/>
  <c r="M172" i="2"/>
  <c r="L172" i="2"/>
  <c r="Z171" i="2"/>
  <c r="V171" i="2"/>
  <c r="S170" i="2"/>
  <c r="N170" i="2"/>
  <c r="W170" i="2" s="1"/>
  <c r="Z169" i="2"/>
  <c r="X169" i="2"/>
  <c r="W169" i="2"/>
  <c r="S169" i="2"/>
  <c r="U169" i="2" s="1"/>
  <c r="V169" i="2" s="1"/>
  <c r="S168" i="2"/>
  <c r="Q168" i="2"/>
  <c r="M168" i="2"/>
  <c r="L168" i="2"/>
  <c r="Z167" i="2"/>
  <c r="V167" i="2"/>
  <c r="Z166" i="2"/>
  <c r="X166" i="2"/>
  <c r="W166" i="2"/>
  <c r="S166" i="2"/>
  <c r="U166" i="2" s="1"/>
  <c r="V166" i="2" s="1"/>
  <c r="S165" i="2"/>
  <c r="N165" i="2"/>
  <c r="Z165" i="2" s="1"/>
  <c r="Q164" i="2"/>
  <c r="W164" i="2" s="1"/>
  <c r="M164" i="2"/>
  <c r="L164" i="2"/>
  <c r="Z163" i="2"/>
  <c r="V163" i="2"/>
  <c r="Z162" i="2"/>
  <c r="X162" i="2"/>
  <c r="W162" i="2"/>
  <c r="S162" i="2"/>
  <c r="T162" i="2" s="1"/>
  <c r="S161" i="2"/>
  <c r="N161" i="2"/>
  <c r="Z161" i="2" s="1"/>
  <c r="Q160" i="2"/>
  <c r="N160" i="2"/>
  <c r="M160" i="2"/>
  <c r="L160" i="2"/>
  <c r="Z159" i="2"/>
  <c r="V159" i="2"/>
  <c r="S158" i="2"/>
  <c r="N158" i="2"/>
  <c r="S157" i="2"/>
  <c r="N157" i="2"/>
  <c r="Z157" i="2" s="1"/>
  <c r="Q156" i="2"/>
  <c r="M156" i="2"/>
  <c r="L156" i="2"/>
  <c r="Z154" i="2"/>
  <c r="V154" i="2"/>
  <c r="Z153" i="2"/>
  <c r="X153" i="2"/>
  <c r="W153" i="2"/>
  <c r="S153" i="2"/>
  <c r="T153" i="2" s="1"/>
  <c r="Z152" i="2"/>
  <c r="V152" i="2"/>
  <c r="Z151" i="2"/>
  <c r="S151" i="2"/>
  <c r="U151" i="2" s="1"/>
  <c r="V151" i="2" s="1"/>
  <c r="Z150" i="2"/>
  <c r="V150" i="2"/>
  <c r="S149" i="2"/>
  <c r="N149" i="2"/>
  <c r="Z149" i="2" s="1"/>
  <c r="Z148" i="2"/>
  <c r="V148" i="2"/>
  <c r="Z147" i="2"/>
  <c r="X147" i="2"/>
  <c r="W147" i="2"/>
  <c r="S147" i="2"/>
  <c r="T147" i="2" s="1"/>
  <c r="V146" i="2"/>
  <c r="N146" i="2"/>
  <c r="Z146" i="2" s="1"/>
  <c r="Q145" i="2"/>
  <c r="N145" i="2"/>
  <c r="M145" i="2"/>
  <c r="L145" i="2"/>
  <c r="Z144" i="2"/>
  <c r="V144" i="2"/>
  <c r="Z143" i="2"/>
  <c r="V143" i="2"/>
  <c r="Z141" i="2"/>
  <c r="V141" i="2"/>
  <c r="Z140" i="2"/>
  <c r="X140" i="2"/>
  <c r="W140" i="2"/>
  <c r="S140" i="2"/>
  <c r="U140" i="2" s="1"/>
  <c r="V140" i="2" s="1"/>
  <c r="Z139" i="2"/>
  <c r="V139" i="2"/>
  <c r="Q138" i="2"/>
  <c r="N138" i="2"/>
  <c r="M138" i="2"/>
  <c r="L138" i="2"/>
  <c r="Z137" i="2"/>
  <c r="V137" i="2"/>
  <c r="S136" i="2"/>
  <c r="N136" i="2"/>
  <c r="X136" i="2" s="1"/>
  <c r="Z135" i="2"/>
  <c r="V135" i="2"/>
  <c r="Z134" i="2"/>
  <c r="X134" i="2"/>
  <c r="W134" i="2"/>
  <c r="S134" i="2"/>
  <c r="U134" i="2" s="1"/>
  <c r="V134" i="2" s="1"/>
  <c r="Z133" i="2"/>
  <c r="V133" i="2"/>
  <c r="Z132" i="2"/>
  <c r="X132" i="2"/>
  <c r="W132" i="2"/>
  <c r="S132" i="2"/>
  <c r="T132" i="2" s="1"/>
  <c r="Z131" i="2"/>
  <c r="V131" i="2"/>
  <c r="Q130" i="2"/>
  <c r="S130" i="2" s="1"/>
  <c r="M130" i="2"/>
  <c r="L130" i="2"/>
  <c r="Z129" i="2"/>
  <c r="V129" i="2"/>
  <c r="S128" i="2"/>
  <c r="N128" i="2"/>
  <c r="X128" i="2" s="1"/>
  <c r="Z127" i="2"/>
  <c r="V127" i="2"/>
  <c r="Q126" i="2"/>
  <c r="M126" i="2"/>
  <c r="L126" i="2"/>
  <c r="Z125" i="2"/>
  <c r="V125" i="2"/>
  <c r="S124" i="2"/>
  <c r="N124" i="2"/>
  <c r="X124" i="2" s="1"/>
  <c r="Z123" i="2"/>
  <c r="V123" i="2"/>
  <c r="Z122" i="2"/>
  <c r="X122" i="2"/>
  <c r="W122" i="2"/>
  <c r="S122" i="2"/>
  <c r="U122" i="2" s="1"/>
  <c r="V122" i="2" s="1"/>
  <c r="Z121" i="2"/>
  <c r="V121" i="2"/>
  <c r="S120" i="2"/>
  <c r="N120" i="2"/>
  <c r="W120" i="2" s="1"/>
  <c r="Z119" i="2"/>
  <c r="V119" i="2"/>
  <c r="Z118" i="2"/>
  <c r="X118" i="2"/>
  <c r="W118" i="2"/>
  <c r="S118" i="2"/>
  <c r="U118" i="2" s="1"/>
  <c r="V118" i="2" s="1"/>
  <c r="Z117" i="2"/>
  <c r="V117" i="2"/>
  <c r="Z116" i="2"/>
  <c r="X116" i="2"/>
  <c r="W116" i="2"/>
  <c r="S116" i="2"/>
  <c r="T116" i="2" s="1"/>
  <c r="Z115" i="2"/>
  <c r="V115" i="2"/>
  <c r="Q114" i="2"/>
  <c r="M114" i="2"/>
  <c r="L114" i="2"/>
  <c r="Z113" i="2"/>
  <c r="V113" i="2"/>
  <c r="Z112" i="2"/>
  <c r="X112" i="2"/>
  <c r="W112" i="2"/>
  <c r="S112" i="2"/>
  <c r="T112" i="2" s="1"/>
  <c r="Z111" i="2"/>
  <c r="V111" i="2"/>
  <c r="Z110" i="2"/>
  <c r="X110" i="2"/>
  <c r="W110" i="2"/>
  <c r="S110" i="2"/>
  <c r="U110" i="2" s="1"/>
  <c r="V110" i="2" s="1"/>
  <c r="Z109" i="2"/>
  <c r="V109" i="2"/>
  <c r="Q108" i="2"/>
  <c r="N108" i="2"/>
  <c r="M108" i="2"/>
  <c r="L108" i="2"/>
  <c r="Z107" i="2"/>
  <c r="V107" i="2"/>
  <c r="Z106" i="2"/>
  <c r="X106" i="2"/>
  <c r="W106" i="2"/>
  <c r="S106" i="2"/>
  <c r="T106" i="2" s="1"/>
  <c r="Z105" i="2"/>
  <c r="V105" i="2"/>
  <c r="Q104" i="2"/>
  <c r="N104" i="2"/>
  <c r="M104" i="2"/>
  <c r="L104" i="2"/>
  <c r="Z103" i="2"/>
  <c r="V103" i="2"/>
  <c r="Z102" i="2"/>
  <c r="X102" i="2"/>
  <c r="W102" i="2"/>
  <c r="S102" i="2"/>
  <c r="U102" i="2" s="1"/>
  <c r="V102" i="2" s="1"/>
  <c r="Z101" i="2"/>
  <c r="V101" i="2"/>
  <c r="Q100" i="2"/>
  <c r="N100" i="2"/>
  <c r="M100" i="2"/>
  <c r="L100" i="2"/>
  <c r="Z99" i="2"/>
  <c r="V99" i="2"/>
  <c r="N98" i="2"/>
  <c r="W98" i="2" s="1"/>
  <c r="Z97" i="2"/>
  <c r="U97" i="2"/>
  <c r="V97" i="2" s="1"/>
  <c r="Z96" i="2"/>
  <c r="X96" i="2"/>
  <c r="W96" i="2"/>
  <c r="S96" i="2"/>
  <c r="U96" i="2" s="1"/>
  <c r="V96" i="2" s="1"/>
  <c r="Z95" i="2"/>
  <c r="V95" i="2"/>
  <c r="Q94" i="2"/>
  <c r="M94" i="2"/>
  <c r="L94" i="2"/>
  <c r="Z93" i="2"/>
  <c r="V93" i="2"/>
  <c r="Z92" i="2"/>
  <c r="X92" i="2"/>
  <c r="W92" i="2"/>
  <c r="S92" i="2"/>
  <c r="T92" i="2" s="1"/>
  <c r="Z91" i="2"/>
  <c r="V91" i="2"/>
  <c r="Q90" i="2"/>
  <c r="S90" i="2" s="1"/>
  <c r="N90" i="2"/>
  <c r="M90" i="2"/>
  <c r="L90" i="2"/>
  <c r="Z89" i="2"/>
  <c r="V89" i="2"/>
  <c r="Z88" i="2"/>
  <c r="X88" i="2"/>
  <c r="W88" i="2"/>
  <c r="S88" i="2"/>
  <c r="U88" i="2" s="1"/>
  <c r="V88" i="2" s="1"/>
  <c r="Z87" i="2"/>
  <c r="V87" i="2"/>
  <c r="Q86" i="2"/>
  <c r="N86" i="2"/>
  <c r="M86" i="2"/>
  <c r="L86" i="2"/>
  <c r="Z85" i="2"/>
  <c r="V85" i="2"/>
  <c r="N84" i="2"/>
  <c r="U84" i="2" s="1"/>
  <c r="V84" i="2" s="1"/>
  <c r="Z83" i="2"/>
  <c r="V83" i="2"/>
  <c r="Z82" i="2"/>
  <c r="U82" i="2"/>
  <c r="V82" i="2" s="1"/>
  <c r="M82" i="2"/>
  <c r="L82" i="2"/>
  <c r="Z81" i="2"/>
  <c r="V81" i="2"/>
  <c r="S80" i="2"/>
  <c r="N80" i="2"/>
  <c r="Z80" i="2" s="1"/>
  <c r="Z79" i="2"/>
  <c r="V79" i="2"/>
  <c r="Q78" i="2"/>
  <c r="M78" i="2"/>
  <c r="L78" i="2"/>
  <c r="Z77" i="2"/>
  <c r="V77" i="2"/>
  <c r="S76" i="2"/>
  <c r="N76" i="2"/>
  <c r="X76" i="2" s="1"/>
  <c r="Z75" i="2"/>
  <c r="V75" i="2"/>
  <c r="S74" i="2"/>
  <c r="N74" i="2"/>
  <c r="W74" i="2" s="1"/>
  <c r="Z73" i="2"/>
  <c r="V73" i="2"/>
  <c r="Q72" i="2"/>
  <c r="M72" i="2"/>
  <c r="L72" i="2"/>
  <c r="Z71" i="2"/>
  <c r="V71" i="2"/>
  <c r="Z70" i="2"/>
  <c r="X70" i="2"/>
  <c r="W70" i="2"/>
  <c r="S70" i="2"/>
  <c r="T70" i="2" s="1"/>
  <c r="Z69" i="2"/>
  <c r="V69" i="2"/>
  <c r="Q68" i="2"/>
  <c r="N68" i="2"/>
  <c r="M68" i="2"/>
  <c r="L68" i="2"/>
  <c r="Z67" i="2"/>
  <c r="V67" i="2"/>
  <c r="S66" i="2"/>
  <c r="N66" i="2"/>
  <c r="W66" i="2" s="1"/>
  <c r="Q65" i="2"/>
  <c r="S65" i="2" s="1"/>
  <c r="M65" i="2"/>
  <c r="L65" i="2"/>
  <c r="Z64" i="2"/>
  <c r="V64" i="2"/>
  <c r="S63" i="2"/>
  <c r="N63" i="2"/>
  <c r="W63" i="2" s="1"/>
  <c r="Q62" i="2"/>
  <c r="M62" i="2"/>
  <c r="L62" i="2"/>
  <c r="Z61" i="2"/>
  <c r="V61" i="2"/>
  <c r="Z59" i="2"/>
  <c r="V59" i="2"/>
  <c r="S58" i="2"/>
  <c r="N58" i="2"/>
  <c r="Z58" i="2" s="1"/>
  <c r="Z57" i="2"/>
  <c r="V57" i="2"/>
  <c r="S56" i="2"/>
  <c r="N56" i="2"/>
  <c r="X56" i="2" s="1"/>
  <c r="Z55" i="2"/>
  <c r="V55" i="2"/>
  <c r="Q54" i="2"/>
  <c r="M54" i="2"/>
  <c r="L54" i="2"/>
  <c r="L50" i="2" s="1"/>
  <c r="Z53" i="2"/>
  <c r="V53" i="2"/>
  <c r="Z52" i="2"/>
  <c r="X52" i="2"/>
  <c r="W52" i="2"/>
  <c r="S52" i="2"/>
  <c r="T52" i="2" s="1"/>
  <c r="Z51" i="2"/>
  <c r="V51" i="2"/>
  <c r="M50" i="2"/>
  <c r="Z49" i="2"/>
  <c r="V49" i="2"/>
  <c r="S48" i="2"/>
  <c r="T48" i="2" s="1"/>
  <c r="N48" i="2"/>
  <c r="Z48" i="2" s="1"/>
  <c r="Q47" i="2"/>
  <c r="Q45" i="2" s="1"/>
  <c r="M47" i="2"/>
  <c r="M45" i="2" s="1"/>
  <c r="L47" i="2"/>
  <c r="L45" i="2" s="1"/>
  <c r="Z46" i="2"/>
  <c r="V46" i="2"/>
  <c r="Z44" i="2"/>
  <c r="V44" i="2"/>
  <c r="S43" i="2"/>
  <c r="N43" i="2"/>
  <c r="W43" i="2" s="1"/>
  <c r="Z42" i="2"/>
  <c r="V42" i="2"/>
  <c r="Z41" i="2"/>
  <c r="X41" i="2"/>
  <c r="W41" i="2"/>
  <c r="S41" i="2"/>
  <c r="U41" i="2" s="1"/>
  <c r="V41" i="2" s="1"/>
  <c r="Z40" i="2"/>
  <c r="V40" i="2"/>
  <c r="S39" i="2"/>
  <c r="N39" i="2"/>
  <c r="W39" i="2" s="1"/>
  <c r="S38" i="2"/>
  <c r="N38" i="2"/>
  <c r="W38" i="2" s="1"/>
  <c r="Q37" i="2"/>
  <c r="Q35" i="2" s="1"/>
  <c r="M37" i="2"/>
  <c r="M35" i="2" s="1"/>
  <c r="L37" i="2"/>
  <c r="Z36" i="2"/>
  <c r="V36" i="2"/>
  <c r="L35" i="2"/>
  <c r="Z34" i="2"/>
  <c r="V34" i="2"/>
  <c r="Z33" i="2"/>
  <c r="X33" i="2"/>
  <c r="W33" i="2"/>
  <c r="S33" i="2"/>
  <c r="T33" i="2" s="1"/>
  <c r="Q32" i="2"/>
  <c r="N32" i="2"/>
  <c r="M32" i="2"/>
  <c r="L32" i="2"/>
  <c r="Z31" i="2"/>
  <c r="V31" i="2"/>
  <c r="Z30" i="2"/>
  <c r="X30" i="2"/>
  <c r="W30" i="2"/>
  <c r="S30" i="2"/>
  <c r="T30" i="2" s="1"/>
  <c r="Q29" i="2"/>
  <c r="N29" i="2"/>
  <c r="M29" i="2"/>
  <c r="L29" i="2"/>
  <c r="Z28" i="2"/>
  <c r="V28" i="2"/>
  <c r="Z27" i="2"/>
  <c r="X27" i="2"/>
  <c r="W27" i="2"/>
  <c r="S27" i="2"/>
  <c r="T27" i="2" s="1"/>
  <c r="Q26" i="2"/>
  <c r="N26" i="2"/>
  <c r="M26" i="2"/>
  <c r="L26" i="2"/>
  <c r="Z25" i="2"/>
  <c r="V25" i="2"/>
  <c r="Z23" i="2"/>
  <c r="V23" i="2"/>
  <c r="S22" i="2"/>
  <c r="N22" i="2"/>
  <c r="Z22" i="2" s="1"/>
  <c r="Q21" i="2"/>
  <c r="S21" i="2" s="1"/>
  <c r="M21" i="2"/>
  <c r="L21" i="2"/>
  <c r="Z20" i="2"/>
  <c r="V20" i="2"/>
  <c r="S19" i="2"/>
  <c r="N19" i="2"/>
  <c r="W19" i="2" s="1"/>
  <c r="S18" i="2"/>
  <c r="N18" i="2"/>
  <c r="W18" i="2" s="1"/>
  <c r="S17" i="2"/>
  <c r="N17" i="2"/>
  <c r="W17" i="2" s="1"/>
  <c r="AB16" i="2"/>
  <c r="Z16" i="2"/>
  <c r="X16" i="2"/>
  <c r="W16" i="2"/>
  <c r="S16" i="2"/>
  <c r="T16" i="2" s="1"/>
  <c r="M16" i="2"/>
  <c r="L16" i="2"/>
  <c r="Z15" i="2"/>
  <c r="V15" i="2"/>
  <c r="Q14" i="2"/>
  <c r="V13" i="2"/>
  <c r="O12" i="2"/>
  <c r="O10" i="2" s="1"/>
  <c r="Z129" i="1"/>
  <c r="V129" i="1"/>
  <c r="Z125" i="1"/>
  <c r="W125" i="1"/>
  <c r="V125" i="1"/>
  <c r="Z123" i="1"/>
  <c r="V123" i="1"/>
  <c r="Z122" i="1"/>
  <c r="W122" i="1"/>
  <c r="Z121" i="1"/>
  <c r="Z118" i="1"/>
  <c r="V118" i="1"/>
  <c r="Z117" i="1"/>
  <c r="W117" i="1"/>
  <c r="S117" i="1"/>
  <c r="T117" i="1" s="1"/>
  <c r="S116" i="1"/>
  <c r="N116" i="1"/>
  <c r="M115" i="1"/>
  <c r="Z114" i="1"/>
  <c r="V114" i="1"/>
  <c r="S113" i="1"/>
  <c r="Z113" i="1"/>
  <c r="Z112" i="1"/>
  <c r="Q111" i="1"/>
  <c r="X111" i="1" s="1"/>
  <c r="Z108" i="1"/>
  <c r="V108" i="1"/>
  <c r="Z105" i="1"/>
  <c r="W105" i="1"/>
  <c r="S105" i="1"/>
  <c r="T105" i="1" s="1"/>
  <c r="Z104" i="1"/>
  <c r="V104" i="1"/>
  <c r="Z103" i="1"/>
  <c r="S103" i="1"/>
  <c r="U103" i="1" s="1"/>
  <c r="V103" i="1" s="1"/>
  <c r="Z102" i="1"/>
  <c r="V102" i="1"/>
  <c r="S101" i="1"/>
  <c r="N101" i="1"/>
  <c r="Z100" i="1"/>
  <c r="V100" i="1"/>
  <c r="Z99" i="1"/>
  <c r="W99" i="1"/>
  <c r="S99" i="1"/>
  <c r="T99" i="1" s="1"/>
  <c r="V98" i="1"/>
  <c r="N98" i="1"/>
  <c r="Z98" i="1" s="1"/>
  <c r="M97" i="1"/>
  <c r="Z96" i="1"/>
  <c r="V96" i="1"/>
  <c r="Z95" i="1"/>
  <c r="V95" i="1"/>
  <c r="Z83" i="1"/>
  <c r="V83" i="1"/>
  <c r="Z81" i="1"/>
  <c r="V81" i="1"/>
  <c r="Z80" i="1"/>
  <c r="W80" i="1"/>
  <c r="S80" i="1"/>
  <c r="U80" i="1" s="1"/>
  <c r="V80" i="1" s="1"/>
  <c r="Z79" i="1"/>
  <c r="V79" i="1"/>
  <c r="Z78" i="1"/>
  <c r="W78" i="1"/>
  <c r="S78" i="1"/>
  <c r="T78" i="1" s="1"/>
  <c r="Z77" i="1"/>
  <c r="V77" i="1"/>
  <c r="Z75" i="1"/>
  <c r="V75" i="1"/>
  <c r="Z73" i="1"/>
  <c r="V73" i="1"/>
  <c r="Z72" i="1"/>
  <c r="W72" i="1"/>
  <c r="T72" i="1"/>
  <c r="Z71" i="1"/>
  <c r="V71" i="1"/>
  <c r="Z70" i="1"/>
  <c r="W70" i="1"/>
  <c r="U70" i="1"/>
  <c r="V70" i="1" s="1"/>
  <c r="Z63" i="1"/>
  <c r="V63" i="1"/>
  <c r="S62" i="1"/>
  <c r="Z61" i="1"/>
  <c r="V61" i="1"/>
  <c r="Z51" i="1"/>
  <c r="V51" i="1"/>
  <c r="Z49" i="1"/>
  <c r="V49" i="1"/>
  <c r="Z48" i="1"/>
  <c r="W48" i="1"/>
  <c r="U48" i="1"/>
  <c r="V48" i="1" s="1"/>
  <c r="Z43" i="1"/>
  <c r="V43" i="1"/>
  <c r="Z41" i="1"/>
  <c r="V41" i="1"/>
  <c r="Z39" i="1"/>
  <c r="V39" i="1"/>
  <c r="Z37" i="1"/>
  <c r="V37" i="1"/>
  <c r="S36" i="1"/>
  <c r="Z35" i="1"/>
  <c r="V35" i="1"/>
  <c r="Z31" i="1"/>
  <c r="V31" i="1"/>
  <c r="Z29" i="1"/>
  <c r="V29" i="1"/>
  <c r="Z27" i="1"/>
  <c r="V27" i="1"/>
  <c r="Z25" i="1"/>
  <c r="V25" i="1"/>
  <c r="S24" i="1"/>
  <c r="Z23" i="1"/>
  <c r="V23" i="1"/>
  <c r="Z21" i="1"/>
  <c r="V21" i="1"/>
  <c r="Z19" i="1"/>
  <c r="V19" i="1"/>
  <c r="Z17" i="1"/>
  <c r="V17" i="1"/>
  <c r="Z15" i="1"/>
  <c r="V15" i="1"/>
  <c r="V13" i="1"/>
  <c r="O12" i="1"/>
  <c r="O10" i="1" s="1"/>
  <c r="N42" i="1" l="1"/>
  <c r="X42" i="1" s="1"/>
  <c r="L60" i="2"/>
  <c r="U128" i="2"/>
  <c r="V128" i="2" s="1"/>
  <c r="T56" i="2"/>
  <c r="N65" i="2"/>
  <c r="X65" i="2" s="1"/>
  <c r="L14" i="2"/>
  <c r="Z68" i="2"/>
  <c r="N126" i="2"/>
  <c r="W126" i="2" s="1"/>
  <c r="U162" i="2"/>
  <c r="V162" i="2" s="1"/>
  <c r="T166" i="2"/>
  <c r="T176" i="2"/>
  <c r="M12" i="1"/>
  <c r="W29" i="2"/>
  <c r="U52" i="2"/>
  <c r="V52" i="2" s="1"/>
  <c r="W100" i="2"/>
  <c r="T102" i="2"/>
  <c r="N78" i="2"/>
  <c r="T17" i="2"/>
  <c r="T19" i="2"/>
  <c r="Z101" i="1"/>
  <c r="X101" i="1"/>
  <c r="Z116" i="1"/>
  <c r="X116" i="1"/>
  <c r="Z19" i="2"/>
  <c r="W26" i="2"/>
  <c r="W32" i="2"/>
  <c r="T39" i="2"/>
  <c r="Z84" i="2"/>
  <c r="U116" i="2"/>
  <c r="V116" i="2" s="1"/>
  <c r="T134" i="2"/>
  <c r="U161" i="2"/>
  <c r="V161" i="2" s="1"/>
  <c r="T178" i="2"/>
  <c r="X86" i="2"/>
  <c r="W90" i="2"/>
  <c r="N156" i="2"/>
  <c r="Z156" i="2" s="1"/>
  <c r="T122" i="1"/>
  <c r="X122" i="1"/>
  <c r="U34" i="1"/>
  <c r="V34" i="1" s="1"/>
  <c r="X34" i="1"/>
  <c r="T63" i="2"/>
  <c r="U92" i="2"/>
  <c r="V92" i="2" s="1"/>
  <c r="T136" i="2"/>
  <c r="U153" i="2"/>
  <c r="V153" i="2" s="1"/>
  <c r="W172" i="2"/>
  <c r="U177" i="2"/>
  <c r="V177" i="2" s="1"/>
  <c r="T44" i="1"/>
  <c r="U44" i="1"/>
  <c r="T58" i="1"/>
  <c r="U58" i="1"/>
  <c r="N21" i="2"/>
  <c r="U21" i="2" s="1"/>
  <c r="V21" i="2" s="1"/>
  <c r="N24" i="2"/>
  <c r="L24" i="2"/>
  <c r="T38" i="2"/>
  <c r="S47" i="2"/>
  <c r="W56" i="2"/>
  <c r="T66" i="2"/>
  <c r="S68" i="2"/>
  <c r="T68" i="2" s="1"/>
  <c r="W78" i="2"/>
  <c r="T80" i="2"/>
  <c r="X90" i="2"/>
  <c r="S94" i="2"/>
  <c r="T96" i="2"/>
  <c r="U98" i="2"/>
  <c r="V98" i="2" s="1"/>
  <c r="X104" i="2"/>
  <c r="W108" i="2"/>
  <c r="T110" i="2"/>
  <c r="Z128" i="2"/>
  <c r="W136" i="2"/>
  <c r="N175" i="2"/>
  <c r="W175" i="2" s="1"/>
  <c r="T46" i="1"/>
  <c r="U46" i="1"/>
  <c r="T52" i="1"/>
  <c r="U52" i="1"/>
  <c r="U16" i="2"/>
  <c r="V16" i="2" s="1"/>
  <c r="Z17" i="2"/>
  <c r="T22" i="2"/>
  <c r="M24" i="2"/>
  <c r="Z38" i="2"/>
  <c r="U39" i="2"/>
  <c r="V39" i="2" s="1"/>
  <c r="U58" i="2"/>
  <c r="V58" i="2" s="1"/>
  <c r="Z66" i="2"/>
  <c r="U74" i="2"/>
  <c r="V74" i="2" s="1"/>
  <c r="T90" i="2"/>
  <c r="M155" i="2"/>
  <c r="M142" i="2" s="1"/>
  <c r="U158" i="2"/>
  <c r="V158" i="2" s="1"/>
  <c r="U176" i="2"/>
  <c r="V176" i="2" s="1"/>
  <c r="T32" i="1"/>
  <c r="U32" i="1"/>
  <c r="T54" i="1"/>
  <c r="U54" i="1"/>
  <c r="Q50" i="2"/>
  <c r="N54" i="2"/>
  <c r="W54" i="2" s="1"/>
  <c r="N72" i="2"/>
  <c r="X72" i="2" s="1"/>
  <c r="X74" i="2"/>
  <c r="N94" i="2"/>
  <c r="X94" i="2" s="1"/>
  <c r="T56" i="1"/>
  <c r="U56" i="1"/>
  <c r="N115" i="1"/>
  <c r="X115" i="1" s="1"/>
  <c r="M109" i="1"/>
  <c r="M94" i="1" s="1"/>
  <c r="N14" i="2"/>
  <c r="U17" i="2"/>
  <c r="V17" i="2" s="1"/>
  <c r="Z18" i="2"/>
  <c r="U19" i="2"/>
  <c r="V19" i="2" s="1"/>
  <c r="Z21" i="2"/>
  <c r="X21" i="2"/>
  <c r="W22" i="2"/>
  <c r="N37" i="2"/>
  <c r="N35" i="2" s="1"/>
  <c r="X35" i="2" s="1"/>
  <c r="X39" i="2"/>
  <c r="T43" i="2"/>
  <c r="N47" i="2"/>
  <c r="X47" i="2" s="1"/>
  <c r="W65" i="2"/>
  <c r="W68" i="2"/>
  <c r="Z74" i="2"/>
  <c r="T76" i="2"/>
  <c r="W86" i="2"/>
  <c r="T88" i="2"/>
  <c r="U90" i="2"/>
  <c r="V90" i="2" s="1"/>
  <c r="Z98" i="2"/>
  <c r="S104" i="2"/>
  <c r="T104" i="2" s="1"/>
  <c r="T120" i="2"/>
  <c r="T122" i="2"/>
  <c r="T124" i="2"/>
  <c r="T128" i="2"/>
  <c r="W138" i="2"/>
  <c r="T140" i="2"/>
  <c r="W145" i="2"/>
  <c r="U149" i="2"/>
  <c r="V149" i="2" s="1"/>
  <c r="L155" i="2"/>
  <c r="L142" i="2" s="1"/>
  <c r="U157" i="2"/>
  <c r="V157" i="2" s="1"/>
  <c r="W160" i="2"/>
  <c r="X164" i="2"/>
  <c r="U165" i="2"/>
  <c r="V165" i="2" s="1"/>
  <c r="X176" i="2"/>
  <c r="X18" i="2"/>
  <c r="W21" i="2"/>
  <c r="S111" i="1"/>
  <c r="Q109" i="1"/>
  <c r="W14" i="2"/>
  <c r="M14" i="2"/>
  <c r="X17" i="2"/>
  <c r="T18" i="2"/>
  <c r="X19" i="2"/>
  <c r="X22" i="2"/>
  <c r="U38" i="2"/>
  <c r="V38" i="2" s="1"/>
  <c r="Z39" i="2"/>
  <c r="T41" i="2"/>
  <c r="W48" i="2"/>
  <c r="U66" i="2"/>
  <c r="V66" i="2" s="1"/>
  <c r="X68" i="2"/>
  <c r="W72" i="2"/>
  <c r="W76" i="2"/>
  <c r="W80" i="2"/>
  <c r="T84" i="2"/>
  <c r="X100" i="2"/>
  <c r="W104" i="2"/>
  <c r="U106" i="2"/>
  <c r="V106" i="2" s="1"/>
  <c r="T118" i="2"/>
  <c r="W124" i="2"/>
  <c r="W128" i="2"/>
  <c r="U132" i="2"/>
  <c r="V132" i="2" s="1"/>
  <c r="Z164" i="2"/>
  <c r="T170" i="2"/>
  <c r="U173" i="2"/>
  <c r="V173" i="2" s="1"/>
  <c r="Z176" i="2"/>
  <c r="N30" i="1"/>
  <c r="L12" i="1"/>
  <c r="L130" i="1" s="1"/>
  <c r="Z60" i="1"/>
  <c r="T60" i="1"/>
  <c r="N97" i="1"/>
  <c r="X97" i="1" s="1"/>
  <c r="U18" i="2"/>
  <c r="V18" i="2" s="1"/>
  <c r="T21" i="2"/>
  <c r="X38" i="2"/>
  <c r="N45" i="2"/>
  <c r="W45" i="2" s="1"/>
  <c r="X48" i="2"/>
  <c r="M60" i="2"/>
  <c r="X66" i="2"/>
  <c r="X80" i="2"/>
  <c r="U104" i="2"/>
  <c r="V104" i="2" s="1"/>
  <c r="X172" i="2"/>
  <c r="X175" i="2"/>
  <c r="S42" i="1"/>
  <c r="T42" i="1" s="1"/>
  <c r="N50" i="1"/>
  <c r="X50" i="1" s="1"/>
  <c r="N82" i="1"/>
  <c r="W60" i="1"/>
  <c r="U60" i="1"/>
  <c r="V60" i="1" s="1"/>
  <c r="U30" i="1"/>
  <c r="V30" i="1" s="1"/>
  <c r="T62" i="1"/>
  <c r="N28" i="1"/>
  <c r="U101" i="1"/>
  <c r="V101" i="1" s="1"/>
  <c r="Z40" i="1"/>
  <c r="S22" i="1"/>
  <c r="N26" i="1"/>
  <c r="X26" i="1" s="1"/>
  <c r="U72" i="1"/>
  <c r="V72" i="1" s="1"/>
  <c r="Z97" i="1"/>
  <c r="S40" i="1"/>
  <c r="U36" i="1"/>
  <c r="V36" i="1" s="1"/>
  <c r="S18" i="1"/>
  <c r="T24" i="1"/>
  <c r="Z42" i="1"/>
  <c r="S120" i="1"/>
  <c r="T120" i="1" s="1"/>
  <c r="W120" i="1"/>
  <c r="U24" i="1"/>
  <c r="V24" i="1" s="1"/>
  <c r="W36" i="1"/>
  <c r="U62" i="1"/>
  <c r="V62" i="1" s="1"/>
  <c r="W62" i="1"/>
  <c r="W42" i="1"/>
  <c r="U78" i="1"/>
  <c r="V78" i="1" s="1"/>
  <c r="U99" i="1"/>
  <c r="V99" i="1" s="1"/>
  <c r="W115" i="1"/>
  <c r="V124" i="1"/>
  <c r="W24" i="1"/>
  <c r="T36" i="1"/>
  <c r="Z24" i="1"/>
  <c r="Z36" i="1"/>
  <c r="Z62" i="1"/>
  <c r="T80" i="1"/>
  <c r="S97" i="1"/>
  <c r="T97" i="1" s="1"/>
  <c r="U113" i="1"/>
  <c r="V113" i="1" s="1"/>
  <c r="S115" i="1"/>
  <c r="W126" i="1"/>
  <c r="Z45" i="2"/>
  <c r="X45" i="2"/>
  <c r="Z14" i="2"/>
  <c r="Z37" i="2"/>
  <c r="Z54" i="2"/>
  <c r="U65" i="2"/>
  <c r="V65" i="2" s="1"/>
  <c r="Z65" i="2"/>
  <c r="Z86" i="2"/>
  <c r="Z100" i="2"/>
  <c r="Z108" i="2"/>
  <c r="Z145" i="2"/>
  <c r="X14" i="2"/>
  <c r="Z29" i="2"/>
  <c r="Z32" i="2"/>
  <c r="Z43" i="2"/>
  <c r="X54" i="2"/>
  <c r="N62" i="2"/>
  <c r="Z62" i="2" s="1"/>
  <c r="U63" i="2"/>
  <c r="V63" i="2" s="1"/>
  <c r="Z63" i="2"/>
  <c r="T65" i="2"/>
  <c r="Z78" i="2"/>
  <c r="X108" i="2"/>
  <c r="N114" i="2"/>
  <c r="Z114" i="2" s="1"/>
  <c r="Z120" i="2"/>
  <c r="Z138" i="2"/>
  <c r="X145" i="2"/>
  <c r="Z158" i="2"/>
  <c r="X160" i="2"/>
  <c r="Z170" i="2"/>
  <c r="U178" i="2"/>
  <c r="V178" i="2" s="1"/>
  <c r="S14" i="2"/>
  <c r="T14" i="2" s="1"/>
  <c r="X26" i="2"/>
  <c r="U27" i="2"/>
  <c r="V27" i="2" s="1"/>
  <c r="X29" i="2"/>
  <c r="U30" i="2"/>
  <c r="V30" i="2" s="1"/>
  <c r="X32" i="2"/>
  <c r="U33" i="2"/>
  <c r="V33" i="2" s="1"/>
  <c r="S37" i="2"/>
  <c r="X43" i="2"/>
  <c r="S45" i="2"/>
  <c r="N50" i="2"/>
  <c r="S54" i="2"/>
  <c r="U56" i="2"/>
  <c r="V56" i="2" s="1"/>
  <c r="Z56" i="2"/>
  <c r="X63" i="2"/>
  <c r="U70" i="2"/>
  <c r="V70" i="2" s="1"/>
  <c r="U76" i="2"/>
  <c r="V76" i="2" s="1"/>
  <c r="Z76" i="2"/>
  <c r="X78" i="2"/>
  <c r="S86" i="2"/>
  <c r="T86" i="2" s="1"/>
  <c r="Z90" i="2"/>
  <c r="T98" i="2"/>
  <c r="X98" i="2"/>
  <c r="S100" i="2"/>
  <c r="T100" i="2" s="1"/>
  <c r="Z104" i="2"/>
  <c r="S108" i="2"/>
  <c r="T108" i="2" s="1"/>
  <c r="U112" i="2"/>
  <c r="V112" i="2" s="1"/>
  <c r="X120" i="2"/>
  <c r="U124" i="2"/>
  <c r="V124" i="2" s="1"/>
  <c r="Z124" i="2"/>
  <c r="N130" i="2"/>
  <c r="Z130" i="2" s="1"/>
  <c r="U136" i="2"/>
  <c r="V136" i="2" s="1"/>
  <c r="Z136" i="2"/>
  <c r="X138" i="2"/>
  <c r="S145" i="2"/>
  <c r="T145" i="2" s="1"/>
  <c r="U147" i="2"/>
  <c r="V147" i="2" s="1"/>
  <c r="Q155" i="2"/>
  <c r="Q142" i="2" s="1"/>
  <c r="S156" i="2"/>
  <c r="S160" i="2"/>
  <c r="T160" i="2" s="1"/>
  <c r="S164" i="2"/>
  <c r="X170" i="2"/>
  <c r="S172" i="2"/>
  <c r="T172" i="2" s="1"/>
  <c r="S175" i="2"/>
  <c r="T175" i="2" s="1"/>
  <c r="X178" i="2"/>
  <c r="Z94" i="2"/>
  <c r="Z160" i="2"/>
  <c r="Z172" i="2"/>
  <c r="Q24" i="2"/>
  <c r="Z26" i="2"/>
  <c r="U43" i="2"/>
  <c r="V43" i="2" s="1"/>
  <c r="Q60" i="2"/>
  <c r="Z72" i="2"/>
  <c r="U120" i="2"/>
  <c r="V120" i="2" s="1"/>
  <c r="Z126" i="2"/>
  <c r="U170" i="2"/>
  <c r="V170" i="2" s="1"/>
  <c r="Z178" i="2"/>
  <c r="U22" i="2"/>
  <c r="V22" i="2" s="1"/>
  <c r="S26" i="2"/>
  <c r="T26" i="2" s="1"/>
  <c r="S29" i="2"/>
  <c r="T29" i="2" s="1"/>
  <c r="S32" i="2"/>
  <c r="T32" i="2" s="1"/>
  <c r="S35" i="2"/>
  <c r="U48" i="2"/>
  <c r="V48" i="2" s="1"/>
  <c r="S62" i="2"/>
  <c r="S72" i="2"/>
  <c r="T72" i="2" s="1"/>
  <c r="S78" i="2"/>
  <c r="T78" i="2" s="1"/>
  <c r="U80" i="2"/>
  <c r="V80" i="2" s="1"/>
  <c r="S114" i="2"/>
  <c r="T114" i="2" s="1"/>
  <c r="S126" i="2"/>
  <c r="T126" i="2" s="1"/>
  <c r="S138" i="2"/>
  <c r="T138" i="2" s="1"/>
  <c r="N168" i="2"/>
  <c r="N155" i="2" s="1"/>
  <c r="N142" i="2" s="1"/>
  <c r="Z16" i="1"/>
  <c r="Z38" i="1"/>
  <c r="S16" i="1"/>
  <c r="T16" i="1" s="1"/>
  <c r="T34" i="1"/>
  <c r="S38" i="1"/>
  <c r="T38" i="1" s="1"/>
  <c r="W38" i="1"/>
  <c r="S50" i="1"/>
  <c r="T70" i="1"/>
  <c r="U105" i="1"/>
  <c r="V105" i="1" s="1"/>
  <c r="U111" i="1"/>
  <c r="V111" i="1" s="1"/>
  <c r="V112" i="1"/>
  <c r="Z115" i="1"/>
  <c r="U117" i="1"/>
  <c r="V117" i="1" s="1"/>
  <c r="Z120" i="1"/>
  <c r="V122" i="1"/>
  <c r="U116" i="1"/>
  <c r="V116" i="1" s="1"/>
  <c r="V121" i="1"/>
  <c r="V126" i="1"/>
  <c r="Z126" i="1"/>
  <c r="Z34" i="1"/>
  <c r="S26" i="1"/>
  <c r="X114" i="2" l="1"/>
  <c r="T45" i="2"/>
  <c r="T94" i="2"/>
  <c r="T62" i="2"/>
  <c r="Z175" i="2"/>
  <c r="X37" i="2"/>
  <c r="M12" i="2"/>
  <c r="U68" i="2"/>
  <c r="V68" i="2" s="1"/>
  <c r="L12" i="2"/>
  <c r="T35" i="2"/>
  <c r="U156" i="2"/>
  <c r="V156" i="2" s="1"/>
  <c r="X126" i="2"/>
  <c r="T37" i="2"/>
  <c r="W28" i="1"/>
  <c r="X28" i="1"/>
  <c r="W35" i="2"/>
  <c r="T30" i="1"/>
  <c r="X30" i="1"/>
  <c r="W37" i="2"/>
  <c r="Z35" i="2"/>
  <c r="Z50" i="2"/>
  <c r="U94" i="2"/>
  <c r="V94" i="2" s="1"/>
  <c r="T115" i="1"/>
  <c r="T82" i="1"/>
  <c r="X82" i="1"/>
  <c r="U145" i="2"/>
  <c r="V145" i="2" s="1"/>
  <c r="Q94" i="1"/>
  <c r="S94" i="1" s="1"/>
  <c r="U37" i="2"/>
  <c r="V37" i="2" s="1"/>
  <c r="U14" i="2"/>
  <c r="V14" i="2" s="1"/>
  <c r="X50" i="2"/>
  <c r="W94" i="2"/>
  <c r="M10" i="1"/>
  <c r="N94" i="1"/>
  <c r="U47" i="2"/>
  <c r="V47" i="2" s="1"/>
  <c r="T47" i="2"/>
  <c r="U72" i="2"/>
  <c r="V72" i="2" s="1"/>
  <c r="W114" i="2"/>
  <c r="W97" i="1"/>
  <c r="Z30" i="1"/>
  <c r="Z47" i="2"/>
  <c r="Z82" i="1"/>
  <c r="X62" i="2"/>
  <c r="N60" i="2"/>
  <c r="Z60" i="2" s="1"/>
  <c r="U29" i="2"/>
  <c r="V29" i="2" s="1"/>
  <c r="U126" i="2"/>
  <c r="V126" i="2" s="1"/>
  <c r="W47" i="2"/>
  <c r="U42" i="1"/>
  <c r="V42" i="1" s="1"/>
  <c r="N109" i="1"/>
  <c r="X109" i="1" s="1"/>
  <c r="T50" i="1"/>
  <c r="W50" i="1"/>
  <c r="Z50" i="1"/>
  <c r="W82" i="1"/>
  <c r="U82" i="1"/>
  <c r="V82" i="1" s="1"/>
  <c r="Z28" i="1"/>
  <c r="W40" i="1"/>
  <c r="T28" i="1"/>
  <c r="Z26" i="1"/>
  <c r="U120" i="1"/>
  <c r="V120" i="1" s="1"/>
  <c r="W22" i="1"/>
  <c r="T40" i="1"/>
  <c r="W74" i="1"/>
  <c r="W26" i="1"/>
  <c r="Z74" i="1"/>
  <c r="T26" i="1"/>
  <c r="U40" i="1"/>
  <c r="V40" i="1" s="1"/>
  <c r="S109" i="1"/>
  <c r="U76" i="1"/>
  <c r="V76" i="1" s="1"/>
  <c r="U115" i="1"/>
  <c r="V115" i="1" s="1"/>
  <c r="T74" i="1"/>
  <c r="U74" i="1"/>
  <c r="V74" i="1" s="1"/>
  <c r="Z111" i="1"/>
  <c r="M130" i="1"/>
  <c r="Z124" i="1"/>
  <c r="T18" i="1"/>
  <c r="W124" i="1"/>
  <c r="W76" i="1"/>
  <c r="W16" i="1"/>
  <c r="Z76" i="1"/>
  <c r="U97" i="1"/>
  <c r="V97" i="1" s="1"/>
  <c r="U26" i="1"/>
  <c r="V26" i="1" s="1"/>
  <c r="Z142" i="2"/>
  <c r="S142" i="2"/>
  <c r="T142" i="2" s="1"/>
  <c r="W142" i="2"/>
  <c r="X142" i="2"/>
  <c r="Z155" i="2"/>
  <c r="W155" i="2"/>
  <c r="X155" i="2"/>
  <c r="S155" i="2"/>
  <c r="T155" i="2" s="1"/>
  <c r="U130" i="2"/>
  <c r="V130" i="2" s="1"/>
  <c r="W130" i="2"/>
  <c r="L10" i="2"/>
  <c r="L180" i="2"/>
  <c r="N12" i="2"/>
  <c r="N180" i="2" s="1"/>
  <c r="M10" i="2"/>
  <c r="M180" i="2"/>
  <c r="U78" i="2"/>
  <c r="V78" i="2" s="1"/>
  <c r="U62" i="2"/>
  <c r="V62" i="2" s="1"/>
  <c r="U175" i="2"/>
  <c r="V175" i="2" s="1"/>
  <c r="W62" i="2"/>
  <c r="U32" i="2"/>
  <c r="V32" i="2" s="1"/>
  <c r="T54" i="2"/>
  <c r="S50" i="2"/>
  <c r="T50" i="2" s="1"/>
  <c r="Z168" i="2"/>
  <c r="U168" i="2"/>
  <c r="V168" i="2" s="1"/>
  <c r="W168" i="2"/>
  <c r="X168" i="2"/>
  <c r="T168" i="2"/>
  <c r="S60" i="2"/>
  <c r="U60" i="2" s="1"/>
  <c r="V60" i="2" s="1"/>
  <c r="X24" i="2"/>
  <c r="W24" i="2"/>
  <c r="S24" i="2"/>
  <c r="Z24" i="2"/>
  <c r="Q12" i="2"/>
  <c r="U26" i="2"/>
  <c r="V26" i="2" s="1"/>
  <c r="U160" i="2"/>
  <c r="V160" i="2" s="1"/>
  <c r="U100" i="2"/>
  <c r="V100" i="2" s="1"/>
  <c r="X130" i="2"/>
  <c r="U35" i="2"/>
  <c r="V35" i="2" s="1"/>
  <c r="T130" i="2"/>
  <c r="U108" i="2"/>
  <c r="V108" i="2" s="1"/>
  <c r="U45" i="2"/>
  <c r="V45" i="2" s="1"/>
  <c r="U164" i="2"/>
  <c r="V164" i="2" s="1"/>
  <c r="T164" i="2"/>
  <c r="W50" i="2"/>
  <c r="U114" i="2"/>
  <c r="V114" i="2" s="1"/>
  <c r="U172" i="2"/>
  <c r="V172" i="2" s="1"/>
  <c r="U86" i="2"/>
  <c r="V86" i="2" s="1"/>
  <c r="U138" i="2"/>
  <c r="V138" i="2" s="1"/>
  <c r="U54" i="2"/>
  <c r="V54" i="2" s="1"/>
  <c r="U16" i="1"/>
  <c r="V16" i="1" s="1"/>
  <c r="U28" i="1"/>
  <c r="V28" i="1" s="1"/>
  <c r="U38" i="1"/>
  <c r="V38" i="1" s="1"/>
  <c r="U50" i="1"/>
  <c r="V50" i="1" s="1"/>
  <c r="W14" i="1"/>
  <c r="Z14" i="1"/>
  <c r="S14" i="1"/>
  <c r="U14" i="1" s="1"/>
  <c r="T76" i="1"/>
  <c r="U18" i="1"/>
  <c r="V18" i="1" s="1"/>
  <c r="X60" i="2" l="1"/>
  <c r="W60" i="2"/>
  <c r="T60" i="2"/>
  <c r="Q10" i="1"/>
  <c r="X94" i="1"/>
  <c r="U22" i="1"/>
  <c r="V22" i="1" s="1"/>
  <c r="Z22" i="1"/>
  <c r="T22" i="1"/>
  <c r="Z109" i="1"/>
  <c r="U109" i="1"/>
  <c r="V109" i="1" s="1"/>
  <c r="W109" i="1"/>
  <c r="T94" i="1"/>
  <c r="T14" i="1"/>
  <c r="Z18" i="1"/>
  <c r="W18" i="1"/>
  <c r="T109" i="1"/>
  <c r="Q180" i="2"/>
  <c r="W12" i="2"/>
  <c r="S12" i="2"/>
  <c r="U12" i="2" s="1"/>
  <c r="V12" i="2" s="1"/>
  <c r="Q10" i="2"/>
  <c r="X12" i="2"/>
  <c r="U142" i="2"/>
  <c r="V142" i="2" s="1"/>
  <c r="N10" i="2"/>
  <c r="U50" i="2"/>
  <c r="V50" i="2" s="1"/>
  <c r="T24" i="2"/>
  <c r="U24" i="2"/>
  <c r="V24" i="2" s="1"/>
  <c r="U155" i="2"/>
  <c r="V155" i="2" s="1"/>
  <c r="U20" i="1"/>
  <c r="V20" i="1" s="1"/>
  <c r="T20" i="1"/>
  <c r="W20" i="1"/>
  <c r="Z20" i="1"/>
  <c r="V14" i="1"/>
  <c r="N12" i="1"/>
  <c r="X12" i="1" s="1"/>
  <c r="L10" i="1"/>
  <c r="Q130" i="1"/>
  <c r="S12" i="1"/>
  <c r="N10" i="1" l="1"/>
  <c r="W12" i="1"/>
  <c r="U94" i="1"/>
  <c r="V94" i="1" s="1"/>
  <c r="Z94" i="1"/>
  <c r="W94" i="1"/>
  <c r="X180" i="2"/>
  <c r="W180" i="2"/>
  <c r="S180" i="2"/>
  <c r="T12" i="2"/>
  <c r="X10" i="2"/>
  <c r="W10" i="2"/>
  <c r="S10" i="2"/>
  <c r="T10" i="2" s="1"/>
  <c r="U12" i="1"/>
  <c r="V12" i="1" s="1"/>
  <c r="N130" i="1"/>
  <c r="X130" i="1" s="1"/>
  <c r="S130" i="1"/>
  <c r="T12" i="1"/>
  <c r="S10" i="1"/>
  <c r="W130" i="1"/>
  <c r="U10" i="2" l="1"/>
  <c r="V10" i="2" s="1"/>
  <c r="U10" i="1"/>
  <c r="V10" i="1" s="1"/>
  <c r="T130" i="1"/>
  <c r="X10" i="1"/>
  <c r="T180" i="2"/>
  <c r="U180" i="2"/>
  <c r="V180" i="2" s="1"/>
  <c r="W10" i="1"/>
  <c r="U130" i="1"/>
  <c r="V130" i="1" s="1"/>
  <c r="T10" i="1"/>
</calcChain>
</file>

<file path=xl/sharedStrings.xml><?xml version="1.0" encoding="utf-8"?>
<sst xmlns="http://schemas.openxmlformats.org/spreadsheetml/2006/main" count="1703" uniqueCount="303">
  <si>
    <t xml:space="preserve"> </t>
  </si>
  <si>
    <t>BADAN PENGELOLA PENDAPATAN DAERAH PROVINSI JAWA TENGAH</t>
  </si>
  <si>
    <t xml:space="preserve">UPPD  KABUPATEN P A T I  </t>
  </si>
  <si>
    <t>TANGGAL 1 S/D 20 Desember 2021</t>
  </si>
  <si>
    <t>KODE REKENING</t>
  </si>
  <si>
    <t>URAIAN</t>
  </si>
  <si>
    <t>ANGGARAN MURNI  TAHUN  2021</t>
  </si>
  <si>
    <t>ANGGARAN RASIONALISASI  TAHAP 1</t>
  </si>
  <si>
    <t>JUMLAH ANGGARAN SETELAH PERUBAHAN</t>
  </si>
  <si>
    <t>SPJ LS BARANG DAN JASA</t>
  </si>
  <si>
    <t xml:space="preserve"> SPJ GU</t>
  </si>
  <si>
    <t>SISA ANGGARAN SETELAH PERUBAHAN</t>
  </si>
  <si>
    <t>SISA ANGGARAN DI BAGI 2 BULAN</t>
  </si>
  <si>
    <t>BULAN INI</t>
  </si>
  <si>
    <t>S/D BLN LALU</t>
  </si>
  <si>
    <t>S/D BLN INI</t>
  </si>
  <si>
    <t>%</t>
  </si>
  <si>
    <t>CONTROLING</t>
  </si>
  <si>
    <t>a</t>
  </si>
  <si>
    <t>b</t>
  </si>
  <si>
    <t>c</t>
  </si>
  <si>
    <t>d</t>
  </si>
  <si>
    <t>f</t>
  </si>
  <si>
    <t>g</t>
  </si>
  <si>
    <t>j</t>
  </si>
  <si>
    <t>k</t>
  </si>
  <si>
    <t>l ( j+k)</t>
  </si>
  <si>
    <t>n  (m/f *100%)</t>
  </si>
  <si>
    <t>n</t>
  </si>
  <si>
    <t>NO</t>
  </si>
  <si>
    <t>BELANJA LANGSUNG</t>
  </si>
  <si>
    <t>01</t>
  </si>
  <si>
    <t>Program Penunjang Urusan Pemerintah Daerah</t>
  </si>
  <si>
    <t>01.1.03.01</t>
  </si>
  <si>
    <t>5.1.2.1.1.4</t>
  </si>
  <si>
    <t>Belanja Perangko, Meterai Dan Benda Pos Lainnya</t>
  </si>
  <si>
    <t>+</t>
  </si>
  <si>
    <t>Perangko 5000</t>
  </si>
  <si>
    <t>Meterai 6000</t>
  </si>
  <si>
    <t>Meterai 3000</t>
  </si>
  <si>
    <t>5.1.2.2.1.63</t>
  </si>
  <si>
    <t>Belanja Pemeliharaan Aset tetap lainnya</t>
  </si>
  <si>
    <t>Pembersihan Arsip</t>
  </si>
  <si>
    <t>01.1.03.02</t>
  </si>
  <si>
    <t>Kegiatan Jasa Komunikasi, Air Dan Listrik</t>
  </si>
  <si>
    <t>5.1.2.2.1.14</t>
  </si>
  <si>
    <t>Belanja Telepon</t>
  </si>
  <si>
    <t>Langganan Telepon Kantor Dinas</t>
  </si>
  <si>
    <t>5.1.2.2.1.15</t>
  </si>
  <si>
    <t>Belanja Air</t>
  </si>
  <si>
    <t>Belanja Langganan Air Bersih</t>
  </si>
  <si>
    <t>5.1.2.2.1.16</t>
  </si>
  <si>
    <t>Belanja Listrik</t>
  </si>
  <si>
    <t>01.1.03.03</t>
  </si>
  <si>
    <t>Penyediaan Jasa Peralatan dan Perlengkapan Kantor</t>
  </si>
  <si>
    <t>5.1.2.1.1.5</t>
  </si>
  <si>
    <t>Belanja alat kebersihan dan bahan pembersih</t>
  </si>
  <si>
    <t>5.1.2.1.1.5.01</t>
  </si>
  <si>
    <t>Isi Ulang pengharum ruangan</t>
  </si>
  <si>
    <t>5.1.2.1.1.5.02</t>
  </si>
  <si>
    <t>Peralatan kebersihan dan bahan pembersih</t>
  </si>
  <si>
    <t>5.1.2.2.10</t>
  </si>
  <si>
    <t>Belanja Jasa Narasumber (Instruktur Senam)</t>
  </si>
  <si>
    <t>5.1.2.2.1.13</t>
  </si>
  <si>
    <t>Belanja Jasa Tenaga Pengamanan</t>
  </si>
  <si>
    <t>01.1.03.05</t>
  </si>
  <si>
    <t>Kegiatan Penyedia jaminan Barang Milik Daerah</t>
  </si>
  <si>
    <t>5.1.2.2.2</t>
  </si>
  <si>
    <t>Belanja Premi Asuransi Barang Milik daerah</t>
  </si>
  <si>
    <t xml:space="preserve">Belanja Premi Asuransi Kendaraan Dinas </t>
  </si>
  <si>
    <t>01.1.03.07</t>
  </si>
  <si>
    <t>Penyedia Jasa Administrasi Keuangan</t>
  </si>
  <si>
    <t>5.1.2.4.2</t>
  </si>
  <si>
    <t>Belanja makanan dan minuman rapat</t>
  </si>
  <si>
    <t>5.1.2.2</t>
  </si>
  <si>
    <t>Belanja Jasa Kantor</t>
  </si>
  <si>
    <t>Belanja Jasa Penanggungjawab Pengelola Keuangan</t>
  </si>
  <si>
    <t>Belanja jasa pengadaan barang</t>
  </si>
  <si>
    <t>01.1.03.08</t>
  </si>
  <si>
    <t>Kegiatan Penyedia jasa Kebersihan Kantor</t>
  </si>
  <si>
    <t>Belanja Jasa Kebersihan</t>
  </si>
  <si>
    <t>Belanja Jasa Kebersihan Kantor</t>
  </si>
  <si>
    <t>Belanja Jasa Dan Pengelolaan Sampah</t>
  </si>
  <si>
    <t>Jasa Pengangkutan Sampah</t>
  </si>
  <si>
    <t>01.1.03.10</t>
  </si>
  <si>
    <t>Penyediaan Alat Tulis Kantor</t>
  </si>
  <si>
    <t>Belanja Bahan Pakai Habis</t>
  </si>
  <si>
    <t>01.1.03.11</t>
  </si>
  <si>
    <t>Penyediaan Barang Cetakan dan Penggandaan</t>
  </si>
  <si>
    <t>Belanja cetak</t>
  </si>
  <si>
    <t>Belanja Penggandaan</t>
  </si>
  <si>
    <t>01.1.03.12</t>
  </si>
  <si>
    <t>Penyediaan Komponen Instalasi Listrik/Penerangan Bangunan Kantor</t>
  </si>
  <si>
    <t>Belanja Alat listrik dan elektronik</t>
  </si>
  <si>
    <t>01.1.03.13</t>
  </si>
  <si>
    <t>Penyediaan Peralatan dan Perlengkapan Kantor</t>
  </si>
  <si>
    <t>Belanja sewa meja/kursi</t>
  </si>
  <si>
    <t>01.1.03.14</t>
  </si>
  <si>
    <t>Penyediaan Peraltan Rumah Tangga</t>
  </si>
  <si>
    <t>Pengisian tabung gas elpiji</t>
  </si>
  <si>
    <t>01.1.03.15</t>
  </si>
  <si>
    <t>Penyediaan Bahan Bacaan dan Peraturan Perundang-undangan</t>
  </si>
  <si>
    <t>Belanja Surat Kabar/majalah</t>
  </si>
  <si>
    <t>01.1.03.17</t>
  </si>
  <si>
    <t>Penyediaan Makanan dan Minuman</t>
  </si>
  <si>
    <t>Belanja makanan dan minuman tamu</t>
  </si>
  <si>
    <t>01.1.03.18</t>
  </si>
  <si>
    <t>Rapat-rapat Kordinasi dan Konsultasi ke Luar Daerah</t>
  </si>
  <si>
    <t>Belanja Perjalanan dinas dalam daerah</t>
  </si>
  <si>
    <t>01.1.03.28</t>
  </si>
  <si>
    <t>Pemeliharaan Rutin atau Berkala Rumah Dinas</t>
  </si>
  <si>
    <t>Pemeliharaan dan perawatan rumah dinas</t>
  </si>
  <si>
    <t>01.1.03.29</t>
  </si>
  <si>
    <t>Pemeliharaan Rutin atau Berkala Gedung Kantor</t>
  </si>
  <si>
    <t>belum input karena sudah hampir 100 persen</t>
  </si>
  <si>
    <t>Pemeliharaan dan perawatan gedung kantor</t>
  </si>
  <si>
    <t>Pemeliharaan Taman</t>
  </si>
  <si>
    <t>Pemeliharaan Rutin atau Berkala Kendaraan Dinas/Operasional</t>
  </si>
  <si>
    <t>Belanja Bahan Bakar Minyak</t>
  </si>
  <si>
    <t>Belanja Suku Cadang Kendaraan Dinas Operasional</t>
  </si>
  <si>
    <t>Belanja Jasa Servis</t>
  </si>
  <si>
    <t>Belanja Jasa KIR</t>
  </si>
  <si>
    <t>Belanja Pajak Kendaraan Bermotor</t>
  </si>
  <si>
    <t>01.1.03.33</t>
  </si>
  <si>
    <t>Pemeliharaan Rutin/Berkala Perlengkapan Gedung Kantor</t>
  </si>
  <si>
    <t>Pengisian Tabung Pemadam Kebakaran</t>
  </si>
  <si>
    <t>01.1.03.35</t>
  </si>
  <si>
    <t>Pemeliharaan Rutin/Berkala Peralatan Gedung Kantor</t>
  </si>
  <si>
    <t>Belanja Pemeliharaan Alat Kantor dan Rumah Tangga Alat Kantor-Alat Kantor Lainnya</t>
  </si>
  <si>
    <t>Belanja Pemeliharaan Alat Kantor dan Rumah Tangga Alat Kantor-Alat Pendingin</t>
  </si>
  <si>
    <t>Belanja Pemeliharaan Komputer- Komputer Unit dan Personal Computer</t>
  </si>
  <si>
    <t>01.1.03.36</t>
  </si>
  <si>
    <t>Pemeliharaan Rutin/Berkala Mebeleur</t>
  </si>
  <si>
    <t>Jasa Pemeliharaan</t>
  </si>
  <si>
    <t>04</t>
  </si>
  <si>
    <t>Program Pengelolaan Pendapatan Daerah</t>
  </si>
  <si>
    <t>04.1.01.10</t>
  </si>
  <si>
    <t>Pemeriksaan Pajak Daerah</t>
  </si>
  <si>
    <t>Belanja Dokumentasi, Dekorasi dan Pubikasi</t>
  </si>
  <si>
    <t>Realisasi Penerimaan PKB-Razia kendaraan bermotor</t>
  </si>
  <si>
    <t>Realisasi Penerimaan PKB-Honorarium Uang Piket-Petugas Samsat Malam/CFD/Hari Libur</t>
  </si>
  <si>
    <t>Realisasi Penerimaan PKB-Honorarium Petugas Samkel/Drivethru/Paten/Gerai/Samsat Siaga</t>
  </si>
  <si>
    <t>04.1.01.11</t>
  </si>
  <si>
    <t>Monitoring dan Evaluasi Pemungutan Pajak Daerah dan Retribusi Daerah</t>
  </si>
  <si>
    <t>5.1.2.1.1.15</t>
  </si>
  <si>
    <t>Belanja Dokumentasi, Dekorasi, dan Publikasi</t>
  </si>
  <si>
    <t>Realisasi Penerimaan BBNKB- Promosi Media Cetak/Elektronik/Pameran</t>
  </si>
  <si>
    <t>Realisasi Penerimaan retribusi pemakaian KAYADA-Publikasi</t>
  </si>
  <si>
    <t>5.1.2.1.3</t>
  </si>
  <si>
    <t>Belanja Cetak/Penggandaan</t>
  </si>
  <si>
    <t>Realisasi Penerimaan retribusi pemakaian KAYADA-cetak</t>
  </si>
  <si>
    <t>Realisasi Penerimaan BBNKB- Cetak</t>
  </si>
  <si>
    <t>5.1.2.1.4</t>
  </si>
  <si>
    <t>Belanja Makanan dan Minuman</t>
  </si>
  <si>
    <t>Realisasi Penerimaan BBNKB- makan minum peserta kegiatan</t>
  </si>
  <si>
    <t>Realisasi Penerimaan retribusi pemakaian KAYADA- makan minum peserta kegiatan</t>
  </si>
  <si>
    <t>5.1.2.2.1.20</t>
  </si>
  <si>
    <t>Belanja Paket Pengiriman</t>
  </si>
  <si>
    <t>Realisasi Penerimaan retribusi pemakaian KAYADA- paket pengiriman</t>
  </si>
  <si>
    <t>Realisasi Penerimaan retribusi pemakaian KAYADA- Honorarium pelaksana kegiatan</t>
  </si>
  <si>
    <t>Belanja Jasa Asuransi</t>
  </si>
  <si>
    <t>Belanja Asuransi Kesehatan</t>
  </si>
  <si>
    <t>5.1.2.4.1</t>
  </si>
  <si>
    <t>Belanja Perjalanan Dinas Dalan Daerah</t>
  </si>
  <si>
    <t>Realisasi Penerimaan retribusi pemakaian KAYADA- perjalanan dinas dalam daerah</t>
  </si>
  <si>
    <t>Realisasi Penerimaan BBNKB- perjalanan dinas dalam daerah</t>
  </si>
  <si>
    <t>Realisasi Penerimaan PAP-Perjalanan dinas dalam daerah</t>
  </si>
  <si>
    <t>Door to door Pegawai</t>
  </si>
  <si>
    <t>Mengetahui :</t>
  </si>
  <si>
    <t>KEPALA UPPD KABUPATEN PATI</t>
  </si>
  <si>
    <t xml:space="preserve">  Ka Subag Keuangan</t>
  </si>
  <si>
    <t>Bendahara Pengeluaran</t>
  </si>
  <si>
    <t xml:space="preserve"> Bendahara Pengeluaran Pembantu</t>
  </si>
  <si>
    <t>Selaku Kuasa Pengguna Anggaran</t>
  </si>
  <si>
    <t>BAPENDA Provinsi Jawa Tengah</t>
  </si>
  <si>
    <t>UPPD Kab.Pati</t>
  </si>
  <si>
    <t>HASRINAHAYU, S.E., M.M.</t>
  </si>
  <si>
    <t>Dra. RAHAYU KARDININGSIH, M.M.</t>
  </si>
  <si>
    <t>N. ENNOK PRAHTINI, S.E,.M.Si</t>
  </si>
  <si>
    <t>SISWANTO, S.E.</t>
  </si>
  <si>
    <t>NIP.19640406 199103 2 009</t>
  </si>
  <si>
    <t>NIP. 19671124 199703 2 001</t>
  </si>
  <si>
    <t>NIP. 19661017 199001 2 001</t>
  </si>
  <si>
    <t xml:space="preserve"> NIP. 19850705 2001001 1 018</t>
  </si>
  <si>
    <t>Penyediaan Administrasi Pelaksanaan Tugas ASN</t>
  </si>
  <si>
    <t>Pelaksanaan Penatausahaan dan Pengujian/Verifikasi Keuangan SKPD</t>
  </si>
  <si>
    <t>Pengamanan Barang Milik Daerah SKPD</t>
  </si>
  <si>
    <t>Penyediaan Peralatan Rumah Tangga</t>
  </si>
  <si>
    <t>Penyediaan Bahan Bacaan dan Peraturan Perundang- undangan</t>
  </si>
  <si>
    <t>Penyediaan Bahan/Material</t>
  </si>
  <si>
    <t>Fasilitasi Kunjungan Tamu</t>
  </si>
  <si>
    <t>Rapat</t>
  </si>
  <si>
    <t>Tamu</t>
  </si>
  <si>
    <t>Penyelenggaraan Rapat Koordinasi dan Konsultasi SKPD</t>
  </si>
  <si>
    <t>Penatausahaan Arsip Dinamis pada SKPD</t>
  </si>
  <si>
    <t>Penyediaan Jasa Surat Menyurat</t>
  </si>
  <si>
    <t>Penyediaan Jasa Komunikasi, Sumber Daya Air dan Listrik</t>
  </si>
  <si>
    <t>Telepon</t>
  </si>
  <si>
    <t>Air</t>
  </si>
  <si>
    <t>Listrik</t>
  </si>
  <si>
    <t>Penyediaan Jasa Pelayanan Umum Kantor</t>
  </si>
  <si>
    <t>Senam</t>
  </si>
  <si>
    <t>Tenaga Kebersihan</t>
  </si>
  <si>
    <t>tenaga Keamanan</t>
  </si>
  <si>
    <t>Sampah</t>
  </si>
  <si>
    <t>Alat Pembersih</t>
  </si>
  <si>
    <t>Kendaraan Dinas Operasional atau Lapangan</t>
  </si>
  <si>
    <t>Bahan Bakar Minyak</t>
  </si>
  <si>
    <t>Suku Cadang</t>
  </si>
  <si>
    <t>Service</t>
  </si>
  <si>
    <t>Pajak</t>
  </si>
  <si>
    <t>Kir</t>
  </si>
  <si>
    <t>,</t>
  </si>
  <si>
    <t>Pemeliharaan Mebel</t>
  </si>
  <si>
    <t>Pemeliharaan Rutin/Berkala Peralatan Mesin Lainnya</t>
  </si>
  <si>
    <t>Aset Tetap Lainnya ( Taman )</t>
  </si>
  <si>
    <t>PEMELIHARAAN GEDUNG KANTOR DAN BANGUNAN LAINNYA</t>
  </si>
  <si>
    <t>GEDUNG KANTOR</t>
  </si>
  <si>
    <t>RUMAH DINAS</t>
  </si>
  <si>
    <t>PRINTER DAN KOMPUTER</t>
  </si>
  <si>
    <t>SARANA PRASARANA KANTOR (TABUNG PEMADAM)</t>
  </si>
  <si>
    <t>Belanja Dokumentasi, Dekorasi dan Pubikasi DAN HONOR NARASUMBER</t>
  </si>
  <si>
    <t>SOSIALISASI PAJAK DEWAN</t>
  </si>
  <si>
    <t>RAZIA</t>
  </si>
  <si>
    <t xml:space="preserve">PERJALANAN DINAS DALAM KOTA </t>
  </si>
  <si>
    <t>CETAK MMT TUNGGAKAN PKB DAN RPP</t>
  </si>
  <si>
    <t xml:space="preserve">MAKAN MINUM RAPAT </t>
  </si>
  <si>
    <t>TENAGA PENYULUH</t>
  </si>
  <si>
    <t>TENAGA TEKNIS</t>
  </si>
  <si>
    <t>DOOR TO DOOR PIHAK KE 3</t>
  </si>
  <si>
    <t>JASA KONSULTASI DEWAN</t>
  </si>
  <si>
    <t>PERJALANAN DINAS DALAM KOTA</t>
  </si>
  <si>
    <t>PERJALANAN DINAS KAYADA</t>
  </si>
  <si>
    <t>PERJALANAN DINAS PAP</t>
  </si>
  <si>
    <t>DOOR TO DOOR KARYAWAN</t>
  </si>
  <si>
    <t>TANGGAL 1 S/D 26 JANUARI 2022</t>
  </si>
  <si>
    <t>01.1.02.02</t>
  </si>
  <si>
    <t>01.1.02.03</t>
  </si>
  <si>
    <t>01.1.06.01</t>
  </si>
  <si>
    <t>01.1.06.03</t>
  </si>
  <si>
    <t>01.1.06.05</t>
  </si>
  <si>
    <t>01.1.06.06</t>
  </si>
  <si>
    <t>01.1.06.07</t>
  </si>
  <si>
    <t>01.1.06.08</t>
  </si>
  <si>
    <t>01.1.06.09</t>
  </si>
  <si>
    <t>01.1.06.10</t>
  </si>
  <si>
    <t>01.1.08.01</t>
  </si>
  <si>
    <t>01.1.08.04</t>
  </si>
  <si>
    <t>01.1.09.02</t>
  </si>
  <si>
    <t>01.1.09.05</t>
  </si>
  <si>
    <t>01.1.09.06</t>
  </si>
  <si>
    <t>01.1.09.07</t>
  </si>
  <si>
    <t>01.1.09.09</t>
  </si>
  <si>
    <t>01.1.09.10</t>
  </si>
  <si>
    <t>01.1.09.11</t>
  </si>
  <si>
    <t>04.1.01.08</t>
  </si>
  <si>
    <t>Pelayanan dan konsultaasi pajak daerah</t>
  </si>
  <si>
    <t>04.1.01.13</t>
  </si>
  <si>
    <t>TANGGAL 4 S/D 23 FEBRUARI 2022</t>
  </si>
  <si>
    <t>TANGGAL 2 S/D 25 MARET 2022</t>
  </si>
  <si>
    <t>TARGET</t>
  </si>
  <si>
    <t>PKB</t>
  </si>
  <si>
    <t>KAYADA</t>
  </si>
  <si>
    <t>PIUTANG</t>
  </si>
  <si>
    <t>BBNKB</t>
  </si>
  <si>
    <t>DEVIASI -/+</t>
  </si>
  <si>
    <t>REALISASI</t>
  </si>
  <si>
    <t>KETERANGAN</t>
  </si>
  <si>
    <t>di SPJ kan bulan April</t>
  </si>
  <si>
    <t>sudah proses pembuatan stopmap</t>
  </si>
  <si>
    <t>Perjalanan Dinas dilaksanakan setelah Lebaran</t>
  </si>
  <si>
    <t>TRIWULAN I</t>
  </si>
  <si>
    <t>Sudah Proses Pemeliharaan/Rehab Gedung (Perbaikan Pagar, Pengecetan, Perbaikan Pegangan Tanmgga, Perbaikan Lantai, Perbaikan Closet)</t>
  </si>
  <si>
    <t>TANGGAL 1 S/D 25 APRIL 2022</t>
  </si>
  <si>
    <t>BBM</t>
  </si>
  <si>
    <t>PERDIN</t>
  </si>
  <si>
    <t>ANGGARAN MURNI  TAHUN  2022</t>
  </si>
  <si>
    <t>JUMLAH ANGGARAN</t>
  </si>
  <si>
    <t xml:space="preserve">SISA ANGGARAN </t>
  </si>
  <si>
    <t>TANGGAL 10 S/D 30 MEI 2022</t>
  </si>
  <si>
    <t>Plt. KEPALA UPPD KABUPATEN PATI</t>
  </si>
  <si>
    <t>KEPALA UPPD KABUPATEN KUDUS</t>
  </si>
  <si>
    <t>NOOR ARIFIN, S.E.</t>
  </si>
  <si>
    <t>NIP.19660524 199203 1 007</t>
  </si>
  <si>
    <t>Belanja Pemeliharaan Alat Kantor dan Rumah Tangga Alat Kantor-Alat Pendingin (AC)</t>
  </si>
  <si>
    <t>Genset</t>
  </si>
  <si>
    <t>BBM Mesin</t>
  </si>
  <si>
    <t>Mesin Antrian</t>
  </si>
  <si>
    <t>Mesin Ketik</t>
  </si>
  <si>
    <t xml:space="preserve">Instalasi Jaringan </t>
  </si>
  <si>
    <t>Mesin Hitung Uang</t>
  </si>
  <si>
    <t>Kamera CCTV</t>
  </si>
  <si>
    <t>Tabung Gas LPG</t>
  </si>
  <si>
    <t>Pantri lainnya</t>
  </si>
  <si>
    <t>Stop Map Dinas</t>
  </si>
  <si>
    <t>Foto Copy</t>
  </si>
  <si>
    <t>Spanduk</t>
  </si>
  <si>
    <t>TANGGAL 03 S/D 23 JUNI 2022</t>
  </si>
  <si>
    <t>TANGGAL 04 S/D 25 JULI 2022</t>
  </si>
  <si>
    <t>TANGGAL 01 S/D 29 AGUSTUS 2022</t>
  </si>
  <si>
    <t>TANGGAL 01 S/D 23 SEPTEMBER 2022</t>
  </si>
  <si>
    <t>SOSIALISASI PAJAK DEWAN (LS)</t>
  </si>
  <si>
    <t xml:space="preserve"> SPJ GU + 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</si>
</sst>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_);_(@_)"/>
    <numFmt numFmtId="165" formatCode="_(* #,##0.00_);_(* \(#,##0.00\);_(* &quot;-&quot;??_);_(@_)"/>
  </numFmts>
  <fonts count="3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b/>
      <u/>
      <sz val="12"/>
      <name val="Arial Narrow"/>
      <family val="2"/>
    </font>
    <font>
      <b/>
      <u/>
      <sz val="12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0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rgb="FFFF0000"/>
      <name val="Arial Narrow"/>
      <family val="2"/>
    </font>
    <font>
      <sz val="10"/>
      <name val="Arial"/>
      <family val="2"/>
    </font>
    <font>
      <i/>
      <sz val="12"/>
      <color theme="1"/>
      <name val="Arial Narrow"/>
      <family val="2"/>
    </font>
    <font>
      <b/>
      <i/>
      <sz val="12"/>
      <color theme="1"/>
      <name val="Arial Narrow"/>
      <family val="2"/>
    </font>
    <font>
      <i/>
      <sz val="12"/>
      <color indexed="8"/>
      <name val="Arial Narrow"/>
      <family val="2"/>
    </font>
    <font>
      <sz val="12"/>
      <color indexed="8"/>
      <name val="Arial Narrow"/>
      <family val="2"/>
    </font>
    <font>
      <b/>
      <sz val="12"/>
      <color rgb="FF002060"/>
      <name val="Arial Narrow"/>
      <family val="2"/>
    </font>
    <font>
      <b/>
      <sz val="12"/>
      <color indexed="12"/>
      <name val="Arial Narrow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u/>
      <sz val="12"/>
      <color indexed="8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sz val="13"/>
      <color rgb="FFFF0000"/>
      <name val="Calibri"/>
      <family val="2"/>
      <scheme val="minor"/>
    </font>
    <font>
      <sz val="13"/>
      <color rgb="FFFF0000"/>
      <name val="Calibri"/>
      <family val="2"/>
      <charset val="1"/>
      <scheme val="minor"/>
    </font>
    <font>
      <sz val="10"/>
      <color theme="1"/>
      <name val="Arial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1"/>
      <name val="Calibri"/>
      <family val="2"/>
      <charset val="1"/>
      <scheme val="minor"/>
    </font>
    <font>
      <b/>
      <sz val="13"/>
      <name val="Calibri"/>
      <family val="2"/>
      <scheme val="minor"/>
    </font>
    <font>
      <sz val="13"/>
      <name val="Calibri"/>
      <family val="2"/>
      <charset val="1"/>
      <scheme val="minor"/>
    </font>
    <font>
      <b/>
      <i/>
      <sz val="12"/>
      <name val="Arial Narrow"/>
      <family val="2"/>
    </font>
    <font>
      <i/>
      <sz val="12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17">
    <xf numFmtId="0" fontId="0" fillId="0" borderId="0" xfId="0"/>
    <xf numFmtId="0" fontId="2" fillId="0" borderId="0" xfId="0" applyFont="1"/>
    <xf numFmtId="0" fontId="3" fillId="0" borderId="0" xfId="0" applyFont="1" applyAlignment="1"/>
    <xf numFmtId="0" fontId="3" fillId="2" borderId="0" xfId="0" applyFont="1" applyFill="1" applyAlignment="1"/>
    <xf numFmtId="0" fontId="2" fillId="0" borderId="0" xfId="0" applyFont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3" fontId="6" fillId="2" borderId="0" xfId="0" quotePrefix="1" applyNumberFormat="1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9" fillId="3" borderId="1" xfId="0" applyFont="1" applyFill="1" applyBorder="1" applyAlignment="1">
      <alignment vertical="center"/>
    </xf>
    <xf numFmtId="0" fontId="9" fillId="3" borderId="1" xfId="0" quotePrefix="1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vertical="center"/>
    </xf>
    <xf numFmtId="2" fontId="9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vertical="center"/>
    </xf>
    <xf numFmtId="2" fontId="9" fillId="3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/>
    <xf numFmtId="0" fontId="10" fillId="0" borderId="1" xfId="0" applyFont="1" applyFill="1" applyBorder="1"/>
    <xf numFmtId="0" fontId="10" fillId="0" borderId="1" xfId="0" applyNumberFormat="1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/>
    </xf>
    <xf numFmtId="49" fontId="10" fillId="0" borderId="1" xfId="0" applyNumberFormat="1" applyFont="1" applyFill="1" applyBorder="1"/>
    <xf numFmtId="0" fontId="10" fillId="4" borderId="1" xfId="0" applyFont="1" applyFill="1" applyBorder="1"/>
    <xf numFmtId="164" fontId="9" fillId="4" borderId="1" xfId="0" applyNumberFormat="1" applyFont="1" applyFill="1" applyBorder="1"/>
    <xf numFmtId="164" fontId="9" fillId="4" borderId="1" xfId="0" applyNumberFormat="1" applyFont="1" applyFill="1" applyBorder="1" applyAlignment="1">
      <alignment vertical="center"/>
    </xf>
    <xf numFmtId="164" fontId="9" fillId="0" borderId="1" xfId="0" applyNumberFormat="1" applyFont="1" applyFill="1" applyBorder="1" applyAlignment="1">
      <alignment vertical="center"/>
    </xf>
    <xf numFmtId="2" fontId="9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49" fontId="9" fillId="5" borderId="1" xfId="0" applyNumberFormat="1" applyFont="1" applyFill="1" applyBorder="1" applyAlignment="1">
      <alignment vertical="center"/>
    </xf>
    <xf numFmtId="49" fontId="9" fillId="5" borderId="1" xfId="0" quotePrefix="1" applyNumberFormat="1" applyFont="1" applyFill="1" applyBorder="1" applyAlignment="1">
      <alignment vertical="center"/>
    </xf>
    <xf numFmtId="49" fontId="10" fillId="5" borderId="1" xfId="0" applyNumberFormat="1" applyFont="1" applyFill="1" applyBorder="1" applyAlignment="1">
      <alignment horizontal="center"/>
    </xf>
    <xf numFmtId="49" fontId="10" fillId="5" borderId="1" xfId="0" applyNumberFormat="1" applyFont="1" applyFill="1" applyBorder="1"/>
    <xf numFmtId="0" fontId="10" fillId="5" borderId="1" xfId="0" applyFont="1" applyFill="1" applyBorder="1"/>
    <xf numFmtId="164" fontId="9" fillId="5" borderId="1" xfId="0" applyNumberFormat="1" applyFont="1" applyFill="1" applyBorder="1" applyAlignment="1">
      <alignment vertical="center" wrapText="1"/>
    </xf>
    <xf numFmtId="164" fontId="9" fillId="5" borderId="1" xfId="0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49" fontId="7" fillId="6" borderId="1" xfId="0" applyNumberFormat="1" applyFont="1" applyFill="1" applyBorder="1" applyAlignment="1">
      <alignment vertical="center"/>
    </xf>
    <xf numFmtId="49" fontId="7" fillId="6" borderId="1" xfId="0" quotePrefix="1" applyNumberFormat="1" applyFont="1" applyFill="1" applyBorder="1" applyAlignment="1">
      <alignment vertical="center"/>
    </xf>
    <xf numFmtId="0" fontId="7" fillId="6" borderId="1" xfId="0" quotePrefix="1" applyNumberFormat="1" applyFont="1" applyFill="1" applyBorder="1" applyAlignment="1">
      <alignment horizontal="left" vertical="center"/>
    </xf>
    <xf numFmtId="0" fontId="7" fillId="6" borderId="1" xfId="0" applyNumberFormat="1" applyFont="1" applyFill="1" applyBorder="1" applyAlignment="1">
      <alignment horizontal="left" vertical="center"/>
    </xf>
    <xf numFmtId="49" fontId="11" fillId="6" borderId="1" xfId="0" applyNumberFormat="1" applyFont="1" applyFill="1" applyBorder="1" applyAlignment="1">
      <alignment vertical="center"/>
    </xf>
    <xf numFmtId="49" fontId="11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164" fontId="7" fillId="6" borderId="1" xfId="0" applyNumberFormat="1" applyFont="1" applyFill="1" applyBorder="1" applyAlignment="1">
      <alignment vertical="center"/>
    </xf>
    <xf numFmtId="164" fontId="11" fillId="6" borderId="1" xfId="0" applyNumberFormat="1" applyFont="1" applyFill="1" applyBorder="1" applyAlignment="1">
      <alignment vertical="center"/>
    </xf>
    <xf numFmtId="2" fontId="9" fillId="6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/>
    <xf numFmtId="0" fontId="9" fillId="4" borderId="1" xfId="0" applyFont="1" applyFill="1" applyBorder="1"/>
    <xf numFmtId="0" fontId="2" fillId="0" borderId="11" xfId="0" applyFont="1" applyBorder="1"/>
    <xf numFmtId="49" fontId="9" fillId="0" borderId="1" xfId="0" applyNumberFormat="1" applyFont="1" applyBorder="1" applyAlignment="1">
      <alignment vertical="center"/>
    </xf>
    <xf numFmtId="49" fontId="9" fillId="0" borderId="1" xfId="0" quotePrefix="1" applyNumberFormat="1" applyFont="1" applyBorder="1" applyAlignment="1">
      <alignment vertical="center"/>
    </xf>
    <xf numFmtId="0" fontId="9" fillId="0" borderId="1" xfId="0" quotePrefix="1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vertical="center"/>
    </xf>
    <xf numFmtId="49" fontId="10" fillId="0" borderId="1" xfId="0" applyNumberFormat="1" applyFont="1" applyFill="1" applyBorder="1" applyAlignment="1">
      <alignment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2" fontId="9" fillId="7" borderId="1" xfId="0" applyNumberFormat="1" applyFont="1" applyFill="1" applyBorder="1" applyAlignment="1">
      <alignment horizontal="left" vertical="center"/>
    </xf>
    <xf numFmtId="164" fontId="10" fillId="4" borderId="1" xfId="0" applyNumberFormat="1" applyFont="1" applyFill="1" applyBorder="1" applyAlignment="1">
      <alignment vertical="center"/>
    </xf>
    <xf numFmtId="164" fontId="10" fillId="0" borderId="1" xfId="0" applyNumberFormat="1" applyFont="1" applyFill="1" applyBorder="1" applyAlignment="1">
      <alignment vertical="center"/>
    </xf>
    <xf numFmtId="164" fontId="10" fillId="4" borderId="1" xfId="0" applyNumberFormat="1" applyFont="1" applyFill="1" applyBorder="1"/>
    <xf numFmtId="164" fontId="10" fillId="2" borderId="1" xfId="0" applyNumberFormat="1" applyFont="1" applyFill="1" applyBorder="1"/>
    <xf numFmtId="0" fontId="9" fillId="0" borderId="1" xfId="0" applyFont="1" applyBorder="1" applyAlignment="1">
      <alignment vertical="center"/>
    </xf>
    <xf numFmtId="0" fontId="9" fillId="0" borderId="1" xfId="0" quotePrefix="1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left" vertical="center"/>
    </xf>
    <xf numFmtId="49" fontId="10" fillId="4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49" fontId="9" fillId="0" borderId="1" xfId="0" applyNumberFormat="1" applyFont="1" applyFill="1" applyBorder="1"/>
    <xf numFmtId="164" fontId="12" fillId="2" borderId="1" xfId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right"/>
    </xf>
    <xf numFmtId="49" fontId="9" fillId="6" borderId="1" xfId="0" applyNumberFormat="1" applyFont="1" applyFill="1" applyBorder="1"/>
    <xf numFmtId="49" fontId="7" fillId="6" borderId="1" xfId="0" applyNumberFormat="1" applyFont="1" applyFill="1" applyBorder="1"/>
    <xf numFmtId="49" fontId="10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left"/>
    </xf>
    <xf numFmtId="164" fontId="9" fillId="6" borderId="1" xfId="0" applyNumberFormat="1" applyFont="1" applyFill="1" applyBorder="1" applyAlignment="1">
      <alignment vertical="center"/>
    </xf>
    <xf numFmtId="164" fontId="7" fillId="6" borderId="1" xfId="0" applyNumberFormat="1" applyFont="1" applyFill="1" applyBorder="1"/>
    <xf numFmtId="49" fontId="9" fillId="0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left"/>
    </xf>
    <xf numFmtId="164" fontId="10" fillId="4" borderId="1" xfId="0" applyNumberFormat="1" applyFont="1" applyFill="1" applyBorder="1" applyAlignment="1">
      <alignment horizontal="left"/>
    </xf>
    <xf numFmtId="164" fontId="7" fillId="6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right"/>
    </xf>
    <xf numFmtId="0" fontId="7" fillId="6" borderId="1" xfId="0" quotePrefix="1" applyNumberFormat="1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center"/>
    </xf>
    <xf numFmtId="49" fontId="11" fillId="6" borderId="1" xfId="0" applyNumberFormat="1" applyFont="1" applyFill="1" applyBorder="1" applyAlignment="1">
      <alignment horizontal="center"/>
    </xf>
    <xf numFmtId="49" fontId="11" fillId="6" borderId="1" xfId="0" applyNumberFormat="1" applyFont="1" applyFill="1" applyBorder="1"/>
    <xf numFmtId="0" fontId="11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/>
    </xf>
    <xf numFmtId="49" fontId="9" fillId="0" borderId="1" xfId="0" quotePrefix="1" applyNumberFormat="1" applyFont="1" applyFill="1" applyBorder="1"/>
    <xf numFmtId="0" fontId="9" fillId="0" borderId="1" xfId="0" quotePrefix="1" applyNumberFormat="1" applyFont="1" applyFill="1" applyBorder="1" applyAlignment="1">
      <alignment horizontal="center"/>
    </xf>
    <xf numFmtId="49" fontId="9" fillId="0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7" borderId="0" xfId="0" applyFont="1" applyFill="1"/>
    <xf numFmtId="0" fontId="9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center" vertical="center"/>
    </xf>
    <xf numFmtId="21" fontId="9" fillId="0" borderId="1" xfId="0" quotePrefix="1" applyNumberFormat="1" applyFont="1" applyFill="1" applyBorder="1" applyAlignment="1">
      <alignment vertical="center"/>
    </xf>
    <xf numFmtId="2" fontId="10" fillId="2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left" vertical="center"/>
    </xf>
    <xf numFmtId="49" fontId="7" fillId="6" borderId="1" xfId="0" quotePrefix="1" applyNumberFormat="1" applyFont="1" applyFill="1" applyBorder="1"/>
    <xf numFmtId="49" fontId="7" fillId="6" borderId="1" xfId="0" applyNumberFormat="1" applyFont="1" applyFill="1" applyBorder="1" applyAlignment="1">
      <alignment horizontal="left"/>
    </xf>
    <xf numFmtId="49" fontId="10" fillId="6" borderId="1" xfId="0" applyNumberFormat="1" applyFont="1" applyFill="1" applyBorder="1"/>
    <xf numFmtId="0" fontId="7" fillId="6" borderId="1" xfId="0" applyFont="1" applyFill="1" applyBorder="1"/>
    <xf numFmtId="164" fontId="10" fillId="6" borderId="1" xfId="0" applyNumberFormat="1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vertical="center"/>
    </xf>
    <xf numFmtId="49" fontId="7" fillId="0" borderId="1" xfId="0" applyNumberFormat="1" applyFont="1" applyFill="1" applyBorder="1"/>
    <xf numFmtId="0" fontId="7" fillId="0" borderId="1" xfId="0" applyNumberFormat="1" applyFont="1" applyFill="1" applyBorder="1" applyAlignment="1">
      <alignment horizontal="center"/>
    </xf>
    <xf numFmtId="164" fontId="10" fillId="6" borderId="1" xfId="0" applyNumberFormat="1" applyFont="1" applyFill="1" applyBorder="1"/>
    <xf numFmtId="164" fontId="9" fillId="6" borderId="1" xfId="0" applyNumberFormat="1" applyFont="1" applyFill="1" applyBorder="1"/>
    <xf numFmtId="0" fontId="7" fillId="6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vertical="center"/>
    </xf>
    <xf numFmtId="49" fontId="7" fillId="6" borderId="1" xfId="0" quotePrefix="1" applyNumberFormat="1" applyFont="1" applyFill="1" applyBorder="1" applyAlignment="1">
      <alignment horizontal="left"/>
    </xf>
    <xf numFmtId="0" fontId="9" fillId="2" borderId="1" xfId="0" applyFont="1" applyFill="1" applyBorder="1"/>
    <xf numFmtId="164" fontId="9" fillId="2" borderId="1" xfId="0" applyNumberFormat="1" applyFont="1" applyFill="1" applyBorder="1" applyAlignment="1">
      <alignment vertical="center"/>
    </xf>
    <xf numFmtId="164" fontId="10" fillId="2" borderId="1" xfId="0" applyNumberFormat="1" applyFont="1" applyFill="1" applyBorder="1" applyAlignment="1">
      <alignment vertical="center"/>
    </xf>
    <xf numFmtId="164" fontId="9" fillId="2" borderId="1" xfId="0" applyNumberFormat="1" applyFont="1" applyFill="1" applyBorder="1"/>
    <xf numFmtId="3" fontId="0" fillId="2" borderId="0" xfId="0" applyNumberFormat="1" applyFill="1"/>
    <xf numFmtId="0" fontId="7" fillId="6" borderId="1" xfId="0" quotePrefix="1" applyNumberFormat="1" applyFont="1" applyFill="1" applyBorder="1" applyAlignment="1">
      <alignment horizontal="left"/>
    </xf>
    <xf numFmtId="164" fontId="7" fillId="6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/>
    </xf>
    <xf numFmtId="0" fontId="9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wrapText="1"/>
    </xf>
    <xf numFmtId="164" fontId="10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/>
    <xf numFmtId="0" fontId="10" fillId="0" borderId="1" xfId="0" applyFont="1" applyFill="1" applyBorder="1" applyAlignment="1">
      <alignment vertical="center"/>
    </xf>
    <xf numFmtId="49" fontId="9" fillId="0" borderId="1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/>
    <xf numFmtId="0" fontId="14" fillId="8" borderId="1" xfId="0" applyFont="1" applyFill="1" applyBorder="1"/>
    <xf numFmtId="0" fontId="14" fillId="8" borderId="1" xfId="0" applyNumberFormat="1" applyFont="1" applyFill="1" applyBorder="1" applyAlignment="1">
      <alignment horizontal="center"/>
    </xf>
    <xf numFmtId="49" fontId="13" fillId="8" borderId="1" xfId="0" applyNumberFormat="1" applyFont="1" applyFill="1" applyBorder="1" applyAlignment="1">
      <alignment horizontal="center"/>
    </xf>
    <xf numFmtId="49" fontId="13" fillId="8" borderId="1" xfId="0" applyNumberFormat="1" applyFont="1" applyFill="1" applyBorder="1"/>
    <xf numFmtId="0" fontId="10" fillId="8" borderId="1" xfId="0" applyFont="1" applyFill="1" applyBorder="1"/>
    <xf numFmtId="0" fontId="10" fillId="8" borderId="1" xfId="0" applyFont="1" applyFill="1" applyBorder="1" applyAlignment="1">
      <alignment vertical="center"/>
    </xf>
    <xf numFmtId="164" fontId="7" fillId="8" borderId="1" xfId="0" applyNumberFormat="1" applyFont="1" applyFill="1" applyBorder="1" applyAlignment="1">
      <alignment vertical="center"/>
    </xf>
    <xf numFmtId="164" fontId="11" fillId="8" borderId="1" xfId="0" applyNumberFormat="1" applyFont="1" applyFill="1" applyBorder="1" applyAlignment="1">
      <alignment vertical="center"/>
    </xf>
    <xf numFmtId="2" fontId="9" fillId="8" borderId="1" xfId="0" applyNumberFormat="1" applyFont="1" applyFill="1" applyBorder="1" applyAlignment="1">
      <alignment horizontal="center" vertical="center"/>
    </xf>
    <xf numFmtId="0" fontId="13" fillId="4" borderId="0" xfId="0" applyFont="1" applyFill="1" applyBorder="1"/>
    <xf numFmtId="0" fontId="14" fillId="4" borderId="0" xfId="0" applyFont="1" applyFill="1" applyBorder="1"/>
    <xf numFmtId="0" fontId="14" fillId="4" borderId="0" xfId="0" applyNumberFormat="1" applyFont="1" applyFill="1" applyBorder="1" applyAlignment="1">
      <alignment horizontal="center"/>
    </xf>
    <xf numFmtId="49" fontId="13" fillId="4" borderId="0" xfId="0" applyNumberFormat="1" applyFont="1" applyFill="1" applyBorder="1" applyAlignment="1">
      <alignment horizontal="center"/>
    </xf>
    <xf numFmtId="49" fontId="13" fillId="4" borderId="0" xfId="0" applyNumberFormat="1" applyFont="1" applyFill="1" applyBorder="1"/>
    <xf numFmtId="0" fontId="10" fillId="4" borderId="0" xfId="0" applyFont="1" applyFill="1" applyBorder="1"/>
    <xf numFmtId="0" fontId="10" fillId="4" borderId="0" xfId="0" applyFont="1" applyFill="1" applyBorder="1" applyAlignment="1">
      <alignment vertical="center"/>
    </xf>
    <xf numFmtId="164" fontId="9" fillId="4" borderId="0" xfId="0" applyNumberFormat="1" applyFont="1" applyFill="1" applyBorder="1" applyAlignment="1">
      <alignment vertical="center"/>
    </xf>
    <xf numFmtId="164" fontId="10" fillId="4" borderId="0" xfId="0" applyNumberFormat="1" applyFont="1" applyFill="1" applyBorder="1" applyAlignment="1">
      <alignment vertical="center"/>
    </xf>
    <xf numFmtId="164" fontId="9" fillId="2" borderId="0" xfId="0" applyNumberFormat="1" applyFont="1" applyFill="1" applyBorder="1" applyAlignment="1">
      <alignment vertical="center"/>
    </xf>
    <xf numFmtId="164" fontId="9" fillId="4" borderId="0" xfId="0" applyNumberFormat="1" applyFont="1" applyFill="1" applyBorder="1"/>
    <xf numFmtId="2" fontId="9" fillId="0" borderId="0" xfId="0" applyNumberFormat="1" applyFont="1" applyFill="1" applyBorder="1" applyAlignment="1">
      <alignment horizontal="center" vertical="center"/>
    </xf>
    <xf numFmtId="0" fontId="15" fillId="4" borderId="0" xfId="0" applyFont="1" applyFill="1" applyBorder="1"/>
    <xf numFmtId="0" fontId="15" fillId="4" borderId="0" xfId="0" applyNumberFormat="1" applyFont="1" applyFill="1" applyBorder="1" applyAlignment="1">
      <alignment horizontal="center"/>
    </xf>
    <xf numFmtId="49" fontId="15" fillId="4" borderId="0" xfId="0" applyNumberFormat="1" applyFont="1" applyFill="1" applyBorder="1" applyAlignment="1">
      <alignment horizontal="center"/>
    </xf>
    <xf numFmtId="49" fontId="15" fillId="4" borderId="0" xfId="0" applyNumberFormat="1" applyFont="1" applyFill="1" applyBorder="1"/>
    <xf numFmtId="0" fontId="16" fillId="4" borderId="0" xfId="0" applyFont="1" applyFill="1" applyBorder="1"/>
    <xf numFmtId="164" fontId="17" fillId="4" borderId="0" xfId="0" applyNumberFormat="1" applyFont="1" applyFill="1" applyBorder="1"/>
    <xf numFmtId="164" fontId="18" fillId="4" borderId="0" xfId="0" applyNumberFormat="1" applyFont="1" applyFill="1" applyBorder="1"/>
    <xf numFmtId="164" fontId="18" fillId="2" borderId="0" xfId="0" applyNumberFormat="1" applyFont="1" applyFill="1" applyBorder="1"/>
    <xf numFmtId="4" fontId="7" fillId="4" borderId="0" xfId="0" applyNumberFormat="1" applyFont="1" applyFill="1" applyBorder="1" applyAlignment="1">
      <alignment horizontal="center"/>
    </xf>
    <xf numFmtId="0" fontId="20" fillId="4" borderId="0" xfId="0" applyFont="1" applyFill="1" applyAlignment="1"/>
    <xf numFmtId="0" fontId="20" fillId="4" borderId="0" xfId="0" applyFont="1" applyFill="1" applyAlignment="1">
      <alignment horizontal="center"/>
    </xf>
    <xf numFmtId="164" fontId="20" fillId="2" borderId="0" xfId="0" applyNumberFormat="1" applyFont="1" applyFill="1" applyBorder="1" applyAlignment="1">
      <alignment horizontal="left"/>
    </xf>
    <xf numFmtId="164" fontId="20" fillId="4" borderId="0" xfId="0" applyNumberFormat="1" applyFont="1" applyFill="1" applyBorder="1" applyAlignment="1">
      <alignment horizontal="left"/>
    </xf>
    <xf numFmtId="0" fontId="20" fillId="4" borderId="0" xfId="0" applyFont="1" applyFill="1" applyBorder="1" applyAlignment="1">
      <alignment horizontal="left"/>
    </xf>
    <xf numFmtId="164" fontId="20" fillId="2" borderId="0" xfId="0" applyNumberFormat="1" applyFont="1" applyFill="1" applyAlignment="1"/>
    <xf numFmtId="0" fontId="21" fillId="0" borderId="0" xfId="0" applyFont="1"/>
    <xf numFmtId="164" fontId="10" fillId="2" borderId="0" xfId="0" applyNumberFormat="1" applyFont="1" applyFill="1" applyBorder="1" applyAlignment="1">
      <alignment vertical="center"/>
    </xf>
    <xf numFmtId="0" fontId="21" fillId="2" borderId="0" xfId="0" applyFont="1" applyFill="1" applyAlignment="1">
      <alignment horizontal="center"/>
    </xf>
    <xf numFmtId="0" fontId="20" fillId="2" borderId="0" xfId="0" applyFont="1" applyFill="1" applyAlignment="1"/>
    <xf numFmtId="0" fontId="21" fillId="2" borderId="0" xfId="0" applyFont="1" applyFill="1"/>
    <xf numFmtId="0" fontId="23" fillId="2" borderId="0" xfId="0" applyFont="1" applyFill="1"/>
    <xf numFmtId="0" fontId="22" fillId="4" borderId="0" xfId="0" applyFont="1" applyFill="1" applyAlignment="1">
      <alignment horizontal="center"/>
    </xf>
    <xf numFmtId="0" fontId="22" fillId="4" borderId="0" xfId="0" applyFont="1" applyFill="1" applyAlignme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9" fillId="4" borderId="0" xfId="0" applyFont="1" applyFill="1" applyAlignment="1"/>
    <xf numFmtId="0" fontId="2" fillId="0" borderId="0" xfId="0" applyFont="1" applyAlignment="1"/>
    <xf numFmtId="3" fontId="16" fillId="4" borderId="0" xfId="0" applyNumberFormat="1" applyFont="1" applyFill="1" applyBorder="1" applyAlignment="1">
      <alignment horizontal="left"/>
    </xf>
    <xf numFmtId="0" fontId="2" fillId="2" borderId="0" xfId="0" applyFont="1" applyFill="1"/>
    <xf numFmtId="0" fontId="2" fillId="5" borderId="0" xfId="0" applyFont="1" applyFill="1"/>
    <xf numFmtId="0" fontId="25" fillId="9" borderId="0" xfId="0" applyFont="1" applyFill="1"/>
    <xf numFmtId="0" fontId="26" fillId="9" borderId="0" xfId="0" applyFont="1" applyFill="1"/>
    <xf numFmtId="0" fontId="7" fillId="9" borderId="1" xfId="0" applyFont="1" applyFill="1" applyBorder="1"/>
    <xf numFmtId="49" fontId="9" fillId="9" borderId="1" xfId="0" applyNumberFormat="1" applyFont="1" applyFill="1" applyBorder="1"/>
    <xf numFmtId="0" fontId="9" fillId="9" borderId="1" xfId="0" applyNumberFormat="1" applyFont="1" applyFill="1" applyBorder="1" applyAlignment="1">
      <alignment horizontal="center"/>
    </xf>
    <xf numFmtId="49" fontId="10" fillId="9" borderId="1" xfId="0" applyNumberFormat="1" applyFont="1" applyFill="1" applyBorder="1" applyAlignment="1">
      <alignment horizontal="center"/>
    </xf>
    <xf numFmtId="49" fontId="10" fillId="9" borderId="1" xfId="0" applyNumberFormat="1" applyFont="1" applyFill="1" applyBorder="1"/>
    <xf numFmtId="0" fontId="10" fillId="9" borderId="1" xfId="0" applyFont="1" applyFill="1" applyBorder="1" applyAlignment="1">
      <alignment horizontal="center"/>
    </xf>
    <xf numFmtId="164" fontId="10" fillId="9" borderId="1" xfId="0" applyNumberFormat="1" applyFont="1" applyFill="1" applyBorder="1" applyAlignment="1">
      <alignment vertical="center"/>
    </xf>
    <xf numFmtId="164" fontId="10" fillId="9" borderId="1" xfId="0" applyNumberFormat="1" applyFont="1" applyFill="1" applyBorder="1"/>
    <xf numFmtId="164" fontId="9" fillId="9" borderId="1" xfId="0" applyNumberFormat="1" applyFont="1" applyFill="1" applyBorder="1"/>
    <xf numFmtId="2" fontId="9" fillId="9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vertical="center"/>
    </xf>
    <xf numFmtId="0" fontId="10" fillId="9" borderId="1" xfId="0" applyFont="1" applyFill="1" applyBorder="1" applyAlignment="1">
      <alignment wrapText="1"/>
    </xf>
    <xf numFmtId="164" fontId="9" fillId="9" borderId="1" xfId="0" applyNumberFormat="1" applyFont="1" applyFill="1" applyBorder="1" applyAlignment="1">
      <alignment vertical="center"/>
    </xf>
    <xf numFmtId="0" fontId="9" fillId="9" borderId="1" xfId="0" quotePrefix="1" applyNumberFormat="1" applyFont="1" applyFill="1" applyBorder="1" applyAlignment="1">
      <alignment vertical="center"/>
    </xf>
    <xf numFmtId="0" fontId="9" fillId="9" borderId="1" xfId="0" applyNumberFormat="1" applyFont="1" applyFill="1" applyBorder="1" applyAlignment="1">
      <alignment vertical="center"/>
    </xf>
    <xf numFmtId="49" fontId="10" fillId="9" borderId="1" xfId="0" applyNumberFormat="1" applyFont="1" applyFill="1" applyBorder="1" applyAlignment="1">
      <alignment vertical="center"/>
    </xf>
    <xf numFmtId="49" fontId="10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/>
    <xf numFmtId="164" fontId="7" fillId="9" borderId="1" xfId="0" applyNumberFormat="1" applyFont="1" applyFill="1" applyBorder="1" applyAlignment="1">
      <alignment vertical="center"/>
    </xf>
    <xf numFmtId="49" fontId="9" fillId="9" borderId="1" xfId="0" applyNumberFormat="1" applyFont="1" applyFill="1" applyBorder="1" applyAlignment="1">
      <alignment vertical="center"/>
    </xf>
    <xf numFmtId="0" fontId="9" fillId="9" borderId="1" xfId="0" applyNumberFormat="1" applyFont="1" applyFill="1" applyBorder="1" applyAlignment="1">
      <alignment horizontal="left" vertical="center"/>
    </xf>
    <xf numFmtId="0" fontId="9" fillId="9" borderId="1" xfId="0" applyFont="1" applyFill="1" applyBorder="1" applyAlignment="1">
      <alignment vertical="center"/>
    </xf>
    <xf numFmtId="2" fontId="9" fillId="9" borderId="1" xfId="0" applyNumberFormat="1" applyFont="1" applyFill="1" applyBorder="1" applyAlignment="1">
      <alignment horizontal="left" vertical="center"/>
    </xf>
    <xf numFmtId="0" fontId="9" fillId="9" borderId="1" xfId="0" quotePrefix="1" applyNumberFormat="1" applyFont="1" applyFill="1" applyBorder="1" applyAlignment="1">
      <alignment horizontal="left"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center" vertical="center"/>
    </xf>
    <xf numFmtId="3" fontId="27" fillId="2" borderId="1" xfId="0" applyNumberFormat="1" applyFont="1" applyFill="1" applyBorder="1" applyAlignment="1">
      <alignment horizontal="right" vertical="center"/>
    </xf>
    <xf numFmtId="3" fontId="12" fillId="2" borderId="1" xfId="0" applyNumberFormat="1" applyFont="1" applyFill="1" applyBorder="1" applyAlignment="1">
      <alignment horizontal="right" vertical="center"/>
    </xf>
    <xf numFmtId="164" fontId="27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7" fillId="2" borderId="1" xfId="0" applyFont="1" applyFill="1" applyBorder="1" applyAlignment="1">
      <alignment vertical="center"/>
    </xf>
    <xf numFmtId="0" fontId="0" fillId="2" borderId="0" xfId="0" applyFill="1"/>
    <xf numFmtId="49" fontId="7" fillId="2" borderId="1" xfId="0" quotePrefix="1" applyNumberFormat="1" applyFont="1" applyFill="1" applyBorder="1" applyAlignment="1">
      <alignment vertical="center"/>
    </xf>
    <xf numFmtId="0" fontId="7" fillId="2" borderId="5" xfId="0" quotePrefix="1" applyNumberFormat="1" applyFont="1" applyFill="1" applyBorder="1" applyAlignment="1">
      <alignment vertical="center"/>
    </xf>
    <xf numFmtId="0" fontId="7" fillId="2" borderId="6" xfId="0" applyNumberFormat="1" applyFont="1" applyFill="1" applyBorder="1" applyAlignment="1">
      <alignment vertical="center"/>
    </xf>
    <xf numFmtId="0" fontId="7" fillId="2" borderId="7" xfId="0" applyNumberFormat="1" applyFont="1" applyFill="1" applyBorder="1" applyAlignment="1">
      <alignment vertical="center"/>
    </xf>
    <xf numFmtId="49" fontId="11" fillId="2" borderId="1" xfId="0" applyNumberFormat="1" applyFont="1" applyFill="1" applyBorder="1" applyAlignment="1">
      <alignment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49" fontId="10" fillId="2" borderId="1" xfId="0" applyNumberFormat="1" applyFont="1" applyFill="1" applyBorder="1"/>
    <xf numFmtId="49" fontId="10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vertical="center"/>
    </xf>
    <xf numFmtId="49" fontId="9" fillId="2" borderId="1" xfId="0" applyNumberFormat="1" applyFont="1" applyFill="1" applyBorder="1"/>
    <xf numFmtId="49" fontId="11" fillId="2" borderId="1" xfId="0" applyNumberFormat="1" applyFont="1" applyFill="1" applyBorder="1"/>
    <xf numFmtId="49" fontId="11" fillId="2" borderId="1" xfId="0" applyNumberFormat="1" applyFont="1" applyFill="1" applyBorder="1" applyAlignment="1">
      <alignment horizontal="center"/>
    </xf>
    <xf numFmtId="0" fontId="9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/>
    <xf numFmtId="0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0" fontId="7" fillId="2" borderId="1" xfId="0" quotePrefix="1" applyNumberFormat="1" applyFont="1" applyFill="1" applyBorder="1" applyAlignment="1">
      <alignment horizontal="center"/>
    </xf>
    <xf numFmtId="0" fontId="7" fillId="2" borderId="1" xfId="0" quotePrefix="1" applyNumberFormat="1" applyFont="1" applyFill="1" applyBorder="1" applyAlignment="1">
      <alignment horizontal="left" vertical="center"/>
    </xf>
    <xf numFmtId="0" fontId="7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vertical="center"/>
    </xf>
    <xf numFmtId="0" fontId="9" fillId="2" borderId="1" xfId="0" quotePrefix="1" applyNumberFormat="1" applyFont="1" applyFill="1" applyBorder="1" applyAlignment="1">
      <alignment vertical="center"/>
    </xf>
    <xf numFmtId="0" fontId="9" fillId="2" borderId="1" xfId="0" applyNumberFormat="1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9" fillId="2" borderId="1" xfId="0" quotePrefix="1" applyNumberFormat="1" applyFont="1" applyFill="1" applyBorder="1" applyAlignment="1">
      <alignment horizontal="left" vertical="center"/>
    </xf>
    <xf numFmtId="0" fontId="9" fillId="2" borderId="1" xfId="0" applyNumberFormat="1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1" xfId="0" applyNumberFormat="1" applyFont="1" applyFill="1" applyBorder="1" applyAlignment="1">
      <alignment horizontal="center"/>
    </xf>
    <xf numFmtId="0" fontId="13" fillId="2" borderId="1" xfId="0" applyFont="1" applyFill="1" applyBorder="1"/>
    <xf numFmtId="0" fontId="14" fillId="2" borderId="1" xfId="0" applyFont="1" applyFill="1" applyBorder="1"/>
    <xf numFmtId="0" fontId="14" fillId="2" borderId="1" xfId="0" applyNumberFormat="1" applyFont="1" applyFill="1" applyBorder="1" applyAlignment="1">
      <alignment horizontal="center"/>
    </xf>
    <xf numFmtId="49" fontId="13" fillId="2" borderId="1" xfId="0" applyNumberFormat="1" applyFont="1" applyFill="1" applyBorder="1" applyAlignment="1">
      <alignment horizontal="center"/>
    </xf>
    <xf numFmtId="49" fontId="13" fillId="2" borderId="1" xfId="0" applyNumberFormat="1" applyFont="1" applyFill="1" applyBorder="1"/>
    <xf numFmtId="164" fontId="28" fillId="2" borderId="1" xfId="0" applyNumberFormat="1" applyFont="1" applyFill="1" applyBorder="1" applyAlignment="1">
      <alignment vertical="center"/>
    </xf>
    <xf numFmtId="164" fontId="29" fillId="2" borderId="1" xfId="0" applyNumberFormat="1" applyFont="1" applyFill="1" applyBorder="1" applyAlignment="1">
      <alignment vertical="center"/>
    </xf>
    <xf numFmtId="2" fontId="28" fillId="2" borderId="1" xfId="0" applyNumberFormat="1" applyFont="1" applyFill="1" applyBorder="1" applyAlignment="1">
      <alignment horizontal="center" vertical="center"/>
    </xf>
    <xf numFmtId="2" fontId="28" fillId="2" borderId="1" xfId="0" applyNumberFormat="1" applyFont="1" applyFill="1" applyBorder="1" applyAlignment="1">
      <alignment horizontal="left" vertical="center"/>
    </xf>
    <xf numFmtId="0" fontId="29" fillId="2" borderId="0" xfId="0" applyFont="1" applyFill="1"/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5" borderId="1" xfId="0" applyFont="1" applyFill="1" applyBorder="1"/>
    <xf numFmtId="164" fontId="28" fillId="5" borderId="1" xfId="0" applyNumberFormat="1" applyFont="1" applyFill="1" applyBorder="1" applyAlignment="1">
      <alignment vertical="center"/>
    </xf>
    <xf numFmtId="164" fontId="29" fillId="5" borderId="1" xfId="0" applyNumberFormat="1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/>
    <xf numFmtId="164" fontId="9" fillId="5" borderId="1" xfId="0" applyNumberFormat="1" applyFont="1" applyFill="1" applyBorder="1"/>
    <xf numFmtId="0" fontId="10" fillId="5" borderId="1" xfId="0" applyFont="1" applyFill="1" applyBorder="1" applyAlignment="1">
      <alignment wrapText="1"/>
    </xf>
    <xf numFmtId="164" fontId="7" fillId="5" borderId="1" xfId="0" applyNumberFormat="1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12" xfId="0" applyFont="1" applyBorder="1"/>
    <xf numFmtId="0" fontId="2" fillId="0" borderId="14" xfId="0" applyFont="1" applyBorder="1"/>
    <xf numFmtId="0" fontId="2" fillId="0" borderId="4" xfId="0" applyFont="1" applyBorder="1"/>
    <xf numFmtId="2" fontId="9" fillId="3" borderId="6" xfId="0" applyNumberFormat="1" applyFont="1" applyFill="1" applyBorder="1" applyAlignment="1">
      <alignment horizontal="center" vertical="center"/>
    </xf>
    <xf numFmtId="165" fontId="3" fillId="2" borderId="1" xfId="2" applyFont="1" applyFill="1" applyBorder="1" applyAlignment="1">
      <alignment horizontal="center" vertical="center"/>
    </xf>
    <xf numFmtId="2" fontId="9" fillId="7" borderId="6" xfId="0" applyNumberFormat="1" applyFont="1" applyFill="1" applyBorder="1" applyAlignment="1">
      <alignment horizontal="center" vertical="center"/>
    </xf>
    <xf numFmtId="2" fontId="28" fillId="2" borderId="6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0" fillId="2" borderId="0" xfId="0" applyFont="1" applyFill="1"/>
    <xf numFmtId="49" fontId="3" fillId="2" borderId="1" xfId="0" quotePrefix="1" applyNumberFormat="1" applyFont="1" applyFill="1" applyBorder="1" applyAlignment="1">
      <alignment vertical="center"/>
    </xf>
    <xf numFmtId="0" fontId="3" fillId="2" borderId="5" xfId="0" quotePrefix="1" applyNumberFormat="1" applyFont="1" applyFill="1" applyBorder="1" applyAlignment="1">
      <alignment vertical="center"/>
    </xf>
    <xf numFmtId="0" fontId="3" fillId="2" borderId="6" xfId="0" applyNumberFormat="1" applyFont="1" applyFill="1" applyBorder="1" applyAlignment="1">
      <alignment vertical="center"/>
    </xf>
    <xf numFmtId="0" fontId="3" fillId="2" borderId="7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vertical="center"/>
    </xf>
    <xf numFmtId="2" fontId="3" fillId="6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/>
    <xf numFmtId="164" fontId="3" fillId="4" borderId="1" xfId="0" applyNumberFormat="1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/>
    <xf numFmtId="164" fontId="3" fillId="6" borderId="1" xfId="0" applyNumberFormat="1" applyFont="1" applyFill="1" applyBorder="1"/>
    <xf numFmtId="0" fontId="3" fillId="2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164" fontId="2" fillId="0" borderId="1" xfId="0" applyNumberFormat="1" applyFont="1" applyFill="1" applyBorder="1" applyAlignment="1">
      <alignment vertical="center"/>
    </xf>
    <xf numFmtId="0" fontId="3" fillId="4" borderId="1" xfId="0" applyFont="1" applyFill="1" applyBorder="1"/>
    <xf numFmtId="164" fontId="2" fillId="2" borderId="1" xfId="0" applyNumberFormat="1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3" fillId="6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3" fillId="2" borderId="1" xfId="0" quotePrefix="1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vertical="center" wrapText="1"/>
    </xf>
    <xf numFmtId="0" fontId="3" fillId="2" borderId="1" xfId="0" quotePrefix="1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2" borderId="1" xfId="0" quotePrefix="1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0" fontId="33" fillId="2" borderId="1" xfId="0" applyFont="1" applyFill="1" applyBorder="1"/>
    <xf numFmtId="0" fontId="33" fillId="2" borderId="1" xfId="0" applyNumberFormat="1" applyFont="1" applyFill="1" applyBorder="1" applyAlignment="1">
      <alignment horizontal="center"/>
    </xf>
    <xf numFmtId="49" fontId="34" fillId="2" borderId="1" xfId="0" applyNumberFormat="1" applyFont="1" applyFill="1" applyBorder="1" applyAlignment="1">
      <alignment horizontal="center"/>
    </xf>
    <xf numFmtId="49" fontId="34" fillId="2" borderId="1" xfId="0" applyNumberFormat="1" applyFont="1" applyFill="1" applyBorder="1"/>
    <xf numFmtId="0" fontId="2" fillId="8" borderId="1" xfId="0" applyFont="1" applyFill="1" applyBorder="1"/>
    <xf numFmtId="0" fontId="2" fillId="8" borderId="1" xfId="0" applyFont="1" applyFill="1" applyBorder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164" fontId="2" fillId="8" borderId="1" xfId="0" applyNumberFormat="1" applyFont="1" applyFill="1" applyBorder="1" applyAlignment="1">
      <alignment vertical="center"/>
    </xf>
    <xf numFmtId="2" fontId="3" fillId="8" borderId="1" xfId="0" applyNumberFormat="1" applyFont="1" applyFill="1" applyBorder="1" applyAlignment="1">
      <alignment horizontal="center" vertical="center"/>
    </xf>
    <xf numFmtId="0" fontId="31" fillId="2" borderId="0" xfId="0" applyFont="1" applyFill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/>
    <xf numFmtId="164" fontId="3" fillId="2" borderId="1" xfId="0" applyNumberFormat="1" applyFont="1" applyFill="1" applyBorder="1"/>
    <xf numFmtId="164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 vertical="center"/>
    </xf>
    <xf numFmtId="0" fontId="32" fillId="2" borderId="0" xfId="0" applyFont="1" applyFill="1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64" fontId="2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30" fillId="5" borderId="0" xfId="0" applyFont="1" applyFill="1"/>
    <xf numFmtId="0" fontId="3" fillId="5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30" fillId="2" borderId="5" xfId="0" applyFont="1" applyFill="1" applyBorder="1" applyAlignment="1">
      <alignment horizontal="left"/>
    </xf>
    <xf numFmtId="0" fontId="30" fillId="2" borderId="6" xfId="0" applyFont="1" applyFill="1" applyBorder="1" applyAlignment="1">
      <alignment horizontal="left"/>
    </xf>
    <xf numFmtId="0" fontId="30" fillId="2" borderId="7" xfId="0" applyFont="1" applyFill="1" applyBorder="1" applyAlignment="1">
      <alignment horizontal="left"/>
    </xf>
    <xf numFmtId="0" fontId="10" fillId="10" borderId="1" xfId="0" applyFont="1" applyFill="1" applyBorder="1"/>
    <xf numFmtId="49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1" fillId="10" borderId="0" xfId="0" applyFont="1" applyFill="1"/>
    <xf numFmtId="164" fontId="3" fillId="10" borderId="1" xfId="0" applyNumberFormat="1" applyFont="1" applyFill="1" applyBorder="1" applyAlignment="1">
      <alignment vertical="center"/>
    </xf>
    <xf numFmtId="164" fontId="3" fillId="10" borderId="1" xfId="0" applyNumberFormat="1" applyFont="1" applyFill="1" applyBorder="1"/>
    <xf numFmtId="2" fontId="3" fillId="10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/>
    <xf numFmtId="164" fontId="2" fillId="10" borderId="1" xfId="0" applyNumberFormat="1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30" fillId="10" borderId="0" xfId="0" applyFont="1" applyFill="1"/>
    <xf numFmtId="49" fontId="3" fillId="10" borderId="1" xfId="0" applyNumberFormat="1" applyFont="1" applyFill="1" applyBorder="1" applyAlignment="1">
      <alignment vertical="center"/>
    </xf>
    <xf numFmtId="0" fontId="3" fillId="10" borderId="5" xfId="0" quotePrefix="1" applyNumberFormat="1" applyFont="1" applyFill="1" applyBorder="1" applyAlignment="1">
      <alignment vertical="center"/>
    </xf>
    <xf numFmtId="0" fontId="3" fillId="10" borderId="6" xfId="0" applyNumberFormat="1" applyFont="1" applyFill="1" applyBorder="1" applyAlignment="1">
      <alignment vertical="center"/>
    </xf>
    <xf numFmtId="0" fontId="3" fillId="10" borderId="7" xfId="0" applyNumberFormat="1" applyFont="1" applyFill="1" applyBorder="1" applyAlignment="1">
      <alignment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vertical="center"/>
    </xf>
    <xf numFmtId="49" fontId="3" fillId="10" borderId="1" xfId="0" applyNumberFormat="1" applyFont="1" applyFill="1" applyBorder="1"/>
    <xf numFmtId="49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164" fontId="3" fillId="10" borderId="1" xfId="0" applyNumberFormat="1" applyFont="1" applyFill="1" applyBorder="1" applyAlignment="1">
      <alignment horizontal="left" vertical="center"/>
    </xf>
    <xf numFmtId="164" fontId="2" fillId="10" borderId="1" xfId="0" applyNumberFormat="1" applyFont="1" applyFill="1" applyBorder="1"/>
    <xf numFmtId="0" fontId="32" fillId="10" borderId="0" xfId="0" applyFont="1" applyFill="1"/>
    <xf numFmtId="0" fontId="3" fillId="10" borderId="1" xfId="0" applyFont="1" applyFill="1" applyBorder="1"/>
    <xf numFmtId="0" fontId="5" fillId="2" borderId="1" xfId="0" applyFont="1" applyFill="1" applyBorder="1"/>
    <xf numFmtId="0" fontId="3" fillId="10" borderId="1" xfId="0" quotePrefix="1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vertical="center" wrapText="1"/>
    </xf>
    <xf numFmtId="0" fontId="13" fillId="8" borderId="1" xfId="0" applyFont="1" applyFill="1" applyBorder="1"/>
    <xf numFmtId="0" fontId="33" fillId="8" borderId="1" xfId="0" applyFont="1" applyFill="1" applyBorder="1"/>
    <xf numFmtId="0" fontId="33" fillId="8" borderId="1" xfId="0" applyNumberFormat="1" applyFont="1" applyFill="1" applyBorder="1" applyAlignment="1">
      <alignment horizontal="center"/>
    </xf>
    <xf numFmtId="49" fontId="34" fillId="8" borderId="1" xfId="0" applyNumberFormat="1" applyFont="1" applyFill="1" applyBorder="1" applyAlignment="1">
      <alignment horizontal="center"/>
    </xf>
    <xf numFmtId="49" fontId="34" fillId="8" borderId="1" xfId="0" applyNumberFormat="1" applyFont="1" applyFill="1" applyBorder="1"/>
    <xf numFmtId="0" fontId="2" fillId="2" borderId="5" xfId="0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vertical="center"/>
    </xf>
    <xf numFmtId="164" fontId="3" fillId="2" borderId="7" xfId="0" applyNumberFormat="1" applyFont="1" applyFill="1" applyBorder="1" applyAlignment="1">
      <alignment vertical="center"/>
    </xf>
    <xf numFmtId="0" fontId="2" fillId="2" borderId="4" xfId="0" applyFont="1" applyFill="1" applyBorder="1"/>
    <xf numFmtId="0" fontId="3" fillId="2" borderId="17" xfId="0" applyFont="1" applyFill="1" applyBorder="1"/>
    <xf numFmtId="0" fontId="2" fillId="2" borderId="17" xfId="0" applyFont="1" applyFill="1" applyBorder="1"/>
    <xf numFmtId="0" fontId="2" fillId="2" borderId="10" xfId="0" applyFont="1" applyFill="1" applyBorder="1"/>
    <xf numFmtId="0" fontId="3" fillId="2" borderId="4" xfId="0" applyFont="1" applyFill="1" applyBorder="1"/>
    <xf numFmtId="0" fontId="3" fillId="2" borderId="10" xfId="0" applyFont="1" applyFill="1" applyBorder="1"/>
    <xf numFmtId="0" fontId="5" fillId="11" borderId="1" xfId="0" applyFont="1" applyFill="1" applyBorder="1"/>
    <xf numFmtId="164" fontId="3" fillId="11" borderId="1" xfId="0" applyNumberFormat="1" applyFont="1" applyFill="1" applyBorder="1" applyAlignment="1">
      <alignment vertical="center"/>
    </xf>
    <xf numFmtId="164" fontId="2" fillId="11" borderId="1" xfId="0" applyNumberFormat="1" applyFont="1" applyFill="1" applyBorder="1" applyAlignment="1">
      <alignment vertical="center"/>
    </xf>
    <xf numFmtId="164" fontId="12" fillId="11" borderId="1" xfId="1" applyFont="1" applyFill="1" applyBorder="1" applyAlignment="1">
      <alignment horizontal="center" vertical="center"/>
    </xf>
    <xf numFmtId="164" fontId="3" fillId="11" borderId="1" xfId="0" applyNumberFormat="1" applyFont="1" applyFill="1" applyBorder="1"/>
    <xf numFmtId="2" fontId="3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/>
    <xf numFmtId="49" fontId="3" fillId="11" borderId="1" xfId="0" applyNumberFormat="1" applyFont="1" applyFill="1" applyBorder="1"/>
    <xf numFmtId="0" fontId="3" fillId="11" borderId="1" xfId="0" applyNumberFormat="1" applyFont="1" applyFill="1" applyBorder="1" applyAlignment="1">
      <alignment horizontal="center"/>
    </xf>
    <xf numFmtId="49" fontId="2" fillId="11" borderId="1" xfId="0" applyNumberFormat="1" applyFont="1" applyFill="1" applyBorder="1" applyAlignment="1">
      <alignment horizontal="center"/>
    </xf>
    <xf numFmtId="49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0" fillId="2" borderId="5" xfId="0" applyFont="1" applyFill="1" applyBorder="1" applyAlignment="1">
      <alignment horizontal="left"/>
    </xf>
    <xf numFmtId="0" fontId="30" fillId="2" borderId="6" xfId="0" applyFont="1" applyFill="1" applyBorder="1" applyAlignment="1">
      <alignment horizontal="left"/>
    </xf>
    <xf numFmtId="0" fontId="30" fillId="2" borderId="7" xfId="0" applyFont="1" applyFill="1" applyBorder="1" applyAlignment="1">
      <alignment horizontal="left"/>
    </xf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0" fillId="2" borderId="5" xfId="0" applyFont="1" applyFill="1" applyBorder="1" applyAlignment="1">
      <alignment horizontal="left"/>
    </xf>
    <xf numFmtId="0" fontId="30" fillId="2" borderId="6" xfId="0" applyFont="1" applyFill="1" applyBorder="1" applyAlignment="1">
      <alignment horizontal="left"/>
    </xf>
    <xf numFmtId="0" fontId="30" fillId="2" borderId="7" xfId="0" applyFont="1" applyFill="1" applyBorder="1" applyAlignment="1">
      <alignment horizontal="left"/>
    </xf>
    <xf numFmtId="0" fontId="3" fillId="12" borderId="1" xfId="0" applyFont="1" applyFill="1" applyBorder="1"/>
    <xf numFmtId="164" fontId="3" fillId="12" borderId="1" xfId="0" applyNumberFormat="1" applyFont="1" applyFill="1" applyBorder="1" applyAlignment="1">
      <alignment vertical="center"/>
    </xf>
    <xf numFmtId="164" fontId="2" fillId="12" borderId="1" xfId="0" applyNumberFormat="1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wrapText="1"/>
    </xf>
    <xf numFmtId="164" fontId="3" fillId="12" borderId="1" xfId="0" applyNumberFormat="1" applyFont="1" applyFill="1" applyBorder="1"/>
    <xf numFmtId="2" fontId="3" fillId="12" borderId="1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30" fillId="2" borderId="5" xfId="0" applyFont="1" applyFill="1" applyBorder="1" applyAlignment="1">
      <alignment horizontal="left"/>
    </xf>
    <xf numFmtId="0" fontId="30" fillId="2" borderId="6" xfId="0" applyFont="1" applyFill="1" applyBorder="1" applyAlignment="1">
      <alignment horizontal="left"/>
    </xf>
    <xf numFmtId="0" fontId="30" fillId="2" borderId="7" xfId="0" applyFont="1" applyFill="1" applyBorder="1" applyAlignment="1">
      <alignment horizontal="left"/>
    </xf>
    <xf numFmtId="0" fontId="7" fillId="6" borderId="1" xfId="0" quotePrefix="1" applyNumberFormat="1" applyFont="1" applyFill="1" applyBorder="1" applyAlignment="1">
      <alignment horizontal="left" vertical="center"/>
    </xf>
    <xf numFmtId="0" fontId="7" fillId="6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20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9" fillId="4" borderId="0" xfId="0" applyFont="1" applyFill="1" applyAlignment="1">
      <alignment horizontal="center"/>
    </xf>
    <xf numFmtId="164" fontId="20" fillId="4" borderId="0" xfId="0" applyNumberFormat="1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0" fillId="4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left"/>
    </xf>
    <xf numFmtId="0" fontId="30" fillId="2" borderId="6" xfId="0" applyFont="1" applyFill="1" applyBorder="1" applyAlignment="1">
      <alignment horizontal="left"/>
    </xf>
    <xf numFmtId="0" fontId="30" fillId="2" borderId="7" xfId="0" applyFont="1" applyFill="1" applyBorder="1" applyAlignment="1">
      <alignment horizontal="left"/>
    </xf>
    <xf numFmtId="0" fontId="30" fillId="10" borderId="5" xfId="0" applyFont="1" applyFill="1" applyBorder="1" applyAlignment="1">
      <alignment horizontal="left"/>
    </xf>
    <xf numFmtId="0" fontId="30" fillId="10" borderId="6" xfId="0" applyFont="1" applyFill="1" applyBorder="1" applyAlignment="1">
      <alignment horizontal="left"/>
    </xf>
    <xf numFmtId="0" fontId="30" fillId="10" borderId="7" xfId="0" applyFont="1" applyFill="1" applyBorder="1" applyAlignment="1">
      <alignment horizontal="left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71"/>
  <sheetViews>
    <sheetView topLeftCell="K1" zoomScale="60" zoomScaleNormal="60" workbookViewId="0">
      <selection activeCell="R109" sqref="R109"/>
    </sheetView>
  </sheetViews>
  <sheetFormatPr defaultRowHeight="15.75" x14ac:dyDescent="0.25"/>
  <cols>
    <col min="1" max="1" width="5.28515625" style="1" hidden="1" customWidth="1"/>
    <col min="2" max="2" width="3.85546875" style="1" hidden="1" customWidth="1"/>
    <col min="3" max="3" width="2" style="1" hidden="1" customWidth="1"/>
    <col min="4" max="6" width="8.7109375" style="1" hidden="1" customWidth="1"/>
    <col min="7" max="7" width="8.5703125" style="1" hidden="1" customWidth="1"/>
    <col min="8" max="8" width="0.28515625" style="1" hidden="1" customWidth="1"/>
    <col min="9" max="9" width="1.42578125" style="1" hidden="1" customWidth="1"/>
    <col min="10" max="10" width="7" style="1" hidden="1" customWidth="1"/>
    <col min="11" max="11" width="77.5703125" style="1" customWidth="1"/>
    <col min="12" max="12" width="23.5703125" style="1" customWidth="1"/>
    <col min="13" max="13" width="20.42578125" style="1" hidden="1" customWidth="1"/>
    <col min="14" max="14" width="29" style="1" customWidth="1"/>
    <col min="15" max="15" width="14.140625" style="1" hidden="1" customWidth="1"/>
    <col min="16" max="16" width="14.5703125" style="1" hidden="1" customWidth="1"/>
    <col min="17" max="17" width="22.7109375" style="1" customWidth="1"/>
    <col min="18" max="18" width="17.140625" style="196" customWidth="1"/>
    <col min="19" max="19" width="25.42578125" style="1" customWidth="1"/>
    <col min="20" max="20" width="14.42578125" style="1" hidden="1" customWidth="1"/>
    <col min="21" max="21" width="28.85546875" style="4" customWidth="1"/>
    <col min="22" max="22" width="18.140625" style="1" hidden="1" customWidth="1"/>
    <col min="23" max="23" width="13.85546875" style="1" hidden="1" customWidth="1"/>
    <col min="24" max="24" width="13.85546875" style="1" customWidth="1"/>
    <col min="25" max="16384" width="9.140625" style="1"/>
  </cols>
  <sheetData>
    <row r="1" spans="1:26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6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6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5"/>
    </row>
    <row r="4" spans="1:26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5"/>
    </row>
    <row r="5" spans="1:26" ht="18" x14ac:dyDescent="0.25">
      <c r="A5" s="482" t="s">
        <v>235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5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6" ht="20.100000000000001" customHeight="1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6</v>
      </c>
      <c r="M7" s="488" t="s">
        <v>7</v>
      </c>
      <c r="N7" s="488" t="s">
        <v>8</v>
      </c>
      <c r="O7" s="490" t="s">
        <v>9</v>
      </c>
      <c r="P7" s="490"/>
      <c r="Q7" s="491" t="s">
        <v>10</v>
      </c>
      <c r="R7" s="492"/>
      <c r="S7" s="492"/>
      <c r="T7" s="11"/>
      <c r="U7" s="493" t="s">
        <v>11</v>
      </c>
      <c r="V7" s="490" t="s">
        <v>12</v>
      </c>
      <c r="W7" s="11"/>
      <c r="X7" s="11"/>
    </row>
    <row r="8" spans="1:26" ht="32.25" customHeight="1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13" t="s">
        <v>14</v>
      </c>
      <c r="Q8" s="13" t="s">
        <v>13</v>
      </c>
      <c r="R8" s="14" t="s">
        <v>14</v>
      </c>
      <c r="S8" s="13" t="s">
        <v>15</v>
      </c>
      <c r="T8" s="13" t="s">
        <v>16</v>
      </c>
      <c r="U8" s="493"/>
      <c r="V8" s="490"/>
      <c r="W8" s="13" t="s">
        <v>17</v>
      </c>
      <c r="X8" s="13" t="s">
        <v>17</v>
      </c>
    </row>
    <row r="9" spans="1:26" ht="20.100000000000001" customHeight="1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 t="s">
        <v>19</v>
      </c>
      <c r="K9" s="494"/>
      <c r="L9" s="13" t="s">
        <v>20</v>
      </c>
      <c r="M9" s="13" t="s">
        <v>21</v>
      </c>
      <c r="N9" s="13" t="s">
        <v>22</v>
      </c>
      <c r="O9" s="13" t="s">
        <v>22</v>
      </c>
      <c r="P9" s="13" t="s">
        <v>23</v>
      </c>
      <c r="Q9" s="13" t="s">
        <v>24</v>
      </c>
      <c r="R9" s="14" t="s">
        <v>25</v>
      </c>
      <c r="S9" s="13" t="s">
        <v>26</v>
      </c>
      <c r="T9" s="13" t="s">
        <v>27</v>
      </c>
      <c r="U9" s="13" t="s">
        <v>28</v>
      </c>
      <c r="V9" s="15"/>
      <c r="W9" s="13" t="s">
        <v>27</v>
      </c>
      <c r="X9" s="13" t="s">
        <v>27</v>
      </c>
    </row>
    <row r="10" spans="1:26" ht="20.100000000000001" customHeight="1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f>L12+L94</f>
        <v>2184252000</v>
      </c>
      <c r="M10" s="19">
        <f>M12+M94</f>
        <v>0</v>
      </c>
      <c r="N10" s="19">
        <f>N12+N94</f>
        <v>2184252000</v>
      </c>
      <c r="O10" s="19" t="e">
        <f>O12</f>
        <v>#REF!</v>
      </c>
      <c r="P10" s="19"/>
      <c r="Q10" s="19">
        <f>Q12+Q94</f>
        <v>144885166</v>
      </c>
      <c r="R10" s="19">
        <v>0</v>
      </c>
      <c r="S10" s="19">
        <f>Q10+R10</f>
        <v>144885166</v>
      </c>
      <c r="T10" s="20">
        <f>S10/N10*100</f>
        <v>6.6331708062989074</v>
      </c>
      <c r="U10" s="21">
        <f>N10-S10</f>
        <v>2039366834</v>
      </c>
      <c r="V10" s="21">
        <f>U10/2</f>
        <v>1019683417</v>
      </c>
      <c r="W10" s="22">
        <f>Q10/N10*100</f>
        <v>6.6331708062989074</v>
      </c>
      <c r="X10" s="22">
        <f>Q10/N10*100</f>
        <v>6.6331708062989074</v>
      </c>
    </row>
    <row r="11" spans="1:26" ht="20.100000000000001" customHeight="1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</row>
    <row r="12" spans="1:26" ht="20.100000000000001" customHeight="1" x14ac:dyDescent="0.25">
      <c r="A12" s="34"/>
      <c r="B12" s="35"/>
      <c r="C12" s="36"/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L14+L16+L18+L20+L22+L24+L26+L28+L30+L36+L38+L40+L42+L50+L62+L74+L76+L82+L84+L90+L92</f>
        <v>1528107000</v>
      </c>
      <c r="M12" s="41">
        <f>M14+M16+M18+M20+M22+M24+M26+M28+M30+M36+M38+M40+M42+M50+M62+M74+M76+M82+M84+M90+M92</f>
        <v>0</v>
      </c>
      <c r="N12" s="41">
        <f>L12-M12</f>
        <v>1528107000</v>
      </c>
      <c r="O12" s="41" t="e">
        <f>#REF!</f>
        <v>#REF!</v>
      </c>
      <c r="P12" s="41"/>
      <c r="Q12" s="41">
        <f>Q14+Q16+Q18+Q20+Q22+Q24+Q26+Q28+Q30+Q36+Q38+Q40+Q42+Q50+Q62+Q74+Q76+Q82+Q84+Q90+Q92</f>
        <v>126745166</v>
      </c>
      <c r="R12" s="41">
        <v>0</v>
      </c>
      <c r="S12" s="41">
        <f>Q12+R12</f>
        <v>126745166</v>
      </c>
      <c r="T12" s="20">
        <f>S12/N12*100</f>
        <v>8.2942598914866572</v>
      </c>
      <c r="U12" s="42">
        <f>N12-S12</f>
        <v>1401361834</v>
      </c>
      <c r="V12" s="42">
        <f>U12/2</f>
        <v>700680917</v>
      </c>
      <c r="W12" s="22">
        <f t="shared" ref="W12:W26" si="0">Q12/N12*100</f>
        <v>8.2942598914866572</v>
      </c>
      <c r="X12" s="22">
        <f t="shared" ref="X12:X74" si="1">Q12/N12*100</f>
        <v>8.2942598914866572</v>
      </c>
    </row>
    <row r="13" spans="1:26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26" si="2">U13/2</f>
        <v>0</v>
      </c>
      <c r="W13" s="22"/>
      <c r="X13" s="22"/>
    </row>
    <row r="14" spans="1:26" ht="30" customHeight="1" x14ac:dyDescent="0.3">
      <c r="A14" s="44"/>
      <c r="B14" s="45"/>
      <c r="C14" s="46"/>
      <c r="D14" s="480"/>
      <c r="E14" s="481"/>
      <c r="F14" s="481"/>
      <c r="G14" s="481"/>
      <c r="H14" s="49"/>
      <c r="I14" s="50"/>
      <c r="J14" s="49"/>
      <c r="K14" s="197" t="s">
        <v>184</v>
      </c>
      <c r="L14" s="52">
        <v>42000000</v>
      </c>
      <c r="M14" s="52">
        <v>0</v>
      </c>
      <c r="N14" s="52">
        <f>L14-M14</f>
        <v>42000000</v>
      </c>
      <c r="O14" s="53"/>
      <c r="P14" s="53"/>
      <c r="Q14" s="52">
        <v>3500000</v>
      </c>
      <c r="R14" s="52">
        <v>0</v>
      </c>
      <c r="S14" s="52">
        <f t="shared" ref="S14:S16" si="3">Q14+R14</f>
        <v>3500000</v>
      </c>
      <c r="T14" s="54">
        <f>S14/N14*100</f>
        <v>8.3333333333333321</v>
      </c>
      <c r="U14" s="52">
        <f>N14-S14</f>
        <v>38500000</v>
      </c>
      <c r="V14" s="42">
        <f t="shared" si="2"/>
        <v>19250000</v>
      </c>
      <c r="W14" s="22">
        <f>Q14/N14*100</f>
        <v>8.3333333333333321</v>
      </c>
      <c r="X14" s="22">
        <f t="shared" si="1"/>
        <v>8.3333333333333321</v>
      </c>
      <c r="Z14" s="22">
        <f>Q14/N14*100</f>
        <v>8.3333333333333321</v>
      </c>
    </row>
    <row r="15" spans="1:26" x14ac:dyDescent="0.25">
      <c r="A15" s="24"/>
      <c r="B15" s="27"/>
      <c r="C15" s="27"/>
      <c r="D15" s="27"/>
      <c r="E15" s="26"/>
      <c r="F15" s="26"/>
      <c r="G15" s="26"/>
      <c r="H15" s="26"/>
      <c r="I15" s="26"/>
      <c r="J15" s="64"/>
      <c r="K15" s="68"/>
      <c r="L15" s="30"/>
      <c r="M15" s="30"/>
      <c r="N15" s="31"/>
      <c r="O15" s="30"/>
      <c r="P15" s="30"/>
      <c r="Q15" s="68"/>
      <c r="R15" s="29"/>
      <c r="S15" s="29"/>
      <c r="T15" s="32"/>
      <c r="U15" s="43"/>
      <c r="V15" s="42">
        <f t="shared" si="2"/>
        <v>0</v>
      </c>
      <c r="W15" s="22"/>
      <c r="X15" s="22"/>
      <c r="Z15" s="22" t="e">
        <f t="shared" ref="Z15:Z28" si="4">Q15/N15*100</f>
        <v>#DIV/0!</v>
      </c>
    </row>
    <row r="16" spans="1:26" ht="31.5" customHeight="1" x14ac:dyDescent="0.3">
      <c r="A16" s="44"/>
      <c r="B16" s="45"/>
      <c r="C16" s="45"/>
      <c r="D16" s="480"/>
      <c r="E16" s="481"/>
      <c r="F16" s="481"/>
      <c r="G16" s="481"/>
      <c r="H16" s="49"/>
      <c r="I16" s="50"/>
      <c r="J16" s="49"/>
      <c r="K16" s="197" t="s">
        <v>185</v>
      </c>
      <c r="L16" s="52">
        <v>4740000</v>
      </c>
      <c r="M16" s="52">
        <v>0</v>
      </c>
      <c r="N16" s="52">
        <f>L16-M16</f>
        <v>4740000</v>
      </c>
      <c r="O16" s="53"/>
      <c r="P16" s="53"/>
      <c r="Q16" s="52">
        <v>0</v>
      </c>
      <c r="R16" s="52">
        <v>0</v>
      </c>
      <c r="S16" s="52">
        <f t="shared" si="3"/>
        <v>0</v>
      </c>
      <c r="T16" s="54">
        <f>S16/N16*100</f>
        <v>0</v>
      </c>
      <c r="U16" s="52">
        <f t="shared" ref="U16:U26" si="5">N16-S16</f>
        <v>4740000</v>
      </c>
      <c r="V16" s="42">
        <f t="shared" si="2"/>
        <v>2370000</v>
      </c>
      <c r="W16" s="22">
        <f t="shared" si="0"/>
        <v>0</v>
      </c>
      <c r="X16" s="22">
        <f t="shared" si="1"/>
        <v>0</v>
      </c>
      <c r="Z16" s="65">
        <f t="shared" si="4"/>
        <v>0</v>
      </c>
    </row>
    <row r="17" spans="1:26" x14ac:dyDescent="0.25">
      <c r="A17" s="24"/>
      <c r="B17" s="75"/>
      <c r="C17" s="75"/>
      <c r="D17" s="27"/>
      <c r="E17" s="26"/>
      <c r="F17" s="26"/>
      <c r="G17" s="26"/>
      <c r="H17" s="26"/>
      <c r="I17" s="26"/>
      <c r="J17" s="64"/>
      <c r="K17" s="77"/>
      <c r="L17" s="30"/>
      <c r="M17" s="30"/>
      <c r="N17" s="31"/>
      <c r="O17" s="30"/>
      <c r="P17" s="30"/>
      <c r="Q17" s="68"/>
      <c r="R17" s="29"/>
      <c r="S17" s="29"/>
      <c r="T17" s="32"/>
      <c r="U17" s="43"/>
      <c r="V17" s="42">
        <f t="shared" si="2"/>
        <v>0</v>
      </c>
      <c r="W17" s="22"/>
      <c r="X17" s="22"/>
      <c r="Z17" s="22" t="e">
        <f t="shared" si="4"/>
        <v>#DIV/0!</v>
      </c>
    </row>
    <row r="18" spans="1:26" ht="24.75" customHeight="1" x14ac:dyDescent="0.3">
      <c r="A18" s="24"/>
      <c r="B18" s="78"/>
      <c r="C18" s="78"/>
      <c r="D18" s="79"/>
      <c r="E18" s="80"/>
      <c r="F18" s="80"/>
      <c r="G18" s="80"/>
      <c r="H18" s="80"/>
      <c r="I18" s="80"/>
      <c r="J18" s="81"/>
      <c r="K18" s="197" t="s">
        <v>186</v>
      </c>
      <c r="L18" s="52">
        <v>19754000</v>
      </c>
      <c r="M18" s="52">
        <v>0</v>
      </c>
      <c r="N18" s="52">
        <f>L18-M18</f>
        <v>19754000</v>
      </c>
      <c r="O18" s="83"/>
      <c r="P18" s="83"/>
      <c r="Q18" s="84">
        <v>19693400</v>
      </c>
      <c r="R18" s="84">
        <v>0</v>
      </c>
      <c r="S18" s="84">
        <f>Q18+R18</f>
        <v>19693400</v>
      </c>
      <c r="T18" s="54">
        <f>S18/N18*100</f>
        <v>99.693226688265668</v>
      </c>
      <c r="U18" s="52">
        <f t="shared" si="5"/>
        <v>60600</v>
      </c>
      <c r="V18" s="42">
        <f t="shared" si="2"/>
        <v>30300</v>
      </c>
      <c r="W18" s="22">
        <f t="shared" si="0"/>
        <v>99.693226688265668</v>
      </c>
      <c r="X18" s="22">
        <f t="shared" si="1"/>
        <v>99.693226688265668</v>
      </c>
      <c r="Z18" s="65">
        <f t="shared" si="4"/>
        <v>99.693226688265668</v>
      </c>
    </row>
    <row r="19" spans="1:26" x14ac:dyDescent="0.25">
      <c r="A19" s="24"/>
      <c r="B19" s="75"/>
      <c r="C19" s="75"/>
      <c r="D19" s="27"/>
      <c r="E19" s="26"/>
      <c r="F19" s="26"/>
      <c r="G19" s="26"/>
      <c r="H19" s="26"/>
      <c r="I19" s="26"/>
      <c r="J19" s="64"/>
      <c r="K19" s="77"/>
      <c r="L19" s="30"/>
      <c r="M19" s="30"/>
      <c r="N19" s="31"/>
      <c r="O19" s="30"/>
      <c r="P19" s="30"/>
      <c r="Q19" s="68"/>
      <c r="R19" s="29"/>
      <c r="S19" s="29"/>
      <c r="T19" s="32"/>
      <c r="U19" s="43"/>
      <c r="V19" s="42">
        <f t="shared" si="2"/>
        <v>0</v>
      </c>
      <c r="W19" s="22"/>
      <c r="X19" s="22"/>
      <c r="Z19" s="22" t="e">
        <f t="shared" si="4"/>
        <v>#DIV/0!</v>
      </c>
    </row>
    <row r="20" spans="1:26" ht="17.25" x14ac:dyDescent="0.3">
      <c r="A20" s="24"/>
      <c r="B20" s="79"/>
      <c r="C20" s="93"/>
      <c r="D20" s="94"/>
      <c r="E20" s="95"/>
      <c r="F20" s="95"/>
      <c r="G20" s="96"/>
      <c r="H20" s="96"/>
      <c r="I20" s="95"/>
      <c r="J20" s="97"/>
      <c r="K20" s="197" t="s">
        <v>92</v>
      </c>
      <c r="L20" s="52">
        <v>4468000</v>
      </c>
      <c r="M20" s="52">
        <v>0</v>
      </c>
      <c r="N20" s="52">
        <f>L20-M20</f>
        <v>4468000</v>
      </c>
      <c r="O20" s="53"/>
      <c r="P20" s="53"/>
      <c r="Q20" s="84">
        <v>0</v>
      </c>
      <c r="R20" s="84">
        <v>0</v>
      </c>
      <c r="S20" s="84">
        <f>Q20+R20</f>
        <v>0</v>
      </c>
      <c r="T20" s="54">
        <f>S20/N20*100</f>
        <v>0</v>
      </c>
      <c r="U20" s="52">
        <f t="shared" si="5"/>
        <v>4468000</v>
      </c>
      <c r="V20" s="42">
        <f t="shared" si="2"/>
        <v>2234000</v>
      </c>
      <c r="W20" s="22">
        <f t="shared" si="0"/>
        <v>0</v>
      </c>
      <c r="X20" s="22">
        <f t="shared" si="1"/>
        <v>0</v>
      </c>
      <c r="Z20" s="65">
        <f t="shared" si="4"/>
        <v>0</v>
      </c>
    </row>
    <row r="21" spans="1:26" x14ac:dyDescent="0.25">
      <c r="A21" s="24"/>
      <c r="B21" s="75"/>
      <c r="C21" s="89"/>
      <c r="D21" s="26"/>
      <c r="E21" s="26"/>
      <c r="F21" s="26"/>
      <c r="G21" s="27"/>
      <c r="H21" s="27"/>
      <c r="I21" s="26"/>
      <c r="J21" s="64"/>
      <c r="K21" s="92"/>
      <c r="L21" s="30"/>
      <c r="M21" s="30"/>
      <c r="N21" s="31"/>
      <c r="O21" s="66"/>
      <c r="P21" s="66"/>
      <c r="Q21" s="68"/>
      <c r="R21" s="29"/>
      <c r="S21" s="29"/>
      <c r="T21" s="32"/>
      <c r="U21" s="43"/>
      <c r="V21" s="42">
        <f t="shared" si="2"/>
        <v>0</v>
      </c>
      <c r="W21" s="22"/>
      <c r="X21" s="22"/>
      <c r="Z21" s="22" t="e">
        <f t="shared" si="4"/>
        <v>#DIV/0!</v>
      </c>
    </row>
    <row r="22" spans="1:26" ht="17.25" x14ac:dyDescent="0.3">
      <c r="A22" s="44"/>
      <c r="B22" s="45"/>
      <c r="C22" s="45"/>
      <c r="D22" s="480"/>
      <c r="E22" s="481"/>
      <c r="F22" s="481"/>
      <c r="G22" s="481"/>
      <c r="H22" s="50"/>
      <c r="I22" s="50"/>
      <c r="J22" s="106"/>
      <c r="K22" s="197" t="s">
        <v>187</v>
      </c>
      <c r="L22" s="108">
        <v>3020000</v>
      </c>
      <c r="M22" s="108">
        <v>0</v>
      </c>
      <c r="N22" s="52">
        <f>L22-M22</f>
        <v>3020000</v>
      </c>
      <c r="O22" s="108"/>
      <c r="P22" s="108"/>
      <c r="Q22" s="108">
        <v>350000</v>
      </c>
      <c r="R22" s="108">
        <v>0</v>
      </c>
      <c r="S22" s="108">
        <f t="shared" ref="S22" si="6">Q22+R22</f>
        <v>350000</v>
      </c>
      <c r="T22" s="54">
        <f>S22/N22*100</f>
        <v>11.589403973509933</v>
      </c>
      <c r="U22" s="52">
        <f t="shared" si="5"/>
        <v>2670000</v>
      </c>
      <c r="V22" s="42">
        <f t="shared" si="2"/>
        <v>1335000</v>
      </c>
      <c r="W22" s="22">
        <f t="shared" si="0"/>
        <v>11.589403973509933</v>
      </c>
      <c r="X22" s="22">
        <f t="shared" si="1"/>
        <v>11.589403973509933</v>
      </c>
      <c r="Z22" s="65">
        <f t="shared" si="4"/>
        <v>11.589403973509933</v>
      </c>
    </row>
    <row r="23" spans="1:26" x14ac:dyDescent="0.25">
      <c r="A23" s="24"/>
      <c r="B23" s="75"/>
      <c r="C23" s="89"/>
      <c r="D23" s="26"/>
      <c r="E23" s="26"/>
      <c r="F23" s="26"/>
      <c r="G23" s="27"/>
      <c r="H23" s="27"/>
      <c r="I23" s="26"/>
      <c r="J23" s="64"/>
      <c r="K23" s="28"/>
      <c r="L23" s="66"/>
      <c r="M23" s="66"/>
      <c r="N23" s="31"/>
      <c r="O23" s="66"/>
      <c r="P23" s="66"/>
      <c r="Q23" s="68"/>
      <c r="R23" s="29"/>
      <c r="S23" s="29"/>
      <c r="T23" s="32"/>
      <c r="U23" s="43"/>
      <c r="V23" s="42">
        <f t="shared" si="2"/>
        <v>0</v>
      </c>
      <c r="W23" s="22"/>
      <c r="X23" s="22"/>
      <c r="Z23" s="22" t="e">
        <f t="shared" si="4"/>
        <v>#DIV/0!</v>
      </c>
    </row>
    <row r="24" spans="1:26" ht="17.25" x14ac:dyDescent="0.3">
      <c r="A24" s="44"/>
      <c r="B24" s="45"/>
      <c r="C24" s="45"/>
      <c r="D24" s="480"/>
      <c r="E24" s="481"/>
      <c r="F24" s="481"/>
      <c r="G24" s="481"/>
      <c r="H24" s="49"/>
      <c r="I24" s="50"/>
      <c r="J24" s="106"/>
      <c r="K24" s="197" t="s">
        <v>88</v>
      </c>
      <c r="L24" s="52">
        <v>12200000</v>
      </c>
      <c r="M24" s="52">
        <v>0</v>
      </c>
      <c r="N24" s="52">
        <f>L24-M24</f>
        <v>12200000</v>
      </c>
      <c r="O24" s="52"/>
      <c r="P24" s="52"/>
      <c r="Q24" s="52">
        <v>772000</v>
      </c>
      <c r="R24" s="52">
        <v>0</v>
      </c>
      <c r="S24" s="52">
        <f t="shared" ref="S24" si="7">Q24+R24</f>
        <v>772000</v>
      </c>
      <c r="T24" s="54">
        <f>S24/N24*100</f>
        <v>6.3278688524590159</v>
      </c>
      <c r="U24" s="52">
        <f t="shared" si="5"/>
        <v>11428000</v>
      </c>
      <c r="V24" s="42">
        <f t="shared" si="2"/>
        <v>5714000</v>
      </c>
      <c r="W24" s="22">
        <f t="shared" si="0"/>
        <v>6.3278688524590159</v>
      </c>
      <c r="X24" s="22">
        <f>Q24/N24*100</f>
        <v>6.3278688524590159</v>
      </c>
      <c r="Z24" s="65">
        <f t="shared" si="4"/>
        <v>6.3278688524590159</v>
      </c>
    </row>
    <row r="25" spans="1:26" x14ac:dyDescent="0.25">
      <c r="A25" s="24"/>
      <c r="B25" s="75"/>
      <c r="C25" s="89"/>
      <c r="D25" s="26"/>
      <c r="E25" s="26"/>
      <c r="F25" s="26"/>
      <c r="G25" s="27"/>
      <c r="H25" s="27"/>
      <c r="I25" s="26"/>
      <c r="J25" s="64"/>
      <c r="K25" s="28"/>
      <c r="L25" s="66"/>
      <c r="M25" s="66"/>
      <c r="N25" s="67"/>
      <c r="O25" s="66"/>
      <c r="P25" s="66"/>
      <c r="Q25" s="68"/>
      <c r="R25" s="29"/>
      <c r="S25" s="29"/>
      <c r="T25" s="32"/>
      <c r="U25" s="43"/>
      <c r="V25" s="42">
        <f t="shared" si="2"/>
        <v>0</v>
      </c>
      <c r="W25" s="22"/>
      <c r="X25" s="22"/>
      <c r="Z25" s="22" t="e">
        <f t="shared" si="4"/>
        <v>#DIV/0!</v>
      </c>
    </row>
    <row r="26" spans="1:26" ht="17.25" x14ac:dyDescent="0.3">
      <c r="A26" s="24"/>
      <c r="B26" s="112"/>
      <c r="C26" s="93"/>
      <c r="D26" s="113"/>
      <c r="E26" s="80"/>
      <c r="F26" s="80"/>
      <c r="G26" s="114"/>
      <c r="H26" s="114"/>
      <c r="I26" s="80"/>
      <c r="J26" s="81"/>
      <c r="K26" s="197" t="s">
        <v>188</v>
      </c>
      <c r="L26" s="52">
        <v>3600000</v>
      </c>
      <c r="M26" s="52">
        <v>0</v>
      </c>
      <c r="N26" s="52">
        <f t="shared" ref="N26:N82" si="8">L26-M26</f>
        <v>3600000</v>
      </c>
      <c r="O26" s="116"/>
      <c r="P26" s="116"/>
      <c r="Q26" s="84">
        <v>300000</v>
      </c>
      <c r="R26" s="84">
        <v>0</v>
      </c>
      <c r="S26" s="84">
        <f>Q26+R26</f>
        <v>300000</v>
      </c>
      <c r="T26" s="54">
        <f>S26/N26*100</f>
        <v>8.3333333333333321</v>
      </c>
      <c r="U26" s="52">
        <f t="shared" si="5"/>
        <v>3300000</v>
      </c>
      <c r="V26" s="42">
        <f t="shared" si="2"/>
        <v>1650000</v>
      </c>
      <c r="W26" s="22">
        <f t="shared" si="0"/>
        <v>8.3333333333333321</v>
      </c>
      <c r="X26" s="22">
        <f t="shared" si="1"/>
        <v>8.3333333333333321</v>
      </c>
      <c r="Z26" s="65">
        <f t="shared" si="4"/>
        <v>8.3333333333333321</v>
      </c>
    </row>
    <row r="27" spans="1:26" x14ac:dyDescent="0.25">
      <c r="A27" s="24"/>
      <c r="B27" s="75"/>
      <c r="C27" s="89"/>
      <c r="D27" s="26"/>
      <c r="E27" s="26"/>
      <c r="F27" s="26"/>
      <c r="G27" s="27"/>
      <c r="H27" s="27"/>
      <c r="I27" s="26"/>
      <c r="J27" s="64"/>
      <c r="K27" s="28"/>
      <c r="L27" s="66"/>
      <c r="M27" s="66"/>
      <c r="N27" s="31"/>
      <c r="O27" s="66"/>
      <c r="P27" s="66"/>
      <c r="Q27" s="29"/>
      <c r="R27" s="29"/>
      <c r="S27" s="29"/>
      <c r="T27" s="32"/>
      <c r="U27" s="43"/>
      <c r="V27" s="42">
        <f t="shared" ref="V27:V82" si="9">U27/2</f>
        <v>0</v>
      </c>
      <c r="W27" s="22"/>
      <c r="X27" s="22"/>
      <c r="Z27" s="22" t="e">
        <f t="shared" si="4"/>
        <v>#DIV/0!</v>
      </c>
    </row>
    <row r="28" spans="1:26" ht="17.25" x14ac:dyDescent="0.3">
      <c r="A28" s="24"/>
      <c r="B28" s="112"/>
      <c r="C28" s="93"/>
      <c r="D28" s="113"/>
      <c r="E28" s="80"/>
      <c r="F28" s="80"/>
      <c r="G28" s="114"/>
      <c r="H28" s="114"/>
      <c r="I28" s="80"/>
      <c r="J28" s="81"/>
      <c r="K28" s="197" t="s">
        <v>189</v>
      </c>
      <c r="L28" s="52">
        <v>50388000</v>
      </c>
      <c r="M28" s="52">
        <v>0</v>
      </c>
      <c r="N28" s="52">
        <f t="shared" si="8"/>
        <v>50388000</v>
      </c>
      <c r="O28" s="116"/>
      <c r="P28" s="116"/>
      <c r="Q28" s="84">
        <v>6434000</v>
      </c>
      <c r="R28" s="84">
        <v>0</v>
      </c>
      <c r="S28" s="84">
        <f>Q28+R28</f>
        <v>6434000</v>
      </c>
      <c r="T28" s="54">
        <f>S28/N28*100</f>
        <v>12.768913233309517</v>
      </c>
      <c r="U28" s="52">
        <f t="shared" ref="U28:U84" si="10">N28-S28</f>
        <v>43954000</v>
      </c>
      <c r="V28" s="42">
        <f t="shared" si="9"/>
        <v>21977000</v>
      </c>
      <c r="W28" s="22">
        <f t="shared" ref="W28:W82" si="11">Q28/N28*100</f>
        <v>12.768913233309517</v>
      </c>
      <c r="X28" s="22">
        <f t="shared" si="1"/>
        <v>12.768913233309517</v>
      </c>
      <c r="Z28" s="65">
        <f t="shared" si="4"/>
        <v>12.768913233309517</v>
      </c>
    </row>
    <row r="29" spans="1:26" x14ac:dyDescent="0.25">
      <c r="A29" s="24"/>
      <c r="B29" s="118"/>
      <c r="C29" s="119"/>
      <c r="D29" s="26"/>
      <c r="E29" s="26"/>
      <c r="F29" s="26"/>
      <c r="G29" s="27"/>
      <c r="H29" s="27"/>
      <c r="I29" s="26"/>
      <c r="J29" s="64"/>
      <c r="K29" s="28"/>
      <c r="L29" s="66"/>
      <c r="M29" s="66"/>
      <c r="N29" s="67"/>
      <c r="O29" s="66"/>
      <c r="P29" s="66"/>
      <c r="Q29" s="68"/>
      <c r="R29" s="29"/>
      <c r="S29" s="29"/>
      <c r="T29" s="32"/>
      <c r="U29" s="43"/>
      <c r="V29" s="42">
        <f t="shared" si="9"/>
        <v>0</v>
      </c>
      <c r="W29" s="22"/>
      <c r="X29" s="22"/>
      <c r="Z29" s="22" t="e">
        <f t="shared" ref="Z29:Z94" si="12">Q29/N29*100</f>
        <v>#DIV/0!</v>
      </c>
    </row>
    <row r="30" spans="1:26" ht="17.25" x14ac:dyDescent="0.3">
      <c r="A30" s="24"/>
      <c r="B30" s="112"/>
      <c r="C30" s="93"/>
      <c r="D30" s="113"/>
      <c r="E30" s="80"/>
      <c r="F30" s="80"/>
      <c r="G30" s="114"/>
      <c r="H30" s="114"/>
      <c r="I30" s="80"/>
      <c r="J30" s="81"/>
      <c r="K30" s="197" t="s">
        <v>190</v>
      </c>
      <c r="L30" s="52">
        <f>L34+L32</f>
        <v>33005000</v>
      </c>
      <c r="M30" s="52">
        <v>0</v>
      </c>
      <c r="N30" s="52">
        <f t="shared" si="8"/>
        <v>33005000</v>
      </c>
      <c r="O30" s="116"/>
      <c r="P30" s="116"/>
      <c r="Q30" s="52">
        <f>Q34+Q32</f>
        <v>3204350</v>
      </c>
      <c r="R30" s="52">
        <f>R34+R32</f>
        <v>0</v>
      </c>
      <c r="S30" s="84">
        <f>Q30+R30</f>
        <v>3204350</v>
      </c>
      <c r="T30" s="54">
        <f>S30/N30*100</f>
        <v>9.7086805029540972</v>
      </c>
      <c r="U30" s="117">
        <f t="shared" si="10"/>
        <v>29800650</v>
      </c>
      <c r="V30" s="42">
        <f t="shared" si="9"/>
        <v>14900325</v>
      </c>
      <c r="W30" s="22"/>
      <c r="X30" s="22">
        <f t="shared" si="1"/>
        <v>9.7086805029540972</v>
      </c>
      <c r="Z30" s="22">
        <f t="shared" si="12"/>
        <v>9.7086805029540972</v>
      </c>
    </row>
    <row r="31" spans="1:26" x14ac:dyDescent="0.25">
      <c r="A31" s="24"/>
      <c r="B31" s="75"/>
      <c r="C31" s="89"/>
      <c r="D31" s="26"/>
      <c r="E31" s="26"/>
      <c r="F31" s="26"/>
      <c r="G31" s="27"/>
      <c r="H31" s="27"/>
      <c r="I31" s="26"/>
      <c r="J31" s="64"/>
      <c r="K31" s="28"/>
      <c r="L31" s="66"/>
      <c r="M31" s="66"/>
      <c r="N31" s="67"/>
      <c r="O31" s="66"/>
      <c r="P31" s="66"/>
      <c r="Q31" s="68"/>
      <c r="R31" s="29"/>
      <c r="S31" s="29"/>
      <c r="T31" s="32"/>
      <c r="U31" s="43"/>
      <c r="V31" s="42">
        <f t="shared" si="9"/>
        <v>0</v>
      </c>
      <c r="W31" s="22"/>
      <c r="X31" s="22"/>
      <c r="Z31" s="22" t="e">
        <f t="shared" si="12"/>
        <v>#DIV/0!</v>
      </c>
    </row>
    <row r="32" spans="1:26" x14ac:dyDescent="0.25">
      <c r="A32" s="24"/>
      <c r="B32" s="75"/>
      <c r="C32" s="89"/>
      <c r="D32" s="26"/>
      <c r="E32" s="26"/>
      <c r="F32" s="26"/>
      <c r="G32" s="27"/>
      <c r="H32" s="27"/>
      <c r="I32" s="26"/>
      <c r="J32" s="64"/>
      <c r="K32" s="56" t="s">
        <v>191</v>
      </c>
      <c r="L32" s="66">
        <v>15750000</v>
      </c>
      <c r="M32" s="66">
        <v>0</v>
      </c>
      <c r="N32" s="126">
        <f t="shared" si="8"/>
        <v>15750000</v>
      </c>
      <c r="O32" s="66"/>
      <c r="P32" s="66"/>
      <c r="Q32" s="68">
        <v>2385000</v>
      </c>
      <c r="R32" s="29">
        <v>0</v>
      </c>
      <c r="S32" s="84">
        <f>Q32+R32</f>
        <v>2385000</v>
      </c>
      <c r="T32" s="54">
        <f>S32/N32*100</f>
        <v>15.142857142857144</v>
      </c>
      <c r="U32" s="43">
        <f t="shared" si="10"/>
        <v>13365000</v>
      </c>
      <c r="V32" s="42"/>
      <c r="W32" s="22"/>
      <c r="X32" s="22">
        <f t="shared" si="1"/>
        <v>15.142857142857144</v>
      </c>
      <c r="Z32" s="22"/>
    </row>
    <row r="33" spans="1:26" x14ac:dyDescent="0.25">
      <c r="A33" s="24"/>
      <c r="B33" s="75"/>
      <c r="C33" s="89"/>
      <c r="D33" s="26"/>
      <c r="E33" s="26"/>
      <c r="F33" s="26"/>
      <c r="G33" s="27"/>
      <c r="H33" s="27"/>
      <c r="I33" s="26"/>
      <c r="J33" s="64"/>
      <c r="K33" s="28"/>
      <c r="L33" s="66"/>
      <c r="M33" s="66"/>
      <c r="N33" s="127"/>
      <c r="O33" s="66"/>
      <c r="P33" s="66"/>
      <c r="Q33" s="68"/>
      <c r="R33" s="29"/>
      <c r="S33" s="29"/>
      <c r="T33" s="32"/>
      <c r="U33" s="43"/>
      <c r="V33" s="42"/>
      <c r="W33" s="22"/>
      <c r="X33" s="22"/>
      <c r="Z33" s="22"/>
    </row>
    <row r="34" spans="1:26" x14ac:dyDescent="0.25">
      <c r="A34" s="24"/>
      <c r="B34" s="75"/>
      <c r="C34" s="89"/>
      <c r="D34" s="26"/>
      <c r="E34" s="26"/>
      <c r="F34" s="26"/>
      <c r="G34" s="27"/>
      <c r="H34" s="27"/>
      <c r="I34" s="26"/>
      <c r="J34" s="64"/>
      <c r="K34" s="56" t="s">
        <v>192</v>
      </c>
      <c r="L34" s="30">
        <v>17255000</v>
      </c>
      <c r="M34" s="30">
        <v>0</v>
      </c>
      <c r="N34" s="126">
        <f t="shared" si="8"/>
        <v>17255000</v>
      </c>
      <c r="O34" s="66"/>
      <c r="P34" s="66"/>
      <c r="Q34" s="68">
        <v>819350</v>
      </c>
      <c r="R34" s="29">
        <v>0</v>
      </c>
      <c r="S34" s="84">
        <f>Q34+R34</f>
        <v>819350</v>
      </c>
      <c r="T34" s="20">
        <f>S34/N34*100</f>
        <v>4.7484787018255581</v>
      </c>
      <c r="U34" s="43">
        <f t="shared" si="10"/>
        <v>16435650</v>
      </c>
      <c r="V34" s="42">
        <f t="shared" si="9"/>
        <v>8217825</v>
      </c>
      <c r="W34" s="22"/>
      <c r="X34" s="22">
        <f t="shared" si="1"/>
        <v>4.7484787018255581</v>
      </c>
      <c r="Z34" s="22">
        <f t="shared" si="12"/>
        <v>4.7484787018255581</v>
      </c>
    </row>
    <row r="35" spans="1:26" x14ac:dyDescent="0.25">
      <c r="A35" s="24"/>
      <c r="B35" s="75"/>
      <c r="C35" s="89"/>
      <c r="D35" s="26"/>
      <c r="E35" s="26"/>
      <c r="F35" s="26"/>
      <c r="G35" s="27"/>
      <c r="H35" s="27"/>
      <c r="I35" s="26"/>
      <c r="J35" s="64"/>
      <c r="K35" s="28"/>
      <c r="L35" s="66"/>
      <c r="M35" s="66"/>
      <c r="N35" s="67"/>
      <c r="O35" s="66"/>
      <c r="P35" s="66"/>
      <c r="Q35" s="68"/>
      <c r="R35" s="29"/>
      <c r="S35" s="29"/>
      <c r="T35" s="32"/>
      <c r="U35" s="43"/>
      <c r="V35" s="42">
        <f t="shared" si="9"/>
        <v>0</v>
      </c>
      <c r="W35" s="22"/>
      <c r="X35" s="22"/>
      <c r="Z35" s="22" t="e">
        <f t="shared" si="12"/>
        <v>#DIV/0!</v>
      </c>
    </row>
    <row r="36" spans="1:26" ht="17.25" x14ac:dyDescent="0.3">
      <c r="A36" s="24"/>
      <c r="B36" s="112"/>
      <c r="C36" s="93"/>
      <c r="D36" s="113"/>
      <c r="E36" s="94"/>
      <c r="F36" s="94"/>
      <c r="G36" s="79"/>
      <c r="H36" s="79"/>
      <c r="I36" s="94"/>
      <c r="J36" s="122"/>
      <c r="K36" s="197" t="s">
        <v>193</v>
      </c>
      <c r="L36" s="52">
        <v>136360000</v>
      </c>
      <c r="M36" s="52">
        <v>0</v>
      </c>
      <c r="N36" s="52">
        <f t="shared" si="8"/>
        <v>136360000</v>
      </c>
      <c r="O36" s="116"/>
      <c r="P36" s="116"/>
      <c r="Q36" s="84">
        <v>6140000</v>
      </c>
      <c r="R36" s="84">
        <v>0</v>
      </c>
      <c r="S36" s="84">
        <f>Q36+R36</f>
        <v>6140000</v>
      </c>
      <c r="T36" s="54">
        <f>S36/N36*100</f>
        <v>4.5027867409797597</v>
      </c>
      <c r="U36" s="52">
        <f t="shared" si="10"/>
        <v>130220000</v>
      </c>
      <c r="V36" s="42">
        <f t="shared" si="9"/>
        <v>65110000</v>
      </c>
      <c r="W36" s="22">
        <f t="shared" si="11"/>
        <v>4.5027867409797597</v>
      </c>
      <c r="X36" s="22">
        <f t="shared" si="1"/>
        <v>4.5027867409797597</v>
      </c>
      <c r="Z36" s="65">
        <f t="shared" si="12"/>
        <v>4.5027867409797597</v>
      </c>
    </row>
    <row r="37" spans="1:26" x14ac:dyDescent="0.25">
      <c r="A37" s="24"/>
      <c r="B37" s="75"/>
      <c r="C37" s="89"/>
      <c r="D37" s="26"/>
      <c r="E37" s="26"/>
      <c r="F37" s="26"/>
      <c r="G37" s="27"/>
      <c r="H37" s="27"/>
      <c r="I37" s="26"/>
      <c r="J37" s="64"/>
      <c r="K37" s="28"/>
      <c r="L37" s="66"/>
      <c r="M37" s="66"/>
      <c r="N37" s="67"/>
      <c r="O37" s="66"/>
      <c r="P37" s="66"/>
      <c r="Q37" s="68"/>
      <c r="R37" s="29"/>
      <c r="S37" s="29"/>
      <c r="T37" s="32"/>
      <c r="U37" s="43"/>
      <c r="V37" s="42">
        <f t="shared" si="9"/>
        <v>0</v>
      </c>
      <c r="W37" s="22"/>
      <c r="X37" s="22"/>
      <c r="Z37" s="22" t="e">
        <f t="shared" si="12"/>
        <v>#DIV/0!</v>
      </c>
    </row>
    <row r="38" spans="1:26" ht="17.25" x14ac:dyDescent="0.3">
      <c r="A38" s="24"/>
      <c r="B38" s="112"/>
      <c r="C38" s="93"/>
      <c r="D38" s="124"/>
      <c r="E38" s="94"/>
      <c r="F38" s="94"/>
      <c r="G38" s="79"/>
      <c r="H38" s="79"/>
      <c r="I38" s="94"/>
      <c r="J38" s="122"/>
      <c r="K38" s="197" t="s">
        <v>194</v>
      </c>
      <c r="L38" s="52">
        <v>1980000</v>
      </c>
      <c r="M38" s="52">
        <v>0</v>
      </c>
      <c r="N38" s="52">
        <f t="shared" si="8"/>
        <v>1980000</v>
      </c>
      <c r="O38" s="116"/>
      <c r="P38" s="116"/>
      <c r="Q38" s="84">
        <v>0</v>
      </c>
      <c r="R38" s="84">
        <v>0</v>
      </c>
      <c r="S38" s="84">
        <f>Q38+R38</f>
        <v>0</v>
      </c>
      <c r="T38" s="54">
        <f>S38/N38*100</f>
        <v>0</v>
      </c>
      <c r="U38" s="52">
        <f t="shared" si="10"/>
        <v>1980000</v>
      </c>
      <c r="V38" s="42">
        <f t="shared" si="9"/>
        <v>990000</v>
      </c>
      <c r="W38" s="22">
        <f t="shared" si="11"/>
        <v>0</v>
      </c>
      <c r="X38" s="22">
        <f t="shared" si="1"/>
        <v>0</v>
      </c>
      <c r="Z38" s="65">
        <f t="shared" si="12"/>
        <v>0</v>
      </c>
    </row>
    <row r="39" spans="1:26" x14ac:dyDescent="0.25">
      <c r="A39" s="24"/>
      <c r="B39" s="75"/>
      <c r="C39" s="89"/>
      <c r="D39" s="26"/>
      <c r="E39" s="26"/>
      <c r="F39" s="26"/>
      <c r="G39" s="27"/>
      <c r="H39" s="27"/>
      <c r="I39" s="26"/>
      <c r="J39" s="64"/>
      <c r="K39" s="28"/>
      <c r="L39" s="66"/>
      <c r="M39" s="66"/>
      <c r="N39" s="67"/>
      <c r="O39" s="66"/>
      <c r="P39" s="66"/>
      <c r="Q39" s="68"/>
      <c r="R39" s="29"/>
      <c r="S39" s="29"/>
      <c r="T39" s="32"/>
      <c r="U39" s="43"/>
      <c r="V39" s="42">
        <f t="shared" si="9"/>
        <v>0</v>
      </c>
      <c r="W39" s="22"/>
      <c r="X39" s="22"/>
      <c r="Z39" s="22" t="e">
        <f t="shared" si="12"/>
        <v>#DIV/0!</v>
      </c>
    </row>
    <row r="40" spans="1:26" ht="17.25" x14ac:dyDescent="0.3">
      <c r="A40" s="24"/>
      <c r="B40" s="112"/>
      <c r="C40" s="93"/>
      <c r="D40" s="124"/>
      <c r="E40" s="94"/>
      <c r="F40" s="94"/>
      <c r="G40" s="79"/>
      <c r="H40" s="79"/>
      <c r="I40" s="94"/>
      <c r="J40" s="122"/>
      <c r="K40" s="197" t="s">
        <v>195</v>
      </c>
      <c r="L40" s="52">
        <v>1700000</v>
      </c>
      <c r="M40" s="52">
        <v>0</v>
      </c>
      <c r="N40" s="52">
        <f t="shared" si="8"/>
        <v>1700000</v>
      </c>
      <c r="O40" s="116"/>
      <c r="P40" s="116"/>
      <c r="Q40" s="84">
        <v>500000</v>
      </c>
      <c r="R40" s="84">
        <v>0</v>
      </c>
      <c r="S40" s="84">
        <f>Q40+R40</f>
        <v>500000</v>
      </c>
      <c r="T40" s="54">
        <f>S40/N40*100</f>
        <v>29.411764705882355</v>
      </c>
      <c r="U40" s="52">
        <f t="shared" si="10"/>
        <v>1200000</v>
      </c>
      <c r="V40" s="42">
        <f t="shared" si="9"/>
        <v>600000</v>
      </c>
      <c r="W40" s="22">
        <f t="shared" si="11"/>
        <v>29.411764705882355</v>
      </c>
      <c r="X40" s="22">
        <f t="shared" si="1"/>
        <v>29.411764705882355</v>
      </c>
      <c r="Z40" s="65">
        <f t="shared" si="12"/>
        <v>29.411764705882355</v>
      </c>
    </row>
    <row r="41" spans="1:26" x14ac:dyDescent="0.25">
      <c r="A41" s="24"/>
      <c r="B41" s="75"/>
      <c r="C41" s="89"/>
      <c r="D41" s="26"/>
      <c r="E41" s="26"/>
      <c r="F41" s="26"/>
      <c r="G41" s="27"/>
      <c r="H41" s="27"/>
      <c r="I41" s="26"/>
      <c r="J41" s="64"/>
      <c r="K41" s="28"/>
      <c r="L41" s="66"/>
      <c r="M41" s="66"/>
      <c r="N41" s="67"/>
      <c r="O41" s="66"/>
      <c r="P41" s="66"/>
      <c r="Q41" s="68"/>
      <c r="R41" s="29"/>
      <c r="S41" s="29"/>
      <c r="T41" s="32"/>
      <c r="U41" s="43"/>
      <c r="V41" s="42">
        <f t="shared" si="9"/>
        <v>0</v>
      </c>
      <c r="W41" s="22"/>
      <c r="X41" s="22"/>
      <c r="Z41" s="22" t="e">
        <f t="shared" si="12"/>
        <v>#DIV/0!</v>
      </c>
    </row>
    <row r="42" spans="1:26" ht="17.25" x14ac:dyDescent="0.3">
      <c r="A42" s="24"/>
      <c r="B42" s="124"/>
      <c r="C42" s="130"/>
      <c r="D42" s="113"/>
      <c r="E42" s="113"/>
      <c r="F42" s="113"/>
      <c r="G42" s="113"/>
      <c r="H42" s="113"/>
      <c r="I42" s="113"/>
      <c r="J42" s="98"/>
      <c r="K42" s="197" t="s">
        <v>196</v>
      </c>
      <c r="L42" s="131">
        <f>L44+L46+L48</f>
        <v>231900000</v>
      </c>
      <c r="M42" s="131">
        <f>M44+M46+M48</f>
        <v>0</v>
      </c>
      <c r="N42" s="52">
        <f t="shared" si="8"/>
        <v>231900000</v>
      </c>
      <c r="O42" s="116"/>
      <c r="P42" s="116"/>
      <c r="Q42" s="84">
        <f>Q44+Q46+Q48</f>
        <v>18407127</v>
      </c>
      <c r="R42" s="84">
        <v>0</v>
      </c>
      <c r="S42" s="84">
        <f>Q42+R42</f>
        <v>18407127</v>
      </c>
      <c r="T42" s="54">
        <f>S42/N42*100</f>
        <v>7.9375278137128067</v>
      </c>
      <c r="U42" s="52">
        <f t="shared" si="10"/>
        <v>213492873</v>
      </c>
      <c r="V42" s="42">
        <f t="shared" si="9"/>
        <v>106746436.5</v>
      </c>
      <c r="W42" s="22">
        <f t="shared" si="11"/>
        <v>7.9375278137128067</v>
      </c>
      <c r="X42" s="22">
        <f t="shared" si="1"/>
        <v>7.9375278137128067</v>
      </c>
      <c r="Z42" s="22">
        <f t="shared" si="12"/>
        <v>7.9375278137128067</v>
      </c>
    </row>
    <row r="43" spans="1:26" x14ac:dyDescent="0.25">
      <c r="A43" s="24"/>
      <c r="B43" s="75"/>
      <c r="C43" s="89"/>
      <c r="D43" s="26"/>
      <c r="E43" s="26"/>
      <c r="F43" s="26"/>
      <c r="G43" s="27"/>
      <c r="H43" s="27"/>
      <c r="I43" s="26"/>
      <c r="J43" s="64"/>
      <c r="K43" s="28"/>
      <c r="L43" s="66"/>
      <c r="M43" s="66"/>
      <c r="N43" s="67"/>
      <c r="O43" s="66"/>
      <c r="P43" s="66"/>
      <c r="Q43" s="68"/>
      <c r="R43" s="29"/>
      <c r="S43" s="29"/>
      <c r="T43" s="32"/>
      <c r="U43" s="43"/>
      <c r="V43" s="42">
        <f t="shared" si="9"/>
        <v>0</v>
      </c>
      <c r="W43" s="22"/>
      <c r="X43" s="22"/>
      <c r="Z43" s="22" t="e">
        <f t="shared" si="12"/>
        <v>#DIV/0!</v>
      </c>
    </row>
    <row r="44" spans="1:26" x14ac:dyDescent="0.25">
      <c r="A44" s="24"/>
      <c r="B44" s="75"/>
      <c r="C44" s="89"/>
      <c r="D44" s="26"/>
      <c r="E44" s="26"/>
      <c r="F44" s="26"/>
      <c r="G44" s="27"/>
      <c r="H44" s="27"/>
      <c r="I44" s="26"/>
      <c r="J44" s="64"/>
      <c r="K44" s="28" t="s">
        <v>197</v>
      </c>
      <c r="L44" s="66">
        <v>27000000</v>
      </c>
      <c r="M44" s="66">
        <v>0</v>
      </c>
      <c r="N44" s="126">
        <f t="shared" si="8"/>
        <v>27000000</v>
      </c>
      <c r="O44" s="66"/>
      <c r="P44" s="66"/>
      <c r="Q44" s="68">
        <v>1703568</v>
      </c>
      <c r="R44" s="29"/>
      <c r="S44" s="84">
        <f>Q44+R44</f>
        <v>1703568</v>
      </c>
      <c r="T44" s="54">
        <f>S44/N44*100</f>
        <v>6.309511111111112</v>
      </c>
      <c r="U44" s="43">
        <f t="shared" si="10"/>
        <v>25296432</v>
      </c>
      <c r="V44" s="42"/>
      <c r="W44" s="22"/>
      <c r="X44" s="22">
        <f t="shared" si="1"/>
        <v>6.309511111111112</v>
      </c>
      <c r="Z44" s="22"/>
    </row>
    <row r="45" spans="1:26" x14ac:dyDescent="0.25">
      <c r="A45" s="24"/>
      <c r="B45" s="75"/>
      <c r="C45" s="89"/>
      <c r="D45" s="26"/>
      <c r="E45" s="26"/>
      <c r="F45" s="26"/>
      <c r="G45" s="27"/>
      <c r="H45" s="27"/>
      <c r="I45" s="26"/>
      <c r="J45" s="64"/>
      <c r="K45" s="28"/>
      <c r="L45" s="66"/>
      <c r="M45" s="66"/>
      <c r="N45" s="67"/>
      <c r="O45" s="66"/>
      <c r="P45" s="66"/>
      <c r="Q45" s="68"/>
      <c r="R45" s="29"/>
      <c r="S45" s="29"/>
      <c r="T45" s="32"/>
      <c r="U45" s="43"/>
      <c r="V45" s="42"/>
      <c r="W45" s="22"/>
      <c r="X45" s="22"/>
      <c r="Z45" s="22"/>
    </row>
    <row r="46" spans="1:26" x14ac:dyDescent="0.25">
      <c r="A46" s="24"/>
      <c r="B46" s="75"/>
      <c r="C46" s="89"/>
      <c r="D46" s="26"/>
      <c r="E46" s="26"/>
      <c r="F46" s="26"/>
      <c r="G46" s="27"/>
      <c r="H46" s="27"/>
      <c r="I46" s="26"/>
      <c r="J46" s="64"/>
      <c r="K46" s="28" t="s">
        <v>198</v>
      </c>
      <c r="L46" s="66">
        <v>900000</v>
      </c>
      <c r="M46" s="66">
        <v>0</v>
      </c>
      <c r="N46" s="126">
        <f t="shared" si="8"/>
        <v>900000</v>
      </c>
      <c r="O46" s="66"/>
      <c r="P46" s="66"/>
      <c r="Q46" s="68">
        <v>45950</v>
      </c>
      <c r="R46" s="29"/>
      <c r="S46" s="84">
        <f>Q46+R46</f>
        <v>45950</v>
      </c>
      <c r="T46" s="54">
        <f>S46/N46*100</f>
        <v>5.1055555555555552</v>
      </c>
      <c r="U46" s="43">
        <f t="shared" si="10"/>
        <v>854050</v>
      </c>
      <c r="V46" s="42"/>
      <c r="W46" s="22"/>
      <c r="X46" s="22">
        <f t="shared" si="1"/>
        <v>5.1055555555555552</v>
      </c>
      <c r="Z46" s="22"/>
    </row>
    <row r="47" spans="1:26" x14ac:dyDescent="0.25">
      <c r="A47" s="24"/>
      <c r="B47" s="75"/>
      <c r="C47" s="89"/>
      <c r="D47" s="26"/>
      <c r="E47" s="26"/>
      <c r="F47" s="26"/>
      <c r="G47" s="27"/>
      <c r="H47" s="27"/>
      <c r="I47" s="26"/>
      <c r="J47" s="64"/>
      <c r="K47" s="28"/>
      <c r="L47" s="66"/>
      <c r="M47" s="66"/>
      <c r="N47" s="67"/>
      <c r="O47" s="66"/>
      <c r="P47" s="66"/>
      <c r="Q47" s="68"/>
      <c r="R47" s="29"/>
      <c r="S47" s="29"/>
      <c r="T47" s="32"/>
      <c r="U47" s="43"/>
      <c r="V47" s="42"/>
      <c r="W47" s="22"/>
      <c r="X47" s="22"/>
      <c r="Z47" s="22"/>
    </row>
    <row r="48" spans="1:26" x14ac:dyDescent="0.25">
      <c r="A48" s="24"/>
      <c r="B48" s="75"/>
      <c r="C48" s="89"/>
      <c r="D48" s="26"/>
      <c r="E48" s="26"/>
      <c r="F48" s="26"/>
      <c r="G48" s="27"/>
      <c r="H48" s="27"/>
      <c r="I48" s="26"/>
      <c r="J48" s="64"/>
      <c r="K48" s="56" t="s">
        <v>199</v>
      </c>
      <c r="L48" s="30">
        <v>204000000</v>
      </c>
      <c r="M48" s="30">
        <v>0</v>
      </c>
      <c r="N48" s="31">
        <v>145754000</v>
      </c>
      <c r="O48" s="66"/>
      <c r="P48" s="66"/>
      <c r="Q48" s="225">
        <v>16657609</v>
      </c>
      <c r="R48" s="29">
        <v>0</v>
      </c>
      <c r="S48" s="84">
        <f>Q48+R48</f>
        <v>16657609</v>
      </c>
      <c r="T48" s="54">
        <f>S48/N48*100</f>
        <v>11.428577603359084</v>
      </c>
      <c r="U48" s="43">
        <f t="shared" si="10"/>
        <v>129096391</v>
      </c>
      <c r="V48" s="42">
        <f t="shared" si="9"/>
        <v>64548195.5</v>
      </c>
      <c r="W48" s="22">
        <f t="shared" si="11"/>
        <v>11.428577603359084</v>
      </c>
      <c r="X48" s="22">
        <f t="shared" si="1"/>
        <v>11.428577603359084</v>
      </c>
      <c r="Z48" s="22">
        <f t="shared" si="12"/>
        <v>11.428577603359084</v>
      </c>
    </row>
    <row r="49" spans="1:27" x14ac:dyDescent="0.25">
      <c r="A49" s="24"/>
      <c r="B49" s="75"/>
      <c r="C49" s="89"/>
      <c r="D49" s="26"/>
      <c r="E49" s="26"/>
      <c r="F49" s="26"/>
      <c r="G49" s="27"/>
      <c r="H49" s="27"/>
      <c r="I49" s="26"/>
      <c r="J49" s="64"/>
      <c r="K49" s="28"/>
      <c r="L49" s="66"/>
      <c r="M49" s="66"/>
      <c r="N49" s="67"/>
      <c r="O49" s="66"/>
      <c r="P49" s="66"/>
      <c r="Q49" s="68"/>
      <c r="R49" s="29"/>
      <c r="S49" s="29"/>
      <c r="T49" s="32"/>
      <c r="U49" s="43"/>
      <c r="V49" s="42">
        <f t="shared" si="9"/>
        <v>0</v>
      </c>
      <c r="W49" s="22"/>
      <c r="X49" s="22"/>
      <c r="Z49" s="22" t="e">
        <f t="shared" si="12"/>
        <v>#DIV/0!</v>
      </c>
    </row>
    <row r="50" spans="1:27" ht="17.25" x14ac:dyDescent="0.3">
      <c r="A50" s="24"/>
      <c r="B50" s="124"/>
      <c r="C50" s="130"/>
      <c r="D50" s="113"/>
      <c r="E50" s="113"/>
      <c r="F50" s="113"/>
      <c r="G50" s="113"/>
      <c r="H50" s="113"/>
      <c r="I50" s="113"/>
      <c r="J50" s="98"/>
      <c r="K50" s="197" t="s">
        <v>200</v>
      </c>
      <c r="L50" s="131">
        <f>L52+L54+L56+L58+L60</f>
        <v>727622000</v>
      </c>
      <c r="M50" s="131">
        <f>M52+M54+M56+M58+M60</f>
        <v>0</v>
      </c>
      <c r="N50" s="52">
        <f t="shared" si="8"/>
        <v>727622000</v>
      </c>
      <c r="O50" s="116"/>
      <c r="P50" s="116"/>
      <c r="Q50" s="120">
        <f>Q52+Q54+Q56+Q58+Q60</f>
        <v>54618753</v>
      </c>
      <c r="R50" s="121">
        <v>0</v>
      </c>
      <c r="S50" s="121">
        <f>Q50+R50</f>
        <v>54618753</v>
      </c>
      <c r="T50" s="54">
        <f>S50/N50*100</f>
        <v>7.506473553575896</v>
      </c>
      <c r="U50" s="117">
        <f t="shared" si="10"/>
        <v>673003247</v>
      </c>
      <c r="V50" s="42">
        <f t="shared" si="9"/>
        <v>336501623.5</v>
      </c>
      <c r="W50" s="22">
        <f t="shared" si="11"/>
        <v>7.506473553575896</v>
      </c>
      <c r="X50" s="22">
        <f t="shared" si="1"/>
        <v>7.506473553575896</v>
      </c>
      <c r="Z50" s="65">
        <f t="shared" si="12"/>
        <v>7.506473553575896</v>
      </c>
    </row>
    <row r="51" spans="1:27" x14ac:dyDescent="0.25">
      <c r="A51" s="24"/>
      <c r="B51" s="75"/>
      <c r="C51" s="89"/>
      <c r="D51" s="26"/>
      <c r="E51" s="26"/>
      <c r="F51" s="26"/>
      <c r="G51" s="27"/>
      <c r="H51" s="27"/>
      <c r="I51" s="26"/>
      <c r="J51" s="64"/>
      <c r="K51" s="28"/>
      <c r="L51" s="66"/>
      <c r="M51" s="30"/>
      <c r="N51" s="67"/>
      <c r="O51" s="66"/>
      <c r="P51" s="66"/>
      <c r="Q51" s="68"/>
      <c r="R51" s="29"/>
      <c r="S51" s="29"/>
      <c r="T51" s="32"/>
      <c r="U51" s="43"/>
      <c r="V51" s="42">
        <f t="shared" si="9"/>
        <v>0</v>
      </c>
      <c r="W51" s="22"/>
      <c r="X51" s="22"/>
      <c r="Z51" s="22" t="e">
        <f t="shared" si="12"/>
        <v>#DIV/0!</v>
      </c>
    </row>
    <row r="52" spans="1:27" x14ac:dyDescent="0.25">
      <c r="A52" s="24"/>
      <c r="B52" s="75"/>
      <c r="C52" s="89"/>
      <c r="D52" s="26"/>
      <c r="E52" s="26"/>
      <c r="F52" s="26"/>
      <c r="G52" s="27"/>
      <c r="H52" s="27"/>
      <c r="I52" s="26"/>
      <c r="J52" s="64"/>
      <c r="K52" s="56" t="s">
        <v>201</v>
      </c>
      <c r="L52" s="66">
        <v>3300000</v>
      </c>
      <c r="M52" s="30">
        <v>0</v>
      </c>
      <c r="N52" s="126">
        <f t="shared" si="8"/>
        <v>3300000</v>
      </c>
      <c r="O52" s="66"/>
      <c r="P52" s="66"/>
      <c r="Q52" s="68">
        <v>275000</v>
      </c>
      <c r="R52" s="29"/>
      <c r="S52" s="84">
        <f>Q52+R52</f>
        <v>275000</v>
      </c>
      <c r="T52" s="54">
        <f>S52/N52*100</f>
        <v>8.3333333333333321</v>
      </c>
      <c r="U52" s="43">
        <f t="shared" si="10"/>
        <v>3025000</v>
      </c>
      <c r="V52" s="42"/>
      <c r="W52" s="22"/>
      <c r="X52" s="22">
        <f t="shared" si="1"/>
        <v>8.3333333333333321</v>
      </c>
      <c r="Z52" s="22"/>
    </row>
    <row r="53" spans="1:27" x14ac:dyDescent="0.25">
      <c r="A53" s="24"/>
      <c r="B53" s="75"/>
      <c r="C53" s="89"/>
      <c r="D53" s="26"/>
      <c r="E53" s="26"/>
      <c r="F53" s="26"/>
      <c r="G53" s="27"/>
      <c r="H53" s="27"/>
      <c r="I53" s="26"/>
      <c r="J53" s="64"/>
      <c r="K53" s="56"/>
      <c r="L53" s="66"/>
      <c r="M53" s="30"/>
      <c r="N53" s="67"/>
      <c r="O53" s="66"/>
      <c r="P53" s="66"/>
      <c r="Q53" s="68"/>
      <c r="R53" s="29"/>
      <c r="S53" s="29"/>
      <c r="T53" s="32"/>
      <c r="U53" s="43"/>
      <c r="V53" s="42"/>
      <c r="W53" s="22"/>
      <c r="X53" s="22"/>
      <c r="Z53" s="22"/>
    </row>
    <row r="54" spans="1:27" x14ac:dyDescent="0.25">
      <c r="A54" s="24"/>
      <c r="B54" s="75"/>
      <c r="C54" s="89"/>
      <c r="D54" s="26"/>
      <c r="E54" s="26"/>
      <c r="F54" s="26"/>
      <c r="G54" s="27"/>
      <c r="H54" s="27"/>
      <c r="I54" s="26"/>
      <c r="J54" s="64"/>
      <c r="K54" s="56" t="s">
        <v>202</v>
      </c>
      <c r="L54" s="66">
        <v>314472000</v>
      </c>
      <c r="M54" s="30">
        <v>0</v>
      </c>
      <c r="N54" s="126">
        <f t="shared" si="8"/>
        <v>314472000</v>
      </c>
      <c r="O54" s="66"/>
      <c r="P54" s="66"/>
      <c r="Q54" s="76">
        <v>24018733</v>
      </c>
      <c r="R54" s="29"/>
      <c r="S54" s="84">
        <f>Q54+R54</f>
        <v>24018733</v>
      </c>
      <c r="T54" s="54">
        <f>S54/N54*100</f>
        <v>7.6377970057747584</v>
      </c>
      <c r="U54" s="43">
        <f t="shared" si="10"/>
        <v>290453267</v>
      </c>
      <c r="V54" s="42"/>
      <c r="W54" s="22"/>
      <c r="X54" s="22">
        <f t="shared" si="1"/>
        <v>7.6377970057747584</v>
      </c>
      <c r="Z54" s="22"/>
    </row>
    <row r="55" spans="1:27" x14ac:dyDescent="0.25">
      <c r="A55" s="24"/>
      <c r="B55" s="75"/>
      <c r="C55" s="89"/>
      <c r="D55" s="26"/>
      <c r="E55" s="26"/>
      <c r="F55" s="26"/>
      <c r="G55" s="27"/>
      <c r="H55" s="27"/>
      <c r="I55" s="26"/>
      <c r="J55" s="64"/>
      <c r="K55" s="56"/>
      <c r="L55" s="66"/>
      <c r="M55" s="30"/>
      <c r="N55" s="67"/>
      <c r="O55" s="66"/>
      <c r="P55" s="66"/>
      <c r="Q55" s="68"/>
      <c r="R55" s="29"/>
      <c r="S55" s="29"/>
      <c r="T55" s="32"/>
      <c r="U55" s="43"/>
      <c r="V55" s="42"/>
      <c r="W55" s="22"/>
      <c r="X55" s="22"/>
      <c r="Z55" s="22"/>
    </row>
    <row r="56" spans="1:27" x14ac:dyDescent="0.25">
      <c r="A56" s="24"/>
      <c r="B56" s="75"/>
      <c r="C56" s="89"/>
      <c r="D56" s="26"/>
      <c r="E56" s="26"/>
      <c r="F56" s="26"/>
      <c r="G56" s="27"/>
      <c r="H56" s="27"/>
      <c r="I56" s="26"/>
      <c r="J56" s="64"/>
      <c r="K56" s="56" t="s">
        <v>203</v>
      </c>
      <c r="L56" s="66">
        <v>357430000</v>
      </c>
      <c r="M56" s="30">
        <v>0</v>
      </c>
      <c r="N56" s="126">
        <f t="shared" si="8"/>
        <v>357430000</v>
      </c>
      <c r="O56" s="66"/>
      <c r="P56" s="66"/>
      <c r="Q56" s="76">
        <v>26309478</v>
      </c>
      <c r="R56" s="29"/>
      <c r="S56" s="84">
        <f>Q56+R56</f>
        <v>26309478</v>
      </c>
      <c r="T56" s="54">
        <f>S56/N56*100</f>
        <v>7.3607358084100376</v>
      </c>
      <c r="U56" s="43">
        <f t="shared" si="10"/>
        <v>331120522</v>
      </c>
      <c r="V56" s="42"/>
      <c r="W56" s="22"/>
      <c r="X56" s="22">
        <f t="shared" si="1"/>
        <v>7.3607358084100376</v>
      </c>
      <c r="Z56" s="22"/>
    </row>
    <row r="57" spans="1:27" x14ac:dyDescent="0.25">
      <c r="A57" s="24"/>
      <c r="B57" s="75"/>
      <c r="C57" s="89"/>
      <c r="D57" s="26"/>
      <c r="E57" s="26"/>
      <c r="F57" s="26"/>
      <c r="G57" s="27"/>
      <c r="H57" s="27"/>
      <c r="I57" s="26"/>
      <c r="J57" s="64"/>
      <c r="K57" s="56"/>
      <c r="L57" s="66"/>
      <c r="M57" s="30"/>
      <c r="N57" s="67"/>
      <c r="O57" s="66"/>
      <c r="P57" s="66"/>
      <c r="Q57" s="68"/>
      <c r="R57" s="29"/>
      <c r="S57" s="29"/>
      <c r="T57" s="32"/>
      <c r="U57" s="43"/>
      <c r="V57" s="42"/>
      <c r="W57" s="22"/>
      <c r="X57" s="22"/>
      <c r="Z57" s="22"/>
    </row>
    <row r="58" spans="1:27" x14ac:dyDescent="0.25">
      <c r="A58" s="24"/>
      <c r="B58" s="75"/>
      <c r="C58" s="89"/>
      <c r="D58" s="26"/>
      <c r="E58" s="26"/>
      <c r="F58" s="26"/>
      <c r="G58" s="27"/>
      <c r="H58" s="27"/>
      <c r="I58" s="26"/>
      <c r="J58" s="64"/>
      <c r="K58" s="56" t="s">
        <v>204</v>
      </c>
      <c r="L58" s="66">
        <v>10800000</v>
      </c>
      <c r="M58" s="30">
        <v>0</v>
      </c>
      <c r="N58" s="126">
        <f t="shared" si="8"/>
        <v>10800000</v>
      </c>
      <c r="O58" s="66"/>
      <c r="P58" s="66"/>
      <c r="Q58" s="68">
        <v>900000</v>
      </c>
      <c r="R58" s="29"/>
      <c r="S58" s="84">
        <f>Q58+R58</f>
        <v>900000</v>
      </c>
      <c r="T58" s="54">
        <f>S58/N58*100</f>
        <v>8.3333333333333321</v>
      </c>
      <c r="U58" s="43">
        <f t="shared" si="10"/>
        <v>9900000</v>
      </c>
      <c r="V58" s="42"/>
      <c r="W58" s="22"/>
      <c r="X58" s="22">
        <f t="shared" si="1"/>
        <v>8.3333333333333321</v>
      </c>
      <c r="Z58" s="22"/>
    </row>
    <row r="59" spans="1:27" x14ac:dyDescent="0.25">
      <c r="A59" s="24"/>
      <c r="B59" s="75"/>
      <c r="C59" s="89"/>
      <c r="D59" s="26"/>
      <c r="E59" s="26"/>
      <c r="F59" s="26"/>
      <c r="G59" s="27"/>
      <c r="H59" s="27"/>
      <c r="I59" s="26"/>
      <c r="J59" s="64"/>
      <c r="K59" s="28"/>
      <c r="L59" s="66"/>
      <c r="M59" s="30"/>
      <c r="N59" s="67"/>
      <c r="O59" s="66"/>
      <c r="P59" s="66"/>
      <c r="Q59" s="68"/>
      <c r="R59" s="29"/>
      <c r="S59" s="29"/>
      <c r="T59" s="32"/>
      <c r="U59" s="43"/>
      <c r="V59" s="42"/>
      <c r="W59" s="22"/>
      <c r="X59" s="22"/>
      <c r="Z59" s="22"/>
    </row>
    <row r="60" spans="1:27" x14ac:dyDescent="0.25">
      <c r="A60" s="24"/>
      <c r="B60" s="75"/>
      <c r="C60" s="89"/>
      <c r="D60" s="26"/>
      <c r="E60" s="26"/>
      <c r="F60" s="26"/>
      <c r="G60" s="27"/>
      <c r="H60" s="27"/>
      <c r="I60" s="26"/>
      <c r="J60" s="64"/>
      <c r="K60" s="56" t="s">
        <v>205</v>
      </c>
      <c r="L60" s="30">
        <v>41620000</v>
      </c>
      <c r="M60" s="30">
        <v>0</v>
      </c>
      <c r="N60" s="126">
        <f t="shared" si="8"/>
        <v>41620000</v>
      </c>
      <c r="O60" s="66"/>
      <c r="P60" s="66"/>
      <c r="Q60" s="226">
        <v>3115542</v>
      </c>
      <c r="R60" s="121">
        <v>0</v>
      </c>
      <c r="S60" s="84">
        <f>Q60+R60</f>
        <v>3115542</v>
      </c>
      <c r="T60" s="54">
        <f>S60/N60*100</f>
        <v>7.4856847669389719</v>
      </c>
      <c r="U60" s="117">
        <f t="shared" si="10"/>
        <v>38504458</v>
      </c>
      <c r="V60" s="42">
        <f t="shared" si="9"/>
        <v>19252229</v>
      </c>
      <c r="W60" s="22">
        <f t="shared" si="11"/>
        <v>7.4856847669389719</v>
      </c>
      <c r="X60" s="22">
        <f t="shared" si="1"/>
        <v>7.4856847669389719</v>
      </c>
      <c r="Z60" s="22">
        <f t="shared" si="12"/>
        <v>7.4856847669389719</v>
      </c>
    </row>
    <row r="61" spans="1:27" x14ac:dyDescent="0.25">
      <c r="A61" s="24"/>
      <c r="B61" s="75"/>
      <c r="C61" s="89"/>
      <c r="D61" s="26"/>
      <c r="E61" s="26"/>
      <c r="F61" s="26"/>
      <c r="G61" s="27"/>
      <c r="H61" s="27"/>
      <c r="I61" s="26"/>
      <c r="J61" s="64"/>
      <c r="K61" s="28"/>
      <c r="L61" s="66"/>
      <c r="M61" s="66"/>
      <c r="N61" s="67"/>
      <c r="O61" s="66"/>
      <c r="P61" s="66"/>
      <c r="Q61" s="68"/>
      <c r="R61" s="29"/>
      <c r="S61" s="29"/>
      <c r="T61" s="32"/>
      <c r="U61" s="43"/>
      <c r="V61" s="42">
        <f t="shared" si="9"/>
        <v>0</v>
      </c>
      <c r="W61" s="22"/>
      <c r="X61" s="22"/>
      <c r="Z61" s="22" t="e">
        <f t="shared" si="12"/>
        <v>#DIV/0!</v>
      </c>
    </row>
    <row r="62" spans="1:27" ht="17.25" x14ac:dyDescent="0.3">
      <c r="A62" s="24"/>
      <c r="B62" s="112"/>
      <c r="C62" s="93"/>
      <c r="D62" s="113"/>
      <c r="E62" s="94"/>
      <c r="F62" s="94"/>
      <c r="G62" s="79"/>
      <c r="H62" s="79"/>
      <c r="I62" s="94"/>
      <c r="J62" s="122"/>
      <c r="K62" s="198" t="s">
        <v>206</v>
      </c>
      <c r="L62" s="52">
        <f>L64+L66+L68+L70+L72</f>
        <v>108870000</v>
      </c>
      <c r="M62" s="52">
        <f>M70+M72</f>
        <v>0</v>
      </c>
      <c r="N62" s="52">
        <f t="shared" si="8"/>
        <v>108870000</v>
      </c>
      <c r="O62" s="116"/>
      <c r="P62" s="116"/>
      <c r="Q62" s="84">
        <f>Q64+Q66+Q68+Q70+Q72</f>
        <v>11365536</v>
      </c>
      <c r="R62" s="84">
        <v>0</v>
      </c>
      <c r="S62" s="84">
        <f>Q62+R62</f>
        <v>11365536</v>
      </c>
      <c r="T62" s="54">
        <f>S62/N62*100</f>
        <v>10.439548084871864</v>
      </c>
      <c r="U62" s="52">
        <f t="shared" si="10"/>
        <v>97504464</v>
      </c>
      <c r="V62" s="42">
        <f t="shared" si="9"/>
        <v>48752232</v>
      </c>
      <c r="W62" s="22">
        <f t="shared" si="11"/>
        <v>10.439548084871864</v>
      </c>
      <c r="X62" s="22">
        <f t="shared" si="1"/>
        <v>10.439548084871864</v>
      </c>
      <c r="Z62" s="65">
        <f t="shared" si="12"/>
        <v>10.439548084871864</v>
      </c>
      <c r="AA62" s="1" t="s">
        <v>114</v>
      </c>
    </row>
    <row r="63" spans="1:27" x14ac:dyDescent="0.25">
      <c r="A63" s="24"/>
      <c r="B63" s="75"/>
      <c r="C63" s="89"/>
      <c r="D63" s="26"/>
      <c r="E63" s="26"/>
      <c r="F63" s="26"/>
      <c r="G63" s="27"/>
      <c r="H63" s="27"/>
      <c r="I63" s="26"/>
      <c r="J63" s="64"/>
      <c r="K63" s="28"/>
      <c r="L63" s="66"/>
      <c r="M63" s="66"/>
      <c r="N63" s="67"/>
      <c r="O63" s="66"/>
      <c r="P63" s="66"/>
      <c r="Q63" s="68"/>
      <c r="R63" s="29"/>
      <c r="S63" s="29"/>
      <c r="T63" s="32"/>
      <c r="U63" s="43"/>
      <c r="V63" s="42">
        <f t="shared" si="9"/>
        <v>0</v>
      </c>
      <c r="W63" s="22"/>
      <c r="X63" s="22"/>
      <c r="Z63" s="22" t="e">
        <f t="shared" si="12"/>
        <v>#DIV/0!</v>
      </c>
    </row>
    <row r="64" spans="1:27" x14ac:dyDescent="0.25">
      <c r="A64" s="24"/>
      <c r="B64" s="75"/>
      <c r="C64" s="89"/>
      <c r="D64" s="26"/>
      <c r="E64" s="26"/>
      <c r="F64" s="26"/>
      <c r="G64" s="27"/>
      <c r="H64" s="27"/>
      <c r="I64" s="26"/>
      <c r="J64" s="64"/>
      <c r="K64" s="28" t="s">
        <v>207</v>
      </c>
      <c r="L64" s="66">
        <v>60090000</v>
      </c>
      <c r="M64" s="66">
        <v>0</v>
      </c>
      <c r="N64" s="126">
        <f t="shared" si="8"/>
        <v>60090000</v>
      </c>
      <c r="O64" s="66"/>
      <c r="P64" s="66"/>
      <c r="Q64" s="68">
        <v>5000000</v>
      </c>
      <c r="R64" s="29"/>
      <c r="S64" s="84">
        <f>Q64+R64</f>
        <v>5000000</v>
      </c>
      <c r="T64" s="54">
        <f>S64/N64*100</f>
        <v>8.320852055250457</v>
      </c>
      <c r="U64" s="43">
        <f t="shared" si="10"/>
        <v>55090000</v>
      </c>
      <c r="V64" s="42"/>
      <c r="W64" s="22"/>
      <c r="X64" s="22">
        <f t="shared" si="1"/>
        <v>8.320852055250457</v>
      </c>
      <c r="Z64" s="22"/>
    </row>
    <row r="65" spans="1:26" x14ac:dyDescent="0.25">
      <c r="A65" s="24"/>
      <c r="B65" s="75"/>
      <c r="C65" s="89"/>
      <c r="D65" s="26"/>
      <c r="E65" s="26"/>
      <c r="F65" s="26"/>
      <c r="G65" s="27"/>
      <c r="H65" s="27"/>
      <c r="I65" s="26"/>
      <c r="J65" s="64"/>
      <c r="K65" s="28"/>
      <c r="L65" s="66"/>
      <c r="M65" s="66"/>
      <c r="N65" s="67"/>
      <c r="O65" s="66"/>
      <c r="P65" s="66"/>
      <c r="Q65" s="68"/>
      <c r="R65" s="29"/>
      <c r="S65" s="29"/>
      <c r="T65" s="32"/>
      <c r="U65" s="43"/>
      <c r="V65" s="42"/>
      <c r="W65" s="22"/>
      <c r="X65" s="22"/>
      <c r="Z65" s="22"/>
    </row>
    <row r="66" spans="1:26" x14ac:dyDescent="0.25">
      <c r="A66" s="24"/>
      <c r="B66" s="75"/>
      <c r="C66" s="89"/>
      <c r="D66" s="26"/>
      <c r="E66" s="26"/>
      <c r="F66" s="26"/>
      <c r="G66" s="27"/>
      <c r="H66" s="27"/>
      <c r="I66" s="26"/>
      <c r="J66" s="64"/>
      <c r="K66" s="28" t="s">
        <v>208</v>
      </c>
      <c r="L66" s="66">
        <v>25700000</v>
      </c>
      <c r="M66" s="66">
        <v>0</v>
      </c>
      <c r="N66" s="126">
        <f t="shared" si="8"/>
        <v>25700000</v>
      </c>
      <c r="O66" s="66"/>
      <c r="P66" s="66"/>
      <c r="Q66" s="76">
        <v>4461698</v>
      </c>
      <c r="R66" s="29"/>
      <c r="S66" s="84">
        <f>Q66+R66</f>
        <v>4461698</v>
      </c>
      <c r="T66" s="54">
        <f>S66/N66*100</f>
        <v>17.360692607003891</v>
      </c>
      <c r="U66" s="43">
        <f t="shared" si="10"/>
        <v>21238302</v>
      </c>
      <c r="V66" s="42"/>
      <c r="W66" s="22"/>
      <c r="X66" s="22">
        <f t="shared" si="1"/>
        <v>17.360692607003891</v>
      </c>
      <c r="Z66" s="22"/>
    </row>
    <row r="67" spans="1:26" x14ac:dyDescent="0.25">
      <c r="A67" s="24"/>
      <c r="B67" s="75"/>
      <c r="C67" s="89"/>
      <c r="D67" s="26"/>
      <c r="E67" s="26"/>
      <c r="F67" s="26"/>
      <c r="G67" s="27"/>
      <c r="H67" s="27"/>
      <c r="I67" s="26"/>
      <c r="J67" s="64"/>
      <c r="K67" s="28"/>
      <c r="L67" s="66"/>
      <c r="M67" s="66"/>
      <c r="N67" s="67"/>
      <c r="O67" s="66"/>
      <c r="P67" s="66"/>
      <c r="Q67" s="68"/>
      <c r="R67" s="29"/>
      <c r="S67" s="29"/>
      <c r="T67" s="32"/>
      <c r="U67" s="43"/>
      <c r="V67" s="42"/>
      <c r="W67" s="22"/>
      <c r="X67" s="22"/>
      <c r="Z67" s="22"/>
    </row>
    <row r="68" spans="1:26" x14ac:dyDescent="0.25">
      <c r="A68" s="24"/>
      <c r="B68" s="75"/>
      <c r="C68" s="89"/>
      <c r="D68" s="26"/>
      <c r="E68" s="26"/>
      <c r="F68" s="26"/>
      <c r="G68" s="27"/>
      <c r="H68" s="27"/>
      <c r="I68" s="26"/>
      <c r="J68" s="64"/>
      <c r="K68" s="28" t="s">
        <v>209</v>
      </c>
      <c r="L68" s="66">
        <v>11180000</v>
      </c>
      <c r="M68" s="66">
        <v>0</v>
      </c>
      <c r="N68" s="126">
        <f t="shared" si="8"/>
        <v>11180000</v>
      </c>
      <c r="O68" s="66"/>
      <c r="P68" s="66"/>
      <c r="Q68" s="227">
        <v>1903838</v>
      </c>
      <c r="R68" s="29"/>
      <c r="S68" s="84">
        <f>Q68+R68</f>
        <v>1903838</v>
      </c>
      <c r="T68" s="54">
        <f>S68/N68*100</f>
        <v>17.028962432915922</v>
      </c>
      <c r="U68" s="43">
        <f t="shared" si="10"/>
        <v>9276162</v>
      </c>
      <c r="V68" s="42"/>
      <c r="W68" s="22"/>
      <c r="X68" s="22">
        <f t="shared" si="1"/>
        <v>17.028962432915922</v>
      </c>
      <c r="Z68" s="22"/>
    </row>
    <row r="69" spans="1:26" x14ac:dyDescent="0.25">
      <c r="A69" s="24"/>
      <c r="B69" s="75"/>
      <c r="C69" s="89"/>
      <c r="D69" s="26"/>
      <c r="E69" s="26"/>
      <c r="F69" s="26"/>
      <c r="G69" s="27"/>
      <c r="H69" s="27"/>
      <c r="I69" s="26"/>
      <c r="J69" s="64"/>
      <c r="K69" s="28"/>
      <c r="L69" s="66"/>
      <c r="M69" s="66"/>
      <c r="N69" s="67"/>
      <c r="O69" s="66"/>
      <c r="P69" s="66"/>
      <c r="Q69" s="68"/>
      <c r="R69" s="29"/>
      <c r="S69" s="29"/>
      <c r="T69" s="32"/>
      <c r="U69" s="43"/>
      <c r="V69" s="42"/>
      <c r="W69" s="22"/>
      <c r="X69" s="22"/>
      <c r="Z69" s="22"/>
    </row>
    <row r="70" spans="1:26" x14ac:dyDescent="0.25">
      <c r="A70" s="24"/>
      <c r="B70" s="75"/>
      <c r="C70" s="89"/>
      <c r="D70" s="26"/>
      <c r="E70" s="26"/>
      <c r="F70" s="26"/>
      <c r="G70" s="27"/>
      <c r="H70" s="27"/>
      <c r="I70" s="26"/>
      <c r="J70" s="64"/>
      <c r="K70" s="56" t="s">
        <v>210</v>
      </c>
      <c r="L70" s="30">
        <v>11500000</v>
      </c>
      <c r="M70" s="30">
        <v>0</v>
      </c>
      <c r="N70" s="126">
        <f t="shared" si="8"/>
        <v>11500000</v>
      </c>
      <c r="O70" s="66"/>
      <c r="P70" s="66"/>
      <c r="Q70" s="76">
        <v>0</v>
      </c>
      <c r="R70" s="29">
        <v>0</v>
      </c>
      <c r="S70" s="84">
        <f>Q70+R70</f>
        <v>0</v>
      </c>
      <c r="T70" s="20">
        <f>S70/N70*100</f>
        <v>0</v>
      </c>
      <c r="U70" s="117">
        <f t="shared" si="10"/>
        <v>11500000</v>
      </c>
      <c r="V70" s="42">
        <f t="shared" si="9"/>
        <v>5750000</v>
      </c>
      <c r="W70" s="22">
        <f t="shared" si="11"/>
        <v>0</v>
      </c>
      <c r="X70" s="22">
        <f t="shared" si="1"/>
        <v>0</v>
      </c>
      <c r="Z70" s="22">
        <f t="shared" si="12"/>
        <v>0</v>
      </c>
    </row>
    <row r="71" spans="1:26" x14ac:dyDescent="0.25">
      <c r="A71" s="24"/>
      <c r="B71" s="75"/>
      <c r="C71" s="89"/>
      <c r="D71" s="26"/>
      <c r="E71" s="26"/>
      <c r="F71" s="26"/>
      <c r="G71" s="27"/>
      <c r="H71" s="27"/>
      <c r="I71" s="26"/>
      <c r="J71" s="64"/>
      <c r="K71" s="56"/>
      <c r="L71" s="30" t="s">
        <v>212</v>
      </c>
      <c r="M71" s="30"/>
      <c r="N71" s="67"/>
      <c r="O71" s="66"/>
      <c r="P71" s="66"/>
      <c r="Q71" s="29"/>
      <c r="R71" s="29"/>
      <c r="S71" s="29"/>
      <c r="T71" s="32"/>
      <c r="U71" s="43"/>
      <c r="V71" s="42">
        <f t="shared" si="9"/>
        <v>0</v>
      </c>
      <c r="W71" s="22"/>
      <c r="X71" s="22"/>
      <c r="Z71" s="22" t="e">
        <f t="shared" si="12"/>
        <v>#DIV/0!</v>
      </c>
    </row>
    <row r="72" spans="1:26" x14ac:dyDescent="0.25">
      <c r="A72" s="24"/>
      <c r="B72" s="75"/>
      <c r="C72" s="89"/>
      <c r="D72" s="26"/>
      <c r="E72" s="26"/>
      <c r="F72" s="26"/>
      <c r="G72" s="27"/>
      <c r="H72" s="27"/>
      <c r="I72" s="26"/>
      <c r="J72" s="64"/>
      <c r="K72" s="56" t="s">
        <v>211</v>
      </c>
      <c r="L72" s="30">
        <v>400000</v>
      </c>
      <c r="M72" s="30">
        <v>0</v>
      </c>
      <c r="N72" s="126">
        <f t="shared" si="8"/>
        <v>400000</v>
      </c>
      <c r="O72" s="66"/>
      <c r="P72" s="66"/>
      <c r="Q72" s="29">
        <v>0</v>
      </c>
      <c r="R72" s="29">
        <v>0</v>
      </c>
      <c r="S72" s="84">
        <f>Q72+R72</f>
        <v>0</v>
      </c>
      <c r="T72" s="20">
        <f>S72/N72*100</f>
        <v>0</v>
      </c>
      <c r="U72" s="43">
        <f t="shared" si="10"/>
        <v>400000</v>
      </c>
      <c r="V72" s="42">
        <f t="shared" si="9"/>
        <v>200000</v>
      </c>
      <c r="W72" s="22">
        <f t="shared" si="11"/>
        <v>0</v>
      </c>
      <c r="X72" s="22">
        <f t="shared" si="1"/>
        <v>0</v>
      </c>
      <c r="Z72" s="22">
        <f t="shared" si="12"/>
        <v>0</v>
      </c>
    </row>
    <row r="73" spans="1:26" x14ac:dyDescent="0.25">
      <c r="A73" s="24"/>
      <c r="B73" s="75"/>
      <c r="C73" s="89"/>
      <c r="D73" s="26"/>
      <c r="E73" s="26"/>
      <c r="F73" s="26"/>
      <c r="G73" s="27"/>
      <c r="H73" s="27"/>
      <c r="I73" s="26"/>
      <c r="J73" s="64"/>
      <c r="K73" s="28"/>
      <c r="L73" s="66"/>
      <c r="M73" s="66"/>
      <c r="N73" s="67"/>
      <c r="O73" s="66"/>
      <c r="P73" s="66"/>
      <c r="Q73" s="68"/>
      <c r="R73" s="29"/>
      <c r="S73" s="29"/>
      <c r="T73" s="32"/>
      <c r="U73" s="43"/>
      <c r="V73" s="42">
        <f t="shared" si="9"/>
        <v>0</v>
      </c>
      <c r="W73" s="22"/>
      <c r="X73" s="22"/>
      <c r="Z73" s="22" t="e">
        <f t="shared" si="12"/>
        <v>#DIV/0!</v>
      </c>
    </row>
    <row r="74" spans="1:26" ht="17.25" x14ac:dyDescent="0.3">
      <c r="A74" s="24"/>
      <c r="B74" s="112"/>
      <c r="C74" s="93"/>
      <c r="D74" s="113"/>
      <c r="E74" s="94"/>
      <c r="F74" s="94"/>
      <c r="G74" s="79"/>
      <c r="H74" s="79"/>
      <c r="I74" s="94"/>
      <c r="J74" s="122"/>
      <c r="K74" s="197" t="s">
        <v>213</v>
      </c>
      <c r="L74" s="52">
        <v>1000000</v>
      </c>
      <c r="M74" s="52">
        <v>0</v>
      </c>
      <c r="N74" s="52">
        <f t="shared" si="8"/>
        <v>1000000</v>
      </c>
      <c r="O74" s="116"/>
      <c r="P74" s="116"/>
      <c r="Q74" s="84">
        <v>500000</v>
      </c>
      <c r="R74" s="84">
        <v>0</v>
      </c>
      <c r="S74" s="84">
        <f>Q74+R74</f>
        <v>500000</v>
      </c>
      <c r="T74" s="54">
        <f>S74/N74*100</f>
        <v>50</v>
      </c>
      <c r="U74" s="52">
        <f t="shared" si="10"/>
        <v>500000</v>
      </c>
      <c r="V74" s="42">
        <f t="shared" si="9"/>
        <v>250000</v>
      </c>
      <c r="W74" s="22">
        <f t="shared" si="11"/>
        <v>50</v>
      </c>
      <c r="X74" s="22">
        <f t="shared" si="1"/>
        <v>50</v>
      </c>
      <c r="Z74" s="65">
        <f t="shared" si="12"/>
        <v>50</v>
      </c>
    </row>
    <row r="75" spans="1:26" x14ac:dyDescent="0.25">
      <c r="A75" s="24"/>
      <c r="B75" s="75"/>
      <c r="C75" s="89"/>
      <c r="D75" s="26"/>
      <c r="E75" s="26"/>
      <c r="F75" s="26"/>
      <c r="G75" s="27"/>
      <c r="H75" s="27"/>
      <c r="I75" s="26"/>
      <c r="J75" s="64"/>
      <c r="K75" s="28"/>
      <c r="L75" s="66"/>
      <c r="M75" s="66"/>
      <c r="N75" s="67"/>
      <c r="O75" s="66"/>
      <c r="P75" s="66"/>
      <c r="Q75" s="68"/>
      <c r="R75" s="29"/>
      <c r="S75" s="29"/>
      <c r="T75" s="32"/>
      <c r="U75" s="43"/>
      <c r="V75" s="42">
        <f t="shared" si="9"/>
        <v>0</v>
      </c>
      <c r="W75" s="22"/>
      <c r="X75" s="22"/>
      <c r="Z75" s="22" t="e">
        <f t="shared" si="12"/>
        <v>#DIV/0!</v>
      </c>
    </row>
    <row r="76" spans="1:26" x14ac:dyDescent="0.25">
      <c r="A76" s="24"/>
      <c r="B76" s="112"/>
      <c r="C76" s="93"/>
      <c r="D76" s="113"/>
      <c r="E76" s="113"/>
      <c r="F76" s="94"/>
      <c r="G76" s="79"/>
      <c r="H76" s="79"/>
      <c r="I76" s="94"/>
      <c r="J76" s="122"/>
      <c r="K76" s="115" t="s">
        <v>214</v>
      </c>
      <c r="L76" s="52">
        <f>L78+L80</f>
        <v>60000000</v>
      </c>
      <c r="M76" s="52">
        <f>M78+M80</f>
        <v>0</v>
      </c>
      <c r="N76" s="52">
        <f t="shared" si="8"/>
        <v>60000000</v>
      </c>
      <c r="O76" s="116"/>
      <c r="P76" s="116"/>
      <c r="Q76" s="84">
        <f>Q78+Q80</f>
        <v>960000</v>
      </c>
      <c r="R76" s="84">
        <v>0</v>
      </c>
      <c r="S76" s="84">
        <f>Q76+R76</f>
        <v>960000</v>
      </c>
      <c r="T76" s="54">
        <f>S76/N76*100</f>
        <v>1.6</v>
      </c>
      <c r="U76" s="52">
        <f t="shared" si="10"/>
        <v>59040000</v>
      </c>
      <c r="V76" s="42">
        <f t="shared" si="9"/>
        <v>29520000</v>
      </c>
      <c r="W76" s="22">
        <f t="shared" si="11"/>
        <v>1.6</v>
      </c>
      <c r="X76" s="22">
        <f t="shared" ref="X76:X130" si="13">Q76/N76*100</f>
        <v>1.6</v>
      </c>
      <c r="Z76" s="65">
        <f t="shared" si="12"/>
        <v>1.6</v>
      </c>
    </row>
    <row r="77" spans="1:26" x14ac:dyDescent="0.25">
      <c r="A77" s="24"/>
      <c r="B77" s="75"/>
      <c r="C77" s="89"/>
      <c r="D77" s="26"/>
      <c r="E77" s="26"/>
      <c r="F77" s="26"/>
      <c r="G77" s="27"/>
      <c r="H77" s="27"/>
      <c r="I77" s="26"/>
      <c r="J77" s="64"/>
      <c r="K77" s="28"/>
      <c r="L77" s="66"/>
      <c r="M77" s="66"/>
      <c r="N77" s="67"/>
      <c r="O77" s="66"/>
      <c r="P77" s="66"/>
      <c r="Q77" s="68"/>
      <c r="R77" s="29"/>
      <c r="S77" s="29"/>
      <c r="T77" s="32"/>
      <c r="U77" s="43"/>
      <c r="V77" s="42">
        <f t="shared" si="9"/>
        <v>0</v>
      </c>
      <c r="W77" s="22"/>
      <c r="X77" s="22"/>
      <c r="Z77" s="22" t="e">
        <f t="shared" si="12"/>
        <v>#DIV/0!</v>
      </c>
    </row>
    <row r="78" spans="1:26" x14ac:dyDescent="0.25">
      <c r="A78" s="24"/>
      <c r="B78" s="75"/>
      <c r="C78" s="89"/>
      <c r="D78" s="26"/>
      <c r="E78" s="26"/>
      <c r="F78" s="26"/>
      <c r="G78" s="27"/>
      <c r="H78" s="27"/>
      <c r="I78" s="26"/>
      <c r="J78" s="64"/>
      <c r="K78" s="56" t="s">
        <v>128</v>
      </c>
      <c r="L78" s="30">
        <v>28000000</v>
      </c>
      <c r="M78" s="30">
        <v>0</v>
      </c>
      <c r="N78" s="126">
        <f t="shared" si="8"/>
        <v>28000000</v>
      </c>
      <c r="O78" s="66"/>
      <c r="P78" s="66"/>
      <c r="Q78" s="76">
        <v>960000</v>
      </c>
      <c r="R78" s="29">
        <v>0</v>
      </c>
      <c r="S78" s="29">
        <f>Q78+R78</f>
        <v>960000</v>
      </c>
      <c r="T78" s="20">
        <f>S78/N78*100</f>
        <v>3.4285714285714288</v>
      </c>
      <c r="U78" s="43">
        <f t="shared" si="10"/>
        <v>27040000</v>
      </c>
      <c r="V78" s="42">
        <f t="shared" si="9"/>
        <v>13520000</v>
      </c>
      <c r="W78" s="22">
        <f t="shared" si="11"/>
        <v>3.4285714285714288</v>
      </c>
      <c r="X78" s="22">
        <f t="shared" si="13"/>
        <v>3.4285714285714288</v>
      </c>
      <c r="Z78" s="22">
        <f t="shared" si="12"/>
        <v>3.4285714285714288</v>
      </c>
    </row>
    <row r="79" spans="1:26" x14ac:dyDescent="0.25">
      <c r="A79" s="24"/>
      <c r="B79" s="75"/>
      <c r="C79" s="89"/>
      <c r="D79" s="26"/>
      <c r="E79" s="26"/>
      <c r="F79" s="26"/>
      <c r="G79" s="27"/>
      <c r="H79" s="27"/>
      <c r="I79" s="26"/>
      <c r="J79" s="64"/>
      <c r="K79" s="56"/>
      <c r="L79" s="30"/>
      <c r="M79" s="30"/>
      <c r="N79" s="67"/>
      <c r="O79" s="66"/>
      <c r="P79" s="66"/>
      <c r="Q79" s="29"/>
      <c r="R79" s="29"/>
      <c r="S79" s="29"/>
      <c r="T79" s="32"/>
      <c r="U79" s="43"/>
      <c r="V79" s="42">
        <f t="shared" si="9"/>
        <v>0</v>
      </c>
      <c r="W79" s="22"/>
      <c r="X79" s="22"/>
      <c r="Z79" s="22" t="e">
        <f t="shared" si="12"/>
        <v>#DIV/0!</v>
      </c>
    </row>
    <row r="80" spans="1:26" x14ac:dyDescent="0.25">
      <c r="A80" s="24"/>
      <c r="B80" s="75"/>
      <c r="C80" s="89"/>
      <c r="D80" s="26"/>
      <c r="E80" s="26"/>
      <c r="F80" s="26"/>
      <c r="G80" s="27"/>
      <c r="H80" s="27"/>
      <c r="I80" s="26"/>
      <c r="J80" s="64"/>
      <c r="K80" s="56" t="s">
        <v>129</v>
      </c>
      <c r="L80" s="30">
        <v>32000000</v>
      </c>
      <c r="M80" s="30">
        <v>0</v>
      </c>
      <c r="N80" s="126">
        <f t="shared" si="8"/>
        <v>32000000</v>
      </c>
      <c r="O80" s="66"/>
      <c r="P80" s="66"/>
      <c r="Q80" s="29">
        <v>0</v>
      </c>
      <c r="R80" s="29">
        <v>0</v>
      </c>
      <c r="S80" s="29">
        <f>Q80+R80</f>
        <v>0</v>
      </c>
      <c r="T80" s="20">
        <f>S80/N80*100</f>
        <v>0</v>
      </c>
      <c r="U80" s="43">
        <f t="shared" si="10"/>
        <v>32000000</v>
      </c>
      <c r="V80" s="42">
        <f t="shared" si="9"/>
        <v>16000000</v>
      </c>
      <c r="W80" s="22">
        <f t="shared" si="11"/>
        <v>0</v>
      </c>
      <c r="X80" s="22">
        <f t="shared" si="13"/>
        <v>0</v>
      </c>
      <c r="Z80" s="22">
        <f t="shared" si="12"/>
        <v>0</v>
      </c>
    </row>
    <row r="81" spans="1:26" x14ac:dyDescent="0.25">
      <c r="A81" s="24"/>
      <c r="B81" s="75"/>
      <c r="C81" s="89"/>
      <c r="D81" s="26"/>
      <c r="E81" s="26"/>
      <c r="F81" s="26"/>
      <c r="G81" s="27"/>
      <c r="H81" s="27"/>
      <c r="I81" s="26"/>
      <c r="J81" s="64"/>
      <c r="K81" s="28"/>
      <c r="L81" s="66"/>
      <c r="M81" s="66"/>
      <c r="N81" s="67"/>
      <c r="O81" s="66"/>
      <c r="P81" s="66"/>
      <c r="Q81" s="68"/>
      <c r="R81" s="29"/>
      <c r="S81" s="29"/>
      <c r="T81" s="32"/>
      <c r="U81" s="43"/>
      <c r="V81" s="42">
        <f t="shared" si="9"/>
        <v>0</v>
      </c>
      <c r="W81" s="22"/>
      <c r="X81" s="22"/>
      <c r="Z81" s="22" t="e">
        <f t="shared" si="12"/>
        <v>#DIV/0!</v>
      </c>
    </row>
    <row r="82" spans="1:26" x14ac:dyDescent="0.25">
      <c r="A82" s="24"/>
      <c r="B82" s="112"/>
      <c r="C82" s="93"/>
      <c r="D82" s="113"/>
      <c r="E82" s="94"/>
      <c r="F82" s="94"/>
      <c r="G82" s="79"/>
      <c r="H82" s="79"/>
      <c r="I82" s="94"/>
      <c r="J82" s="122"/>
      <c r="K82" s="115" t="s">
        <v>215</v>
      </c>
      <c r="L82" s="52">
        <v>10000000</v>
      </c>
      <c r="M82" s="52">
        <v>0</v>
      </c>
      <c r="N82" s="52">
        <f t="shared" si="8"/>
        <v>10000000</v>
      </c>
      <c r="O82" s="116"/>
      <c r="P82" s="116"/>
      <c r="Q82" s="84">
        <v>0</v>
      </c>
      <c r="R82" s="84">
        <v>0</v>
      </c>
      <c r="S82" s="84">
        <f>Q82+R82</f>
        <v>0</v>
      </c>
      <c r="T82" s="54">
        <f>S82/N82*100</f>
        <v>0</v>
      </c>
      <c r="U82" s="52">
        <f t="shared" si="10"/>
        <v>10000000</v>
      </c>
      <c r="V82" s="42">
        <f t="shared" si="9"/>
        <v>5000000</v>
      </c>
      <c r="W82" s="22">
        <f t="shared" si="11"/>
        <v>0</v>
      </c>
      <c r="X82" s="22">
        <f t="shared" si="13"/>
        <v>0</v>
      </c>
      <c r="Z82" s="65">
        <f t="shared" si="12"/>
        <v>0</v>
      </c>
    </row>
    <row r="83" spans="1:26" x14ac:dyDescent="0.25">
      <c r="A83" s="24"/>
      <c r="B83" s="75"/>
      <c r="C83" s="89"/>
      <c r="D83" s="26"/>
      <c r="E83" s="26"/>
      <c r="F83" s="26"/>
      <c r="G83" s="27"/>
      <c r="H83" s="27"/>
      <c r="I83" s="26"/>
      <c r="J83" s="64"/>
      <c r="K83" s="28"/>
      <c r="L83" s="66"/>
      <c r="M83" s="66"/>
      <c r="N83" s="67"/>
      <c r="O83" s="66"/>
      <c r="P83" s="66"/>
      <c r="Q83" s="68"/>
      <c r="R83" s="29"/>
      <c r="S83" s="29"/>
      <c r="T83" s="32"/>
      <c r="U83" s="43"/>
      <c r="V83" s="42">
        <f t="shared" ref="V83:V130" si="14">U83/2</f>
        <v>0</v>
      </c>
      <c r="W83" s="22"/>
      <c r="X83" s="22"/>
      <c r="Z83" s="22" t="e">
        <f t="shared" si="12"/>
        <v>#DIV/0!</v>
      </c>
    </row>
    <row r="84" spans="1:26" x14ac:dyDescent="0.25">
      <c r="A84" s="24"/>
      <c r="B84" s="200"/>
      <c r="C84" s="201"/>
      <c r="D84" s="202"/>
      <c r="E84" s="202"/>
      <c r="F84" s="202"/>
      <c r="G84" s="203"/>
      <c r="H84" s="203"/>
      <c r="I84" s="202"/>
      <c r="J84" s="204"/>
      <c r="K84" s="199" t="s">
        <v>216</v>
      </c>
      <c r="L84" s="205">
        <f>L86+L88</f>
        <v>48000000</v>
      </c>
      <c r="M84" s="205">
        <v>0</v>
      </c>
      <c r="N84" s="205">
        <f>L84-M84</f>
        <v>48000000</v>
      </c>
      <c r="O84" s="205"/>
      <c r="P84" s="205"/>
      <c r="Q84" s="206">
        <f>Q86+Q88</f>
        <v>0</v>
      </c>
      <c r="R84" s="206">
        <f>R86+R88</f>
        <v>0</v>
      </c>
      <c r="S84" s="84">
        <f>Q84+R84</f>
        <v>0</v>
      </c>
      <c r="T84" s="54">
        <f>S84/N84*100</f>
        <v>0</v>
      </c>
      <c r="U84" s="52">
        <f t="shared" si="10"/>
        <v>48000000</v>
      </c>
      <c r="V84" s="42"/>
      <c r="W84" s="22"/>
      <c r="X84" s="22">
        <f t="shared" si="13"/>
        <v>0</v>
      </c>
      <c r="Z84" s="22"/>
    </row>
    <row r="85" spans="1:26" x14ac:dyDescent="0.25">
      <c r="A85" s="24"/>
      <c r="B85" s="75"/>
      <c r="C85" s="89"/>
      <c r="D85" s="26"/>
      <c r="E85" s="26"/>
      <c r="F85" s="26"/>
      <c r="G85" s="27"/>
      <c r="H85" s="27"/>
      <c r="I85" s="26"/>
      <c r="J85" s="64"/>
      <c r="K85" s="28"/>
      <c r="L85" s="66"/>
      <c r="M85" s="66"/>
      <c r="N85" s="67"/>
      <c r="O85" s="66"/>
      <c r="P85" s="66"/>
      <c r="Q85" s="68"/>
      <c r="R85" s="29"/>
      <c r="S85" s="29"/>
      <c r="T85" s="32"/>
      <c r="U85" s="43"/>
      <c r="V85" s="42"/>
      <c r="W85" s="22"/>
      <c r="X85" s="22"/>
      <c r="Z85" s="22"/>
    </row>
    <row r="86" spans="1:26" x14ac:dyDescent="0.25">
      <c r="A86" s="24"/>
      <c r="B86" s="75"/>
      <c r="C86" s="89"/>
      <c r="D86" s="26"/>
      <c r="E86" s="26"/>
      <c r="F86" s="26"/>
      <c r="G86" s="27"/>
      <c r="H86" s="27"/>
      <c r="I86" s="26"/>
      <c r="J86" s="64"/>
      <c r="K86" s="28" t="s">
        <v>217</v>
      </c>
      <c r="L86" s="66">
        <v>43000000</v>
      </c>
      <c r="M86" s="66">
        <v>0</v>
      </c>
      <c r="N86" s="126">
        <f t="shared" ref="N86" si="15">L86-M86</f>
        <v>43000000</v>
      </c>
      <c r="O86" s="66"/>
      <c r="P86" s="66"/>
      <c r="Q86" s="68"/>
      <c r="R86" s="29"/>
      <c r="S86" s="29"/>
      <c r="T86" s="32"/>
      <c r="U86" s="43"/>
      <c r="V86" s="42"/>
      <c r="W86" s="22"/>
      <c r="X86" s="22">
        <f t="shared" si="13"/>
        <v>0</v>
      </c>
      <c r="Z86" s="22"/>
    </row>
    <row r="87" spans="1:26" x14ac:dyDescent="0.25">
      <c r="A87" s="24"/>
      <c r="B87" s="75"/>
      <c r="C87" s="89"/>
      <c r="D87" s="26"/>
      <c r="E87" s="26"/>
      <c r="F87" s="26"/>
      <c r="G87" s="27"/>
      <c r="H87" s="27"/>
      <c r="I87" s="26"/>
      <c r="J87" s="64"/>
      <c r="K87" s="28"/>
      <c r="L87" s="66"/>
      <c r="M87" s="66"/>
      <c r="N87" s="67"/>
      <c r="O87" s="66"/>
      <c r="P87" s="66"/>
      <c r="Q87" s="68"/>
      <c r="R87" s="29"/>
      <c r="S87" s="29"/>
      <c r="T87" s="32"/>
      <c r="U87" s="43"/>
      <c r="V87" s="42"/>
      <c r="W87" s="22"/>
      <c r="X87" s="22"/>
      <c r="Z87" s="22"/>
    </row>
    <row r="88" spans="1:26" x14ac:dyDescent="0.25">
      <c r="A88" s="24"/>
      <c r="B88" s="75"/>
      <c r="C88" s="89"/>
      <c r="D88" s="26"/>
      <c r="E88" s="26"/>
      <c r="F88" s="26"/>
      <c r="G88" s="27"/>
      <c r="H88" s="27"/>
      <c r="I88" s="26"/>
      <c r="J88" s="64"/>
      <c r="K88" s="28" t="s">
        <v>218</v>
      </c>
      <c r="L88" s="66">
        <v>5000000</v>
      </c>
      <c r="M88" s="66">
        <v>0</v>
      </c>
      <c r="N88" s="126">
        <f t="shared" ref="N88" si="16">L88-M88</f>
        <v>5000000</v>
      </c>
      <c r="O88" s="66"/>
      <c r="P88" s="66"/>
      <c r="Q88" s="68"/>
      <c r="R88" s="29"/>
      <c r="S88" s="29"/>
      <c r="T88" s="32"/>
      <c r="U88" s="43"/>
      <c r="V88" s="42"/>
      <c r="W88" s="22"/>
      <c r="X88" s="22">
        <f t="shared" si="13"/>
        <v>0</v>
      </c>
      <c r="Z88" s="22"/>
    </row>
    <row r="89" spans="1:26" x14ac:dyDescent="0.25">
      <c r="A89" s="24"/>
      <c r="B89" s="75"/>
      <c r="C89" s="89"/>
      <c r="D89" s="26"/>
      <c r="E89" s="26"/>
      <c r="F89" s="26"/>
      <c r="G89" s="27"/>
      <c r="H89" s="27"/>
      <c r="I89" s="26"/>
      <c r="J89" s="64"/>
      <c r="K89" s="28"/>
      <c r="L89" s="66"/>
      <c r="M89" s="66"/>
      <c r="N89" s="126"/>
      <c r="O89" s="66"/>
      <c r="P89" s="66"/>
      <c r="Q89" s="68"/>
      <c r="R89" s="29"/>
      <c r="S89" s="29"/>
      <c r="T89" s="32"/>
      <c r="U89" s="43"/>
      <c r="V89" s="42"/>
      <c r="W89" s="22"/>
      <c r="X89" s="22"/>
      <c r="Z89" s="22"/>
    </row>
    <row r="90" spans="1:26" x14ac:dyDescent="0.25">
      <c r="A90" s="24"/>
      <c r="B90" s="200"/>
      <c r="C90" s="201"/>
      <c r="D90" s="202"/>
      <c r="E90" s="202"/>
      <c r="F90" s="202"/>
      <c r="G90" s="203"/>
      <c r="H90" s="203"/>
      <c r="I90" s="202"/>
      <c r="J90" s="204"/>
      <c r="K90" s="199" t="s">
        <v>219</v>
      </c>
      <c r="L90" s="205">
        <v>12500000</v>
      </c>
      <c r="M90" s="205">
        <v>0</v>
      </c>
      <c r="N90" s="205">
        <f>L90-M90</f>
        <v>12500000</v>
      </c>
      <c r="O90" s="205"/>
      <c r="P90" s="205"/>
      <c r="Q90" s="206">
        <v>0</v>
      </c>
      <c r="R90" s="207"/>
      <c r="S90" s="84">
        <f>Q90+R90</f>
        <v>0</v>
      </c>
      <c r="T90" s="54">
        <f>S90/N90*100</f>
        <v>0</v>
      </c>
      <c r="U90" s="52">
        <f t="shared" ref="U90" si="17">N90-S90</f>
        <v>12500000</v>
      </c>
      <c r="V90" s="42"/>
      <c r="W90" s="22"/>
      <c r="X90" s="22">
        <f t="shared" si="13"/>
        <v>0</v>
      </c>
      <c r="Z90" s="22"/>
    </row>
    <row r="91" spans="1:26" x14ac:dyDescent="0.25">
      <c r="A91" s="24"/>
      <c r="B91" s="75"/>
      <c r="C91" s="89"/>
      <c r="D91" s="26"/>
      <c r="E91" s="26"/>
      <c r="F91" s="26"/>
      <c r="G91" s="27"/>
      <c r="H91" s="27"/>
      <c r="I91" s="26"/>
      <c r="J91" s="64"/>
      <c r="K91" s="28"/>
      <c r="L91" s="66"/>
      <c r="M91" s="66"/>
      <c r="N91" s="126"/>
      <c r="O91" s="66"/>
      <c r="P91" s="66"/>
      <c r="Q91" s="68"/>
      <c r="R91" s="29"/>
      <c r="S91" s="29"/>
      <c r="T91" s="32"/>
      <c r="U91" s="43"/>
      <c r="V91" s="42"/>
      <c r="W91" s="22"/>
      <c r="X91" s="22"/>
      <c r="Z91" s="22"/>
    </row>
    <row r="92" spans="1:26" x14ac:dyDescent="0.25">
      <c r="A92" s="24"/>
      <c r="B92" s="200"/>
      <c r="C92" s="201"/>
      <c r="D92" s="202"/>
      <c r="E92" s="202"/>
      <c r="F92" s="202"/>
      <c r="G92" s="203"/>
      <c r="H92" s="203"/>
      <c r="I92" s="202"/>
      <c r="J92" s="204"/>
      <c r="K92" s="199" t="s">
        <v>220</v>
      </c>
      <c r="L92" s="205">
        <v>15000000</v>
      </c>
      <c r="M92" s="205">
        <v>0</v>
      </c>
      <c r="N92" s="205">
        <f>L92-M92</f>
        <v>15000000</v>
      </c>
      <c r="O92" s="205"/>
      <c r="P92" s="205"/>
      <c r="Q92" s="206">
        <v>0</v>
      </c>
      <c r="R92" s="207"/>
      <c r="S92" s="84">
        <f>Q92+R92</f>
        <v>0</v>
      </c>
      <c r="T92" s="54">
        <f>S92/N92*100</f>
        <v>0</v>
      </c>
      <c r="U92" s="52">
        <f t="shared" ref="U92" si="18">N92-S92</f>
        <v>15000000</v>
      </c>
      <c r="V92" s="42"/>
      <c r="W92" s="22"/>
      <c r="X92" s="22">
        <f t="shared" si="13"/>
        <v>0</v>
      </c>
      <c r="Z92" s="22"/>
    </row>
    <row r="93" spans="1:26" x14ac:dyDescent="0.25">
      <c r="A93" s="24"/>
      <c r="B93" s="75"/>
      <c r="C93" s="89"/>
      <c r="D93" s="26"/>
      <c r="E93" s="26"/>
      <c r="F93" s="26"/>
      <c r="G93" s="27"/>
      <c r="H93" s="27"/>
      <c r="I93" s="26"/>
      <c r="J93" s="64"/>
      <c r="K93" s="28"/>
      <c r="L93" s="66"/>
      <c r="M93" s="66"/>
      <c r="N93" s="67"/>
      <c r="O93" s="66"/>
      <c r="P93" s="66"/>
      <c r="Q93" s="68"/>
      <c r="R93" s="29"/>
      <c r="S93" s="29"/>
      <c r="T93" s="32"/>
      <c r="U93" s="43"/>
      <c r="V93" s="42"/>
      <c r="W93" s="22"/>
      <c r="X93" s="22"/>
      <c r="Z93" s="22"/>
    </row>
    <row r="94" spans="1:26" x14ac:dyDescent="0.25">
      <c r="A94" s="39"/>
      <c r="B94" s="36"/>
      <c r="C94" s="133"/>
      <c r="D94" s="37"/>
      <c r="E94" s="37"/>
      <c r="F94" s="37"/>
      <c r="G94" s="38"/>
      <c r="H94" s="38"/>
      <c r="I94" s="37"/>
      <c r="J94" s="134"/>
      <c r="K94" s="34" t="s">
        <v>135</v>
      </c>
      <c r="L94" s="41">
        <f>L97+L109</f>
        <v>656145000</v>
      </c>
      <c r="M94" s="41">
        <f>M97+M109</f>
        <v>0</v>
      </c>
      <c r="N94" s="41">
        <f>L94-M94</f>
        <v>656145000</v>
      </c>
      <c r="O94" s="135"/>
      <c r="P94" s="135"/>
      <c r="Q94" s="41">
        <f>Q97+Q109</f>
        <v>18140000</v>
      </c>
      <c r="R94" s="41">
        <v>0</v>
      </c>
      <c r="S94" s="41">
        <f>Q94+R94</f>
        <v>18140000</v>
      </c>
      <c r="T94" s="136">
        <f>S94/N94*100</f>
        <v>2.7646328174412669</v>
      </c>
      <c r="U94" s="42">
        <f t="shared" ref="U94:U120" si="19">N94-S94</f>
        <v>638005000</v>
      </c>
      <c r="V94" s="42">
        <f t="shared" si="14"/>
        <v>319002500</v>
      </c>
      <c r="W94" s="22">
        <f>Q94/N94*100</f>
        <v>2.7646328174412669</v>
      </c>
      <c r="X94" s="22">
        <f t="shared" si="13"/>
        <v>2.7646328174412669</v>
      </c>
      <c r="Z94" s="22">
        <f t="shared" si="12"/>
        <v>2.7646328174412669</v>
      </c>
    </row>
    <row r="95" spans="1:26" x14ac:dyDescent="0.25">
      <c r="A95" s="24"/>
      <c r="B95" s="75"/>
      <c r="C95" s="89"/>
      <c r="D95" s="26"/>
      <c r="E95" s="26"/>
      <c r="F95" s="26"/>
      <c r="G95" s="27"/>
      <c r="H95" s="27"/>
      <c r="I95" s="26"/>
      <c r="J95" s="64"/>
      <c r="K95" s="28"/>
      <c r="L95" s="66"/>
      <c r="M95" s="66"/>
      <c r="N95" s="67"/>
      <c r="O95" s="66"/>
      <c r="P95" s="66"/>
      <c r="Q95" s="68"/>
      <c r="R95" s="29"/>
      <c r="S95" s="29"/>
      <c r="T95" s="32"/>
      <c r="U95" s="43"/>
      <c r="V95" s="42">
        <f t="shared" si="14"/>
        <v>0</v>
      </c>
      <c r="W95" s="22"/>
      <c r="X95" s="22"/>
      <c r="Z95" s="22" t="e">
        <f t="shared" ref="Z95:Z129" si="20">Q95/N95*100</f>
        <v>#DIV/0!</v>
      </c>
    </row>
    <row r="96" spans="1:26" x14ac:dyDescent="0.25">
      <c r="A96" s="24"/>
      <c r="B96" s="75"/>
      <c r="C96" s="89"/>
      <c r="D96" s="26"/>
      <c r="E96" s="26"/>
      <c r="F96" s="26"/>
      <c r="G96" s="27"/>
      <c r="H96" s="27"/>
      <c r="I96" s="26"/>
      <c r="J96" s="64"/>
      <c r="K96" s="28"/>
      <c r="L96" s="66"/>
      <c r="M96" s="66"/>
      <c r="N96" s="67"/>
      <c r="O96" s="66"/>
      <c r="P96" s="66"/>
      <c r="Q96" s="68"/>
      <c r="R96" s="29"/>
      <c r="S96" s="29"/>
      <c r="T96" s="32"/>
      <c r="U96" s="43"/>
      <c r="V96" s="42">
        <f t="shared" si="14"/>
        <v>0</v>
      </c>
      <c r="W96" s="22"/>
      <c r="X96" s="22"/>
      <c r="Z96" s="22" t="e">
        <f t="shared" si="20"/>
        <v>#DIV/0!</v>
      </c>
    </row>
    <row r="97" spans="1:26" x14ac:dyDescent="0.25">
      <c r="A97" s="24"/>
      <c r="B97" s="112"/>
      <c r="C97" s="93"/>
      <c r="D97" s="113"/>
      <c r="E97" s="94"/>
      <c r="F97" s="94"/>
      <c r="G97" s="79"/>
      <c r="H97" s="79"/>
      <c r="I97" s="94"/>
      <c r="J97" s="122"/>
      <c r="K97" s="115" t="s">
        <v>137</v>
      </c>
      <c r="L97" s="52">
        <f>L99+L101+L103+L105+L107</f>
        <v>189650000</v>
      </c>
      <c r="M97" s="52">
        <f>M99+M101+M103+M105</f>
        <v>0</v>
      </c>
      <c r="N97" s="52">
        <f t="shared" ref="N97" si="21">L97-M97</f>
        <v>189650000</v>
      </c>
      <c r="O97" s="116"/>
      <c r="P97" s="116"/>
      <c r="Q97" s="84">
        <f>Q99+Q101+Q103+Q105</f>
        <v>0</v>
      </c>
      <c r="R97" s="84">
        <v>0</v>
      </c>
      <c r="S97" s="84">
        <f>Q97+R97</f>
        <v>0</v>
      </c>
      <c r="T97" s="54">
        <f>S97/N97*100</f>
        <v>0</v>
      </c>
      <c r="U97" s="52">
        <f t="shared" si="19"/>
        <v>189650000</v>
      </c>
      <c r="V97" s="42">
        <f t="shared" si="14"/>
        <v>94825000</v>
      </c>
      <c r="W97" s="22">
        <f t="shared" ref="W97:W130" si="22">Q97/N97*100</f>
        <v>0</v>
      </c>
      <c r="X97" s="22">
        <f t="shared" si="13"/>
        <v>0</v>
      </c>
      <c r="Z97" s="65">
        <f t="shared" si="20"/>
        <v>0</v>
      </c>
    </row>
    <row r="98" spans="1:26" x14ac:dyDescent="0.25">
      <c r="A98" s="24"/>
      <c r="B98" s="75"/>
      <c r="C98" s="89"/>
      <c r="D98" s="26"/>
      <c r="E98" s="26"/>
      <c r="F98" s="26"/>
      <c r="G98" s="27"/>
      <c r="H98" s="27"/>
      <c r="I98" s="26"/>
      <c r="J98" s="64"/>
      <c r="K98" s="28"/>
      <c r="L98" s="66"/>
      <c r="M98" s="66"/>
      <c r="N98" s="67">
        <f t="shared" ref="N98:N128" si="23">L98-M98</f>
        <v>0</v>
      </c>
      <c r="O98" s="66"/>
      <c r="P98" s="66"/>
      <c r="Q98" s="68"/>
      <c r="R98" s="29"/>
      <c r="S98" s="29"/>
      <c r="T98" s="32"/>
      <c r="U98" s="43"/>
      <c r="V98" s="42">
        <f t="shared" si="14"/>
        <v>0</v>
      </c>
      <c r="W98" s="22"/>
      <c r="X98" s="22"/>
      <c r="Z98" s="22" t="e">
        <f t="shared" si="20"/>
        <v>#DIV/0!</v>
      </c>
    </row>
    <row r="99" spans="1:26" x14ac:dyDescent="0.25">
      <c r="A99" s="24"/>
      <c r="B99" s="75"/>
      <c r="C99" s="89"/>
      <c r="D99" s="26"/>
      <c r="E99" s="26"/>
      <c r="F99" s="26"/>
      <c r="G99" s="27"/>
      <c r="H99" s="27"/>
      <c r="I99" s="26"/>
      <c r="J99" s="64"/>
      <c r="K99" s="56" t="s">
        <v>221</v>
      </c>
      <c r="L99" s="30">
        <v>39000000</v>
      </c>
      <c r="M99" s="30">
        <v>0</v>
      </c>
      <c r="N99" s="126">
        <f t="shared" si="23"/>
        <v>39000000</v>
      </c>
      <c r="O99" s="66"/>
      <c r="P99" s="66"/>
      <c r="Q99" s="29">
        <v>0</v>
      </c>
      <c r="R99" s="29">
        <v>0</v>
      </c>
      <c r="S99" s="29">
        <f>Q99+R99</f>
        <v>0</v>
      </c>
      <c r="T99" s="20">
        <f>S99/N99*100</f>
        <v>0</v>
      </c>
      <c r="U99" s="43">
        <f t="shared" si="19"/>
        <v>39000000</v>
      </c>
      <c r="V99" s="42">
        <f t="shared" si="14"/>
        <v>19500000</v>
      </c>
      <c r="W99" s="22">
        <f t="shared" si="22"/>
        <v>0</v>
      </c>
      <c r="X99" s="22">
        <f t="shared" si="13"/>
        <v>0</v>
      </c>
      <c r="Z99" s="22">
        <f t="shared" si="20"/>
        <v>0</v>
      </c>
    </row>
    <row r="100" spans="1:26" x14ac:dyDescent="0.25">
      <c r="A100" s="24"/>
      <c r="B100" s="75"/>
      <c r="C100" s="89"/>
      <c r="D100" s="26"/>
      <c r="E100" s="26"/>
      <c r="F100" s="26"/>
      <c r="G100" s="27"/>
      <c r="H100" s="27"/>
      <c r="I100" s="26"/>
      <c r="J100" s="64"/>
      <c r="K100" s="56"/>
      <c r="L100" s="30"/>
      <c r="M100" s="30"/>
      <c r="N100" s="67"/>
      <c r="O100" s="66"/>
      <c r="P100" s="66"/>
      <c r="Q100" s="29"/>
      <c r="R100" s="29"/>
      <c r="S100" s="29"/>
      <c r="T100" s="32"/>
      <c r="U100" s="43"/>
      <c r="V100" s="42">
        <f t="shared" si="14"/>
        <v>0</v>
      </c>
      <c r="W100" s="22"/>
      <c r="X100" s="22"/>
      <c r="Z100" s="22" t="e">
        <f t="shared" si="20"/>
        <v>#DIV/0!</v>
      </c>
    </row>
    <row r="101" spans="1:26" x14ac:dyDescent="0.25">
      <c r="A101" s="24"/>
      <c r="B101" s="75"/>
      <c r="C101" s="89"/>
      <c r="D101" s="26"/>
      <c r="E101" s="26"/>
      <c r="F101" s="26"/>
      <c r="G101" s="27"/>
      <c r="H101" s="27"/>
      <c r="I101" s="26"/>
      <c r="J101" s="64"/>
      <c r="K101" s="56" t="s">
        <v>222</v>
      </c>
      <c r="L101" s="30">
        <v>100000000</v>
      </c>
      <c r="M101" s="30">
        <v>0</v>
      </c>
      <c r="N101" s="67">
        <f t="shared" si="23"/>
        <v>100000000</v>
      </c>
      <c r="O101" s="66"/>
      <c r="P101" s="66"/>
      <c r="Q101" s="29">
        <v>0</v>
      </c>
      <c r="R101" s="29">
        <v>0</v>
      </c>
      <c r="S101" s="29">
        <f t="shared" ref="S101:S105" si="24">Q101+R101</f>
        <v>0</v>
      </c>
      <c r="T101" s="32"/>
      <c r="U101" s="43">
        <f t="shared" si="19"/>
        <v>100000000</v>
      </c>
      <c r="V101" s="42">
        <f t="shared" si="14"/>
        <v>50000000</v>
      </c>
      <c r="W101" s="22"/>
      <c r="X101" s="22">
        <f t="shared" si="13"/>
        <v>0</v>
      </c>
      <c r="Z101" s="22">
        <f t="shared" si="20"/>
        <v>0</v>
      </c>
    </row>
    <row r="102" spans="1:26" x14ac:dyDescent="0.25">
      <c r="A102" s="24"/>
      <c r="B102" s="75"/>
      <c r="C102" s="89"/>
      <c r="D102" s="26"/>
      <c r="E102" s="26"/>
      <c r="F102" s="26"/>
      <c r="G102" s="27"/>
      <c r="H102" s="27"/>
      <c r="I102" s="26"/>
      <c r="J102" s="64"/>
      <c r="K102" s="56"/>
      <c r="L102" s="30"/>
      <c r="M102" s="30"/>
      <c r="N102" s="67"/>
      <c r="O102" s="66"/>
      <c r="P102" s="66"/>
      <c r="Q102" s="29"/>
      <c r="R102" s="29"/>
      <c r="S102" s="29"/>
      <c r="T102" s="32"/>
      <c r="U102" s="43"/>
      <c r="V102" s="42">
        <f t="shared" si="14"/>
        <v>0</v>
      </c>
      <c r="W102" s="22"/>
      <c r="X102" s="22"/>
      <c r="Z102" s="22" t="e">
        <f t="shared" si="20"/>
        <v>#DIV/0!</v>
      </c>
    </row>
    <row r="103" spans="1:26" x14ac:dyDescent="0.25">
      <c r="A103" s="24"/>
      <c r="B103" s="75"/>
      <c r="C103" s="89"/>
      <c r="D103" s="26"/>
      <c r="E103" s="26"/>
      <c r="F103" s="26"/>
      <c r="G103" s="27"/>
      <c r="H103" s="27"/>
      <c r="I103" s="26"/>
      <c r="J103" s="64"/>
      <c r="K103" s="56" t="s">
        <v>224</v>
      </c>
      <c r="L103" s="30">
        <v>3600000</v>
      </c>
      <c r="M103" s="30">
        <v>0</v>
      </c>
      <c r="N103" s="67">
        <f t="shared" si="23"/>
        <v>3600000</v>
      </c>
      <c r="O103" s="66"/>
      <c r="P103" s="66"/>
      <c r="Q103" s="29">
        <v>0</v>
      </c>
      <c r="R103" s="29">
        <v>0</v>
      </c>
      <c r="S103" s="29">
        <f t="shared" si="24"/>
        <v>0</v>
      </c>
      <c r="T103" s="32"/>
      <c r="U103" s="43">
        <f t="shared" si="19"/>
        <v>3600000</v>
      </c>
      <c r="V103" s="42">
        <f t="shared" si="14"/>
        <v>1800000</v>
      </c>
      <c r="W103" s="22"/>
      <c r="X103" s="22">
        <f t="shared" si="13"/>
        <v>0</v>
      </c>
      <c r="Z103" s="22">
        <f t="shared" si="20"/>
        <v>0</v>
      </c>
    </row>
    <row r="104" spans="1:26" x14ac:dyDescent="0.25">
      <c r="A104" s="24"/>
      <c r="B104" s="75"/>
      <c r="C104" s="89"/>
      <c r="D104" s="26"/>
      <c r="E104" s="26"/>
      <c r="F104" s="26"/>
      <c r="G104" s="27"/>
      <c r="H104" s="27"/>
      <c r="I104" s="26"/>
      <c r="J104" s="64"/>
      <c r="K104" s="56"/>
      <c r="L104" s="30"/>
      <c r="M104" s="30"/>
      <c r="N104" s="67"/>
      <c r="O104" s="66"/>
      <c r="P104" s="66"/>
      <c r="Q104" s="29"/>
      <c r="R104" s="29"/>
      <c r="S104" s="29"/>
      <c r="T104" s="32"/>
      <c r="U104" s="43"/>
      <c r="V104" s="42">
        <f t="shared" si="14"/>
        <v>0</v>
      </c>
      <c r="W104" s="22"/>
      <c r="X104" s="22"/>
      <c r="Z104" s="22" t="e">
        <f t="shared" si="20"/>
        <v>#DIV/0!</v>
      </c>
    </row>
    <row r="105" spans="1:26" x14ac:dyDescent="0.25">
      <c r="A105" s="24"/>
      <c r="B105" s="75"/>
      <c r="C105" s="89"/>
      <c r="D105" s="26"/>
      <c r="E105" s="26"/>
      <c r="F105" s="26"/>
      <c r="G105" s="27"/>
      <c r="H105" s="27"/>
      <c r="I105" s="26"/>
      <c r="J105" s="64"/>
      <c r="K105" s="56" t="s">
        <v>141</v>
      </c>
      <c r="L105" s="30">
        <v>43900000</v>
      </c>
      <c r="M105" s="30">
        <v>0</v>
      </c>
      <c r="N105" s="67">
        <f t="shared" si="23"/>
        <v>43900000</v>
      </c>
      <c r="O105" s="66"/>
      <c r="P105" s="66"/>
      <c r="Q105" s="29">
        <v>0</v>
      </c>
      <c r="R105" s="29">
        <v>0</v>
      </c>
      <c r="S105" s="29">
        <f t="shared" si="24"/>
        <v>0</v>
      </c>
      <c r="T105" s="20">
        <f>S105/N105*100</f>
        <v>0</v>
      </c>
      <c r="U105" s="43">
        <f t="shared" si="19"/>
        <v>43900000</v>
      </c>
      <c r="V105" s="42">
        <f t="shared" si="14"/>
        <v>21950000</v>
      </c>
      <c r="W105" s="22">
        <f t="shared" si="22"/>
        <v>0</v>
      </c>
      <c r="X105" s="22">
        <f t="shared" si="13"/>
        <v>0</v>
      </c>
      <c r="Z105" s="22">
        <f t="shared" si="20"/>
        <v>0</v>
      </c>
    </row>
    <row r="106" spans="1:26" x14ac:dyDescent="0.25">
      <c r="A106" s="24"/>
      <c r="B106" s="75"/>
      <c r="C106" s="89"/>
      <c r="D106" s="26"/>
      <c r="E106" s="26"/>
      <c r="F106" s="26"/>
      <c r="G106" s="27"/>
      <c r="H106" s="27"/>
      <c r="I106" s="26"/>
      <c r="J106" s="64"/>
      <c r="K106" s="56"/>
      <c r="L106" s="30"/>
      <c r="M106" s="30"/>
      <c r="N106" s="67"/>
      <c r="O106" s="66"/>
      <c r="P106" s="66"/>
      <c r="Q106" s="29"/>
      <c r="R106" s="29"/>
      <c r="S106" s="29"/>
      <c r="T106" s="20"/>
      <c r="U106" s="43"/>
      <c r="V106" s="42"/>
      <c r="W106" s="22"/>
      <c r="X106" s="22"/>
      <c r="Z106" s="22"/>
    </row>
    <row r="107" spans="1:26" x14ac:dyDescent="0.25">
      <c r="A107" s="24"/>
      <c r="B107" s="75"/>
      <c r="C107" s="89"/>
      <c r="D107" s="26"/>
      <c r="E107" s="26"/>
      <c r="F107" s="26"/>
      <c r="G107" s="27"/>
      <c r="H107" s="27"/>
      <c r="I107" s="26"/>
      <c r="J107" s="64"/>
      <c r="K107" s="56" t="s">
        <v>223</v>
      </c>
      <c r="L107" s="30">
        <v>3150000</v>
      </c>
      <c r="M107" s="30">
        <v>0</v>
      </c>
      <c r="N107" s="67">
        <f t="shared" si="23"/>
        <v>3150000</v>
      </c>
      <c r="O107" s="66"/>
      <c r="P107" s="66"/>
      <c r="Q107" s="29"/>
      <c r="R107" s="29"/>
      <c r="S107" s="29"/>
      <c r="T107" s="20"/>
      <c r="U107" s="43"/>
      <c r="V107" s="42"/>
      <c r="W107" s="22"/>
      <c r="X107" s="22">
        <f t="shared" si="13"/>
        <v>0</v>
      </c>
      <c r="Z107" s="22"/>
    </row>
    <row r="108" spans="1:26" x14ac:dyDescent="0.25">
      <c r="A108" s="24"/>
      <c r="B108" s="75"/>
      <c r="C108" s="89"/>
      <c r="D108" s="26"/>
      <c r="E108" s="26"/>
      <c r="F108" s="26"/>
      <c r="G108" s="27"/>
      <c r="H108" s="27"/>
      <c r="I108" s="26"/>
      <c r="J108" s="64"/>
      <c r="K108" s="28"/>
      <c r="L108" s="66"/>
      <c r="M108" s="66"/>
      <c r="N108" s="67"/>
      <c r="O108" s="66"/>
      <c r="P108" s="66"/>
      <c r="Q108" s="68"/>
      <c r="R108" s="29"/>
      <c r="S108" s="29"/>
      <c r="T108" s="32"/>
      <c r="U108" s="43"/>
      <c r="V108" s="42">
        <f t="shared" si="14"/>
        <v>0</v>
      </c>
      <c r="W108" s="22"/>
      <c r="X108" s="22"/>
      <c r="Z108" s="22" t="e">
        <f t="shared" si="20"/>
        <v>#DIV/0!</v>
      </c>
    </row>
    <row r="109" spans="1:26" x14ac:dyDescent="0.25">
      <c r="A109" s="44"/>
      <c r="B109" s="46"/>
      <c r="C109" s="46"/>
      <c r="D109" s="480"/>
      <c r="E109" s="481"/>
      <c r="F109" s="481"/>
      <c r="G109" s="481"/>
      <c r="H109" s="49"/>
      <c r="I109" s="50"/>
      <c r="J109" s="106"/>
      <c r="K109" s="137" t="s">
        <v>143</v>
      </c>
      <c r="L109" s="52">
        <f>L111+L113+L115+L120+L122</f>
        <v>466495000</v>
      </c>
      <c r="M109" s="52">
        <f>M111+M113+M115+M120+M122</f>
        <v>0</v>
      </c>
      <c r="N109" s="52">
        <f t="shared" ref="N109" si="25">L109-M109</f>
        <v>466495000</v>
      </c>
      <c r="O109" s="53"/>
      <c r="P109" s="53"/>
      <c r="Q109" s="52">
        <f>Q111+Q113+Q115+Q120+Q122</f>
        <v>18140000</v>
      </c>
      <c r="R109" s="52">
        <v>0</v>
      </c>
      <c r="S109" s="52">
        <f t="shared" ref="S109:S122" si="26">Q109+R109</f>
        <v>18140000</v>
      </c>
      <c r="T109" s="54">
        <f>S109/N109*100</f>
        <v>3.8885732966055375</v>
      </c>
      <c r="U109" s="52">
        <f t="shared" si="19"/>
        <v>448355000</v>
      </c>
      <c r="V109" s="42">
        <f t="shared" si="14"/>
        <v>224177500</v>
      </c>
      <c r="W109" s="22">
        <f t="shared" si="22"/>
        <v>3.8885732966055375</v>
      </c>
      <c r="X109" s="22">
        <f t="shared" si="13"/>
        <v>3.8885732966055375</v>
      </c>
      <c r="Z109" s="65">
        <f t="shared" si="20"/>
        <v>3.8885732966055375</v>
      </c>
    </row>
    <row r="110" spans="1:26" x14ac:dyDescent="0.25">
      <c r="A110" s="44"/>
      <c r="B110" s="46"/>
      <c r="C110" s="46"/>
      <c r="D110" s="47"/>
      <c r="E110" s="48"/>
      <c r="F110" s="48"/>
      <c r="G110" s="48"/>
      <c r="H110" s="49"/>
      <c r="I110" s="50"/>
      <c r="J110" s="106"/>
      <c r="K110" s="137"/>
      <c r="L110" s="52"/>
      <c r="M110" s="52"/>
      <c r="N110" s="52"/>
      <c r="O110" s="53"/>
      <c r="P110" s="53"/>
      <c r="Q110" s="52"/>
      <c r="R110" s="52"/>
      <c r="S110" s="52"/>
      <c r="T110" s="54"/>
      <c r="U110" s="52"/>
      <c r="V110" s="42"/>
      <c r="W110" s="22"/>
      <c r="X110" s="22"/>
      <c r="Z110" s="65"/>
    </row>
    <row r="111" spans="1:26" x14ac:dyDescent="0.25">
      <c r="A111" s="70"/>
      <c r="B111" s="218"/>
      <c r="C111" s="218"/>
      <c r="D111" s="212"/>
      <c r="E111" s="219"/>
      <c r="F111" s="219"/>
      <c r="G111" s="219"/>
      <c r="H111" s="214"/>
      <c r="I111" s="215"/>
      <c r="J111" s="204"/>
      <c r="K111" s="220" t="s">
        <v>225</v>
      </c>
      <c r="L111" s="211">
        <v>11750000</v>
      </c>
      <c r="M111" s="211">
        <v>0</v>
      </c>
      <c r="N111" s="205">
        <f t="shared" si="23"/>
        <v>11750000</v>
      </c>
      <c r="O111" s="211"/>
      <c r="P111" s="211"/>
      <c r="Q111" s="211">
        <f>Q112+Q113</f>
        <v>0</v>
      </c>
      <c r="R111" s="207">
        <v>0</v>
      </c>
      <c r="S111" s="207">
        <f t="shared" si="26"/>
        <v>0</v>
      </c>
      <c r="T111" s="221"/>
      <c r="U111" s="209">
        <f t="shared" si="19"/>
        <v>11750000</v>
      </c>
      <c r="V111" s="42">
        <f t="shared" si="14"/>
        <v>5875000</v>
      </c>
      <c r="W111" s="22"/>
      <c r="X111" s="22">
        <f t="shared" si="13"/>
        <v>0</v>
      </c>
      <c r="Z111" s="22">
        <f t="shared" si="20"/>
        <v>0</v>
      </c>
    </row>
    <row r="112" spans="1:26" x14ac:dyDescent="0.25">
      <c r="A112" s="70"/>
      <c r="B112" s="58"/>
      <c r="C112" s="58"/>
      <c r="D112" s="71"/>
      <c r="E112" s="72"/>
      <c r="F112" s="72"/>
      <c r="G112" s="72"/>
      <c r="H112" s="62"/>
      <c r="I112" s="63"/>
      <c r="J112" s="64"/>
      <c r="K112" s="28"/>
      <c r="L112" s="66"/>
      <c r="M112" s="66"/>
      <c r="N112" s="67"/>
      <c r="O112" s="66"/>
      <c r="P112" s="66"/>
      <c r="Q112" s="66"/>
      <c r="R112" s="68"/>
      <c r="S112" s="68"/>
      <c r="T112" s="20"/>
      <c r="U112" s="43"/>
      <c r="V112" s="42">
        <f t="shared" si="14"/>
        <v>0</v>
      </c>
      <c r="W112" s="22"/>
      <c r="X112" s="22"/>
      <c r="Z112" s="22" t="e">
        <f t="shared" si="20"/>
        <v>#DIV/0!</v>
      </c>
    </row>
    <row r="113" spans="1:26" x14ac:dyDescent="0.25">
      <c r="A113" s="70"/>
      <c r="B113" s="218"/>
      <c r="C113" s="218"/>
      <c r="D113" s="222"/>
      <c r="E113" s="219"/>
      <c r="F113" s="219"/>
      <c r="G113" s="219"/>
      <c r="H113" s="214"/>
      <c r="I113" s="215"/>
      <c r="J113" s="204"/>
      <c r="K113" s="223" t="s">
        <v>226</v>
      </c>
      <c r="L113" s="205">
        <v>895000</v>
      </c>
      <c r="M113" s="205">
        <v>0</v>
      </c>
      <c r="N113" s="205">
        <f t="shared" si="23"/>
        <v>895000</v>
      </c>
      <c r="O113" s="205"/>
      <c r="P113" s="205"/>
      <c r="Q113" s="205">
        <v>0</v>
      </c>
      <c r="R113" s="206">
        <v>0</v>
      </c>
      <c r="S113" s="206">
        <f t="shared" si="26"/>
        <v>0</v>
      </c>
      <c r="T113" s="208"/>
      <c r="U113" s="209">
        <f t="shared" si="19"/>
        <v>895000</v>
      </c>
      <c r="V113" s="42">
        <f t="shared" si="14"/>
        <v>447500</v>
      </c>
      <c r="W113" s="22"/>
      <c r="X113" s="22">
        <f t="shared" si="13"/>
        <v>0</v>
      </c>
      <c r="Z113" s="22">
        <f t="shared" si="20"/>
        <v>0</v>
      </c>
    </row>
    <row r="114" spans="1:26" x14ac:dyDescent="0.25">
      <c r="A114" s="24"/>
      <c r="B114" s="75"/>
      <c r="C114" s="89"/>
      <c r="D114" s="26"/>
      <c r="E114" s="26"/>
      <c r="F114" s="26"/>
      <c r="G114" s="27"/>
      <c r="H114" s="27"/>
      <c r="I114" s="26"/>
      <c r="J114" s="64"/>
      <c r="K114" s="28"/>
      <c r="L114" s="66"/>
      <c r="M114" s="66"/>
      <c r="N114" s="67"/>
      <c r="O114" s="30"/>
      <c r="P114" s="30"/>
      <c r="Q114" s="68"/>
      <c r="R114" s="29"/>
      <c r="S114" s="29"/>
      <c r="T114" s="32"/>
      <c r="U114" s="43"/>
      <c r="V114" s="42">
        <f t="shared" si="14"/>
        <v>0</v>
      </c>
      <c r="W114" s="22"/>
      <c r="X114" s="22"/>
      <c r="Z114" s="22" t="e">
        <f t="shared" si="20"/>
        <v>#DIV/0!</v>
      </c>
    </row>
    <row r="115" spans="1:26" x14ac:dyDescent="0.25">
      <c r="A115" s="24"/>
      <c r="B115" s="200"/>
      <c r="C115" s="201"/>
      <c r="D115" s="212"/>
      <c r="E115" s="213"/>
      <c r="F115" s="213"/>
      <c r="G115" s="213"/>
      <c r="H115" s="214"/>
      <c r="I115" s="215"/>
      <c r="J115" s="204"/>
      <c r="K115" s="216" t="s">
        <v>227</v>
      </c>
      <c r="L115" s="211">
        <f>L116+L117+L118</f>
        <v>255800000</v>
      </c>
      <c r="M115" s="211">
        <f>M116+M117</f>
        <v>0</v>
      </c>
      <c r="N115" s="205">
        <f t="shared" si="23"/>
        <v>255800000</v>
      </c>
      <c r="O115" s="205"/>
      <c r="P115" s="205"/>
      <c r="Q115" s="211">
        <f>Q116+Q117+Q118</f>
        <v>16640000</v>
      </c>
      <c r="R115" s="207">
        <v>0</v>
      </c>
      <c r="S115" s="207">
        <f t="shared" si="26"/>
        <v>16640000</v>
      </c>
      <c r="T115" s="208">
        <f t="shared" ref="T115:T117" si="27">S115/N115*100</f>
        <v>6.5050820953870216</v>
      </c>
      <c r="U115" s="217">
        <f t="shared" si="19"/>
        <v>239160000</v>
      </c>
      <c r="V115" s="42">
        <f t="shared" si="14"/>
        <v>119580000</v>
      </c>
      <c r="W115" s="22">
        <f t="shared" si="22"/>
        <v>6.5050820953870216</v>
      </c>
      <c r="X115" s="22">
        <f t="shared" si="13"/>
        <v>6.5050820953870216</v>
      </c>
      <c r="Z115" s="65">
        <f t="shared" si="20"/>
        <v>6.5050820953870216</v>
      </c>
    </row>
    <row r="116" spans="1:26" x14ac:dyDescent="0.25">
      <c r="A116" s="24"/>
      <c r="B116" s="75"/>
      <c r="C116" s="89"/>
      <c r="D116" s="26"/>
      <c r="E116" s="26"/>
      <c r="F116" s="26"/>
      <c r="G116" s="27"/>
      <c r="H116" s="27"/>
      <c r="I116" s="26"/>
      <c r="J116" s="64"/>
      <c r="K116" s="138" t="s">
        <v>228</v>
      </c>
      <c r="L116" s="66">
        <v>192000000</v>
      </c>
      <c r="M116" s="66">
        <v>0</v>
      </c>
      <c r="N116" s="67">
        <f t="shared" si="23"/>
        <v>192000000</v>
      </c>
      <c r="O116" s="66"/>
      <c r="P116" s="66"/>
      <c r="Q116" s="139">
        <v>16000000</v>
      </c>
      <c r="R116" s="29">
        <v>0</v>
      </c>
      <c r="S116" s="29">
        <f t="shared" si="26"/>
        <v>16000000</v>
      </c>
      <c r="T116" s="20"/>
      <c r="U116" s="43">
        <f t="shared" si="19"/>
        <v>176000000</v>
      </c>
      <c r="V116" s="42">
        <f t="shared" si="14"/>
        <v>88000000</v>
      </c>
      <c r="W116" s="22"/>
      <c r="X116" s="22">
        <f t="shared" si="13"/>
        <v>8.3333333333333321</v>
      </c>
      <c r="Z116" s="22">
        <f t="shared" si="20"/>
        <v>8.3333333333333321</v>
      </c>
    </row>
    <row r="117" spans="1:26" x14ac:dyDescent="0.25">
      <c r="A117" s="24"/>
      <c r="B117" s="75"/>
      <c r="C117" s="89"/>
      <c r="D117" s="26"/>
      <c r="E117" s="26"/>
      <c r="F117" s="26"/>
      <c r="G117" s="27"/>
      <c r="H117" s="27"/>
      <c r="I117" s="26"/>
      <c r="J117" s="64"/>
      <c r="K117" s="28" t="s">
        <v>229</v>
      </c>
      <c r="L117" s="66">
        <v>56000000</v>
      </c>
      <c r="M117" s="66">
        <v>0</v>
      </c>
      <c r="N117" s="67">
        <f t="shared" si="23"/>
        <v>56000000</v>
      </c>
      <c r="O117" s="66"/>
      <c r="P117" s="66"/>
      <c r="Q117" s="68">
        <v>0</v>
      </c>
      <c r="R117" s="29">
        <v>0</v>
      </c>
      <c r="S117" s="29">
        <f t="shared" si="26"/>
        <v>0</v>
      </c>
      <c r="T117" s="20">
        <f t="shared" si="27"/>
        <v>0</v>
      </c>
      <c r="U117" s="52">
        <f t="shared" si="19"/>
        <v>56000000</v>
      </c>
      <c r="V117" s="42">
        <f t="shared" si="14"/>
        <v>28000000</v>
      </c>
      <c r="W117" s="22">
        <f t="shared" si="22"/>
        <v>0</v>
      </c>
      <c r="X117" s="22">
        <f t="shared" si="13"/>
        <v>0</v>
      </c>
      <c r="Z117" s="22">
        <f t="shared" si="20"/>
        <v>0</v>
      </c>
    </row>
    <row r="118" spans="1:26" x14ac:dyDescent="0.25">
      <c r="A118" s="24"/>
      <c r="B118" s="75"/>
      <c r="C118" s="89"/>
      <c r="D118" s="26"/>
      <c r="E118" s="26"/>
      <c r="F118" s="26"/>
      <c r="G118" s="27"/>
      <c r="H118" s="27"/>
      <c r="I118" s="26"/>
      <c r="J118" s="64"/>
      <c r="K118" s="28" t="s">
        <v>161</v>
      </c>
      <c r="L118" s="66">
        <v>7800000</v>
      </c>
      <c r="M118" s="66">
        <v>0</v>
      </c>
      <c r="N118" s="67">
        <f t="shared" si="23"/>
        <v>7800000</v>
      </c>
      <c r="O118" s="30"/>
      <c r="P118" s="30"/>
      <c r="Q118" s="68">
        <v>640000</v>
      </c>
      <c r="R118" s="29">
        <v>0</v>
      </c>
      <c r="S118" s="29">
        <f>Q118+R118</f>
        <v>640000</v>
      </c>
      <c r="T118" s="32"/>
      <c r="U118" s="43">
        <f t="shared" si="19"/>
        <v>7160000</v>
      </c>
      <c r="V118" s="42">
        <f t="shared" si="14"/>
        <v>3580000</v>
      </c>
      <c r="W118" s="22"/>
      <c r="X118" s="22">
        <f t="shared" si="13"/>
        <v>8.2051282051282044</v>
      </c>
      <c r="Z118" s="22">
        <f t="shared" si="20"/>
        <v>8.2051282051282044</v>
      </c>
    </row>
    <row r="119" spans="1:26" x14ac:dyDescent="0.25">
      <c r="A119" s="24"/>
      <c r="B119" s="75"/>
      <c r="C119" s="89"/>
      <c r="D119" s="26"/>
      <c r="E119" s="26"/>
      <c r="F119" s="26"/>
      <c r="G119" s="27"/>
      <c r="H119" s="27"/>
      <c r="I119" s="26"/>
      <c r="J119" s="64"/>
      <c r="K119" s="28"/>
      <c r="L119" s="66"/>
      <c r="M119" s="66"/>
      <c r="N119" s="67"/>
      <c r="O119" s="30"/>
      <c r="P119" s="30"/>
      <c r="Q119" s="68"/>
      <c r="R119" s="29"/>
      <c r="S119" s="29"/>
      <c r="T119" s="32"/>
      <c r="U119" s="43"/>
      <c r="V119" s="42"/>
      <c r="W119" s="22"/>
      <c r="X119" s="22"/>
      <c r="Z119" s="22"/>
    </row>
    <row r="120" spans="1:26" x14ac:dyDescent="0.25">
      <c r="A120" s="24"/>
      <c r="B120" s="200"/>
      <c r="C120" s="201"/>
      <c r="D120" s="212"/>
      <c r="E120" s="213"/>
      <c r="F120" s="213"/>
      <c r="G120" s="213"/>
      <c r="H120" s="214"/>
      <c r="I120" s="215"/>
      <c r="J120" s="224"/>
      <c r="K120" s="220" t="s">
        <v>230</v>
      </c>
      <c r="L120" s="211">
        <v>100000000</v>
      </c>
      <c r="M120" s="211">
        <v>0</v>
      </c>
      <c r="N120" s="205">
        <f t="shared" si="23"/>
        <v>100000000</v>
      </c>
      <c r="O120" s="205"/>
      <c r="P120" s="205"/>
      <c r="Q120" s="211">
        <v>0</v>
      </c>
      <c r="R120" s="211">
        <v>0</v>
      </c>
      <c r="S120" s="211">
        <f t="shared" si="26"/>
        <v>0</v>
      </c>
      <c r="T120" s="208">
        <f t="shared" ref="T120" si="28">S120/N120*100</f>
        <v>0</v>
      </c>
      <c r="U120" s="209">
        <f t="shared" si="19"/>
        <v>100000000</v>
      </c>
      <c r="V120" s="42">
        <f t="shared" si="14"/>
        <v>50000000</v>
      </c>
      <c r="W120" s="22">
        <f t="shared" si="22"/>
        <v>0</v>
      </c>
      <c r="X120" s="22">
        <f t="shared" si="13"/>
        <v>0</v>
      </c>
      <c r="Z120" s="65">
        <f t="shared" si="20"/>
        <v>0</v>
      </c>
    </row>
    <row r="121" spans="1:26" x14ac:dyDescent="0.25">
      <c r="A121" s="24"/>
      <c r="B121" s="75"/>
      <c r="C121" s="89"/>
      <c r="D121" s="26"/>
      <c r="E121" s="26"/>
      <c r="F121" s="26"/>
      <c r="G121" s="27"/>
      <c r="H121" s="27"/>
      <c r="I121" s="26"/>
      <c r="J121" s="64"/>
      <c r="K121" s="28"/>
      <c r="L121" s="66"/>
      <c r="M121" s="66"/>
      <c r="N121" s="67"/>
      <c r="O121" s="66"/>
      <c r="P121" s="66"/>
      <c r="Q121" s="68"/>
      <c r="R121" s="68"/>
      <c r="S121" s="68"/>
      <c r="T121" s="20"/>
      <c r="U121" s="43"/>
      <c r="V121" s="42">
        <f t="shared" si="14"/>
        <v>0</v>
      </c>
      <c r="W121" s="22"/>
      <c r="X121" s="22"/>
      <c r="Z121" s="22" t="e">
        <f t="shared" si="20"/>
        <v>#DIV/0!</v>
      </c>
    </row>
    <row r="122" spans="1:26" x14ac:dyDescent="0.25">
      <c r="A122" s="24"/>
      <c r="B122" s="200"/>
      <c r="C122" s="201"/>
      <c r="D122" s="202"/>
      <c r="E122" s="202"/>
      <c r="F122" s="202"/>
      <c r="G122" s="203"/>
      <c r="H122" s="203"/>
      <c r="I122" s="202"/>
      <c r="J122" s="204"/>
      <c r="K122" s="210" t="s">
        <v>231</v>
      </c>
      <c r="L122" s="205">
        <f>L124+L126+L128</f>
        <v>98050000</v>
      </c>
      <c r="M122" s="205">
        <f>M124+M126+M128</f>
        <v>0</v>
      </c>
      <c r="N122" s="205">
        <f t="shared" si="23"/>
        <v>98050000</v>
      </c>
      <c r="O122" s="211"/>
      <c r="P122" s="211"/>
      <c r="Q122" s="206">
        <f>Q124+Q126+Q128</f>
        <v>1500000</v>
      </c>
      <c r="R122" s="207">
        <v>0</v>
      </c>
      <c r="S122" s="207">
        <f t="shared" si="26"/>
        <v>1500000</v>
      </c>
      <c r="T122" s="208">
        <f t="shared" ref="T122" si="29">S122/N122*100</f>
        <v>1.5298317185109638</v>
      </c>
      <c r="U122" s="209"/>
      <c r="V122" s="42">
        <f t="shared" si="14"/>
        <v>0</v>
      </c>
      <c r="W122" s="22">
        <f t="shared" si="22"/>
        <v>1.5298317185109638</v>
      </c>
      <c r="X122" s="22">
        <f t="shared" si="13"/>
        <v>1.5298317185109638</v>
      </c>
      <c r="Z122" s="22">
        <f t="shared" si="20"/>
        <v>1.5298317185109638</v>
      </c>
    </row>
    <row r="123" spans="1:26" x14ac:dyDescent="0.25">
      <c r="A123" s="24"/>
      <c r="B123" s="75"/>
      <c r="C123" s="89"/>
      <c r="D123" s="26"/>
      <c r="E123" s="26"/>
      <c r="F123" s="26"/>
      <c r="G123" s="27"/>
      <c r="H123" s="27"/>
      <c r="I123" s="26"/>
      <c r="J123" s="64"/>
      <c r="K123" s="28"/>
      <c r="L123" s="66"/>
      <c r="M123" s="66"/>
      <c r="N123" s="67"/>
      <c r="O123" s="30"/>
      <c r="P123" s="30"/>
      <c r="Q123" s="68"/>
      <c r="R123" s="29"/>
      <c r="S123" s="29"/>
      <c r="T123" s="32"/>
      <c r="U123" s="43"/>
      <c r="V123" s="42">
        <f t="shared" si="14"/>
        <v>0</v>
      </c>
      <c r="W123" s="22"/>
      <c r="X123" s="22"/>
      <c r="Z123" s="22" t="e">
        <f t="shared" si="20"/>
        <v>#DIV/0!</v>
      </c>
    </row>
    <row r="124" spans="1:26" x14ac:dyDescent="0.25">
      <c r="A124" s="24"/>
      <c r="B124" s="75"/>
      <c r="C124" s="89"/>
      <c r="D124" s="101"/>
      <c r="E124" s="85"/>
      <c r="F124" s="85"/>
      <c r="G124" s="75"/>
      <c r="H124" s="75"/>
      <c r="I124" s="85"/>
      <c r="J124" s="140"/>
      <c r="K124" s="56" t="s">
        <v>232</v>
      </c>
      <c r="L124" s="30">
        <v>5000000</v>
      </c>
      <c r="M124" s="30">
        <v>0</v>
      </c>
      <c r="N124" s="67">
        <f t="shared" si="23"/>
        <v>5000000</v>
      </c>
      <c r="O124" s="30"/>
      <c r="P124" s="30"/>
      <c r="Q124" s="141"/>
      <c r="R124" s="141"/>
      <c r="S124" s="141"/>
      <c r="T124" s="20"/>
      <c r="U124" s="43"/>
      <c r="V124" s="42">
        <f t="shared" si="14"/>
        <v>0</v>
      </c>
      <c r="W124" s="22">
        <f t="shared" si="22"/>
        <v>0</v>
      </c>
      <c r="X124" s="22">
        <f t="shared" si="13"/>
        <v>0</v>
      </c>
      <c r="Z124" s="22">
        <f t="shared" si="20"/>
        <v>0</v>
      </c>
    </row>
    <row r="125" spans="1:26" x14ac:dyDescent="0.25">
      <c r="A125" s="24"/>
      <c r="B125" s="75"/>
      <c r="C125" s="89"/>
      <c r="D125" s="26"/>
      <c r="E125" s="26"/>
      <c r="F125" s="26"/>
      <c r="G125" s="27"/>
      <c r="H125" s="27"/>
      <c r="I125" s="26"/>
      <c r="J125" s="64"/>
      <c r="K125" s="138"/>
      <c r="L125" s="66"/>
      <c r="M125" s="66"/>
      <c r="N125" s="67"/>
      <c r="O125" s="30"/>
      <c r="P125" s="30"/>
      <c r="Q125" s="68"/>
      <c r="R125" s="29"/>
      <c r="S125" s="29"/>
      <c r="T125" s="32"/>
      <c r="U125" s="52"/>
      <c r="V125" s="42">
        <f t="shared" si="14"/>
        <v>0</v>
      </c>
      <c r="W125" s="22" t="e">
        <f t="shared" si="22"/>
        <v>#DIV/0!</v>
      </c>
      <c r="X125" s="22"/>
      <c r="Z125" s="65" t="e">
        <f t="shared" si="20"/>
        <v>#DIV/0!</v>
      </c>
    </row>
    <row r="126" spans="1:26" x14ac:dyDescent="0.25">
      <c r="A126" s="24"/>
      <c r="B126" s="75"/>
      <c r="C126" s="89"/>
      <c r="D126" s="26"/>
      <c r="E126" s="26"/>
      <c r="F126" s="26"/>
      <c r="G126" s="27"/>
      <c r="H126" s="27"/>
      <c r="I126" s="26"/>
      <c r="J126" s="64"/>
      <c r="K126" s="138" t="s">
        <v>233</v>
      </c>
      <c r="L126" s="66">
        <v>13050000</v>
      </c>
      <c r="M126" s="66">
        <v>0</v>
      </c>
      <c r="N126" s="67">
        <f t="shared" si="23"/>
        <v>13050000</v>
      </c>
      <c r="O126" s="30"/>
      <c r="P126" s="30"/>
      <c r="Q126" s="68">
        <v>1500000</v>
      </c>
      <c r="R126" s="68"/>
      <c r="S126" s="207">
        <f t="shared" ref="S126" si="30">Q126+R126</f>
        <v>1500000</v>
      </c>
      <c r="T126" s="208">
        <f t="shared" ref="T126" si="31">S126/N126*100</f>
        <v>11.494252873563218</v>
      </c>
      <c r="U126" s="43">
        <f t="shared" ref="U126" si="32">N126-S126</f>
        <v>11550000</v>
      </c>
      <c r="V126" s="42">
        <f t="shared" si="14"/>
        <v>5775000</v>
      </c>
      <c r="W126" s="22">
        <f t="shared" si="22"/>
        <v>11.494252873563218</v>
      </c>
      <c r="X126" s="22">
        <f t="shared" si="13"/>
        <v>11.494252873563218</v>
      </c>
      <c r="Z126" s="65">
        <f t="shared" si="20"/>
        <v>11.494252873563218</v>
      </c>
    </row>
    <row r="127" spans="1:26" x14ac:dyDescent="0.25">
      <c r="A127" s="24"/>
      <c r="B127" s="75"/>
      <c r="C127" s="89"/>
      <c r="D127" s="26"/>
      <c r="E127" s="26"/>
      <c r="F127" s="26"/>
      <c r="G127" s="27"/>
      <c r="H127" s="27"/>
      <c r="I127" s="26"/>
      <c r="J127" s="64"/>
      <c r="K127" s="138"/>
      <c r="L127" s="66"/>
      <c r="M127" s="66"/>
      <c r="N127" s="67"/>
      <c r="O127" s="30"/>
      <c r="P127" s="30"/>
      <c r="Q127" s="68"/>
      <c r="R127" s="68"/>
      <c r="S127" s="68"/>
      <c r="T127" s="20"/>
      <c r="U127" s="43"/>
      <c r="V127" s="42"/>
      <c r="W127" s="22"/>
      <c r="X127" s="22"/>
      <c r="Z127" s="65"/>
    </row>
    <row r="128" spans="1:26" x14ac:dyDescent="0.25">
      <c r="A128" s="24"/>
      <c r="B128" s="75"/>
      <c r="C128" s="89"/>
      <c r="D128" s="26"/>
      <c r="E128" s="26"/>
      <c r="F128" s="26"/>
      <c r="G128" s="27"/>
      <c r="H128" s="27"/>
      <c r="I128" s="26"/>
      <c r="J128" s="64"/>
      <c r="K128" s="138" t="s">
        <v>234</v>
      </c>
      <c r="L128" s="66">
        <v>80000000</v>
      </c>
      <c r="M128" s="66">
        <v>0</v>
      </c>
      <c r="N128" s="67">
        <f t="shared" si="23"/>
        <v>80000000</v>
      </c>
      <c r="O128" s="30"/>
      <c r="P128" s="30"/>
      <c r="Q128" s="68"/>
      <c r="R128" s="68"/>
      <c r="S128" s="68"/>
      <c r="T128" s="20"/>
      <c r="U128" s="43"/>
      <c r="V128" s="42"/>
      <c r="W128" s="22"/>
      <c r="X128" s="22">
        <f t="shared" si="13"/>
        <v>0</v>
      </c>
      <c r="Z128" s="65"/>
    </row>
    <row r="129" spans="1:26" x14ac:dyDescent="0.25">
      <c r="A129" s="24"/>
      <c r="B129" s="75"/>
      <c r="C129" s="89"/>
      <c r="D129" s="26"/>
      <c r="E129" s="26"/>
      <c r="F129" s="26"/>
      <c r="G129" s="27"/>
      <c r="H129" s="27"/>
      <c r="I129" s="26"/>
      <c r="J129" s="64"/>
      <c r="K129" s="28"/>
      <c r="L129" s="66"/>
      <c r="M129" s="66"/>
      <c r="N129" s="67"/>
      <c r="O129" s="30"/>
      <c r="P129" s="30"/>
      <c r="Q129" s="68"/>
      <c r="R129" s="29"/>
      <c r="S129" s="29"/>
      <c r="T129" s="32"/>
      <c r="U129" s="43"/>
      <c r="V129" s="42">
        <f t="shared" si="14"/>
        <v>0</v>
      </c>
      <c r="W129" s="22"/>
      <c r="X129" s="22"/>
      <c r="Z129" s="22" t="e">
        <f t="shared" si="20"/>
        <v>#DIV/0!</v>
      </c>
    </row>
    <row r="130" spans="1:26" x14ac:dyDescent="0.25">
      <c r="A130" s="145"/>
      <c r="B130" s="146"/>
      <c r="C130" s="147"/>
      <c r="D130" s="148"/>
      <c r="E130" s="148"/>
      <c r="F130" s="148"/>
      <c r="G130" s="149"/>
      <c r="H130" s="149"/>
      <c r="I130" s="148"/>
      <c r="J130" s="150"/>
      <c r="K130" s="151"/>
      <c r="L130" s="152">
        <f>L12+L94</f>
        <v>2184252000</v>
      </c>
      <c r="M130" s="152">
        <f>M12+M94</f>
        <v>0</v>
      </c>
      <c r="N130" s="152">
        <f>N94+N12</f>
        <v>2184252000</v>
      </c>
      <c r="O130" s="153"/>
      <c r="P130" s="153"/>
      <c r="Q130" s="152">
        <f>Q12+Q94</f>
        <v>144885166</v>
      </c>
      <c r="R130" s="152">
        <v>0</v>
      </c>
      <c r="S130" s="152">
        <f>S12+S94</f>
        <v>144885166</v>
      </c>
      <c r="T130" s="154">
        <f>S130/N130*100</f>
        <v>6.6331708062989074</v>
      </c>
      <c r="U130" s="152">
        <f>N130-S130</f>
        <v>2039366834</v>
      </c>
      <c r="V130" s="42">
        <f t="shared" si="14"/>
        <v>1019683417</v>
      </c>
      <c r="W130" s="22">
        <f t="shared" si="22"/>
        <v>6.6331708062989074</v>
      </c>
      <c r="X130" s="22">
        <f t="shared" si="13"/>
        <v>6.6331708062989074</v>
      </c>
    </row>
    <row r="131" spans="1:26" x14ac:dyDescent="0.25">
      <c r="A131" s="155"/>
      <c r="B131" s="156"/>
      <c r="C131" s="157"/>
      <c r="D131" s="158"/>
      <c r="E131" s="158"/>
      <c r="F131" s="158"/>
      <c r="G131" s="159"/>
      <c r="H131" s="159"/>
      <c r="I131" s="158"/>
      <c r="J131" s="160"/>
      <c r="K131" s="161"/>
      <c r="L131" s="162"/>
      <c r="M131" s="162"/>
      <c r="N131" s="162"/>
      <c r="O131" s="163"/>
      <c r="P131" s="163"/>
      <c r="Q131" s="162"/>
      <c r="R131" s="164"/>
      <c r="S131" s="165"/>
      <c r="T131" s="166"/>
      <c r="W131" s="166"/>
      <c r="X131" s="166"/>
    </row>
    <row r="132" spans="1:26" x14ac:dyDescent="0.25">
      <c r="A132" s="167"/>
      <c r="B132" s="167"/>
      <c r="C132" s="168"/>
      <c r="D132" s="169"/>
      <c r="E132" s="169"/>
      <c r="F132" s="169"/>
      <c r="G132" s="170"/>
      <c r="H132" s="170"/>
      <c r="I132" s="169"/>
      <c r="J132" s="171"/>
      <c r="K132" s="171"/>
      <c r="L132" s="172"/>
      <c r="M132" s="172"/>
      <c r="N132" s="172"/>
      <c r="O132" s="162"/>
      <c r="P132" s="162"/>
      <c r="Q132" s="173"/>
      <c r="R132" s="174"/>
      <c r="S132" s="173"/>
      <c r="T132" s="175"/>
      <c r="W132" s="175"/>
      <c r="X132" s="175"/>
    </row>
    <row r="133" spans="1:26" x14ac:dyDescent="0.25">
      <c r="A133" s="167"/>
      <c r="B133" s="167"/>
      <c r="C133" s="168"/>
      <c r="D133" s="169"/>
      <c r="E133" s="169"/>
      <c r="F133" s="169"/>
      <c r="G133" s="170"/>
      <c r="H133" s="170"/>
      <c r="I133" s="169"/>
      <c r="J133" s="171"/>
      <c r="K133" s="171"/>
      <c r="L133" s="172"/>
      <c r="M133" s="172"/>
      <c r="N133" s="172"/>
      <c r="O133" s="162"/>
      <c r="P133" s="162"/>
      <c r="Q133" s="173"/>
      <c r="R133" s="174"/>
      <c r="S133" s="173"/>
      <c r="T133" s="175"/>
      <c r="W133" s="175"/>
      <c r="X133" s="175"/>
    </row>
    <row r="134" spans="1:26" x14ac:dyDescent="0.25">
      <c r="A134" s="497"/>
      <c r="B134" s="497"/>
      <c r="C134" s="497"/>
      <c r="D134" s="497"/>
      <c r="E134" s="497"/>
      <c r="F134" s="497"/>
      <c r="G134" s="497"/>
      <c r="H134" s="497"/>
      <c r="I134" s="497"/>
      <c r="J134" s="497"/>
      <c r="K134" s="176"/>
      <c r="L134" s="176"/>
      <c r="M134" s="177"/>
      <c r="N134" s="177"/>
      <c r="O134" s="162"/>
      <c r="P134" s="162"/>
      <c r="Q134" s="178"/>
      <c r="R134" s="179"/>
      <c r="S134" s="179"/>
      <c r="T134" s="180"/>
      <c r="W134" s="180"/>
      <c r="X134" s="180"/>
    </row>
    <row r="135" spans="1:26" x14ac:dyDescent="0.25">
      <c r="A135" s="176"/>
      <c r="B135" s="176"/>
      <c r="C135" s="176"/>
      <c r="D135" s="495" t="s">
        <v>168</v>
      </c>
      <c r="E135" s="495"/>
      <c r="F135" s="495"/>
      <c r="G135" s="495"/>
      <c r="H135" s="495"/>
      <c r="I135" s="495"/>
      <c r="J135" s="495"/>
      <c r="K135" s="495"/>
      <c r="L135" s="495"/>
      <c r="M135" s="177"/>
      <c r="N135" s="177"/>
      <c r="O135" s="163"/>
      <c r="P135" s="163"/>
      <c r="Q135" s="181"/>
      <c r="R135" s="498"/>
      <c r="S135" s="498"/>
      <c r="T135" s="498"/>
    </row>
    <row r="136" spans="1:26" x14ac:dyDescent="0.25">
      <c r="A136" s="495" t="s">
        <v>169</v>
      </c>
      <c r="B136" s="495"/>
      <c r="C136" s="495"/>
      <c r="D136" s="495"/>
      <c r="E136" s="495"/>
      <c r="F136" s="495"/>
      <c r="G136" s="495"/>
      <c r="H136" s="495"/>
      <c r="I136" s="495"/>
      <c r="J136" s="495"/>
      <c r="K136" s="177" t="s">
        <v>170</v>
      </c>
      <c r="L136" s="176"/>
      <c r="N136" s="496" t="s">
        <v>171</v>
      </c>
      <c r="O136" s="496"/>
      <c r="P136" s="496"/>
      <c r="Q136" s="496"/>
      <c r="R136" s="496" t="s">
        <v>172</v>
      </c>
      <c r="S136" s="496"/>
      <c r="T136" s="496"/>
      <c r="U136" s="496"/>
      <c r="W136" s="182"/>
      <c r="X136" s="182"/>
    </row>
    <row r="137" spans="1:26" x14ac:dyDescent="0.25">
      <c r="A137" s="177"/>
      <c r="B137" s="177"/>
      <c r="C137" s="177"/>
      <c r="D137" s="495" t="s">
        <v>173</v>
      </c>
      <c r="E137" s="495"/>
      <c r="F137" s="495"/>
      <c r="G137" s="495"/>
      <c r="H137" s="495"/>
      <c r="I137" s="495"/>
      <c r="J137" s="495"/>
      <c r="K137" s="177" t="s">
        <v>174</v>
      </c>
      <c r="L137" s="176"/>
      <c r="N137" s="496" t="s">
        <v>174</v>
      </c>
      <c r="O137" s="496"/>
      <c r="P137" s="496"/>
      <c r="Q137" s="496"/>
      <c r="R137" s="495" t="s">
        <v>175</v>
      </c>
      <c r="S137" s="495"/>
      <c r="T137" s="495"/>
      <c r="U137" s="495"/>
      <c r="W137" s="176"/>
      <c r="X137" s="176"/>
    </row>
    <row r="138" spans="1:26" x14ac:dyDescent="0.25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N138" s="183"/>
      <c r="O138" s="184"/>
      <c r="P138" s="184"/>
      <c r="Q138" s="184"/>
      <c r="R138" s="185"/>
      <c r="S138" s="185"/>
      <c r="T138" s="185"/>
      <c r="W138" s="185"/>
      <c r="X138" s="185"/>
    </row>
    <row r="139" spans="1:26" x14ac:dyDescent="0.25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N139" s="183"/>
      <c r="O139" s="184"/>
      <c r="P139" s="184"/>
      <c r="Q139" s="184"/>
      <c r="R139" s="185"/>
      <c r="S139" s="185"/>
      <c r="T139" s="185"/>
      <c r="W139" s="185"/>
      <c r="X139" s="185"/>
    </row>
    <row r="140" spans="1:26" x14ac:dyDescent="0.25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7"/>
      <c r="L140" s="177"/>
      <c r="N140" s="164"/>
      <c r="O140" s="186"/>
      <c r="P140" s="186"/>
      <c r="Q140" s="186"/>
      <c r="R140" s="185"/>
      <c r="S140" s="185"/>
      <c r="T140" s="185"/>
      <c r="W140" s="185"/>
      <c r="X140" s="185"/>
    </row>
    <row r="141" spans="1:26" x14ac:dyDescent="0.25">
      <c r="A141" s="499"/>
      <c r="B141" s="499"/>
      <c r="C141" s="499"/>
      <c r="D141" s="499"/>
      <c r="E141" s="499"/>
      <c r="F141" s="499"/>
      <c r="G141" s="499"/>
      <c r="H141" s="499"/>
      <c r="I141" s="499"/>
      <c r="J141" s="499"/>
      <c r="K141" s="177"/>
      <c r="L141" s="176"/>
      <c r="N141" s="183"/>
      <c r="O141" s="187"/>
      <c r="P141" s="186"/>
      <c r="Q141" s="186"/>
      <c r="R141" s="186"/>
      <c r="S141" s="186"/>
      <c r="T141" s="186"/>
      <c r="W141" s="186"/>
      <c r="X141" s="186"/>
    </row>
    <row r="142" spans="1:26" x14ac:dyDescent="0.25">
      <c r="A142" s="499" t="s">
        <v>176</v>
      </c>
      <c r="B142" s="499"/>
      <c r="C142" s="499"/>
      <c r="D142" s="499"/>
      <c r="E142" s="499"/>
      <c r="F142" s="499"/>
      <c r="G142" s="499"/>
      <c r="H142" s="499"/>
      <c r="I142" s="499"/>
      <c r="J142" s="499"/>
      <c r="K142" s="188" t="s">
        <v>177</v>
      </c>
      <c r="L142" s="189"/>
      <c r="N142" s="500" t="s">
        <v>178</v>
      </c>
      <c r="O142" s="500"/>
      <c r="P142" s="500"/>
      <c r="Q142" s="500"/>
      <c r="R142" s="501" t="s">
        <v>179</v>
      </c>
      <c r="S142" s="501"/>
      <c r="T142" s="501"/>
      <c r="U142" s="501"/>
    </row>
    <row r="143" spans="1:26" x14ac:dyDescent="0.25">
      <c r="A143" s="502" t="s">
        <v>180</v>
      </c>
      <c r="B143" s="502"/>
      <c r="C143" s="502"/>
      <c r="D143" s="502"/>
      <c r="E143" s="502"/>
      <c r="F143" s="502"/>
      <c r="G143" s="502"/>
      <c r="H143" s="502"/>
      <c r="I143" s="502"/>
      <c r="J143" s="502"/>
      <c r="K143" s="177" t="s">
        <v>181</v>
      </c>
      <c r="L143" s="176"/>
      <c r="N143" s="503" t="s">
        <v>182</v>
      </c>
      <c r="O143" s="503"/>
      <c r="P143" s="503"/>
      <c r="Q143" s="503"/>
      <c r="R143" s="504" t="s">
        <v>183</v>
      </c>
      <c r="S143" s="504"/>
      <c r="T143" s="504"/>
      <c r="U143" s="504"/>
    </row>
    <row r="144" spans="1:26" x14ac:dyDescent="0.25">
      <c r="A144" s="190"/>
      <c r="B144" s="190"/>
      <c r="C144" s="190"/>
      <c r="D144" s="495"/>
      <c r="E144" s="495"/>
      <c r="F144" s="495"/>
      <c r="G144" s="495"/>
      <c r="H144" s="495"/>
      <c r="I144" s="190"/>
      <c r="J144" s="190"/>
      <c r="K144" s="190"/>
      <c r="L144" s="190"/>
      <c r="M144" s="190"/>
      <c r="N144" s="190"/>
      <c r="O144" s="163"/>
      <c r="P144" s="163"/>
      <c r="Q144" s="191"/>
      <c r="R144" s="191"/>
      <c r="S144" s="191"/>
      <c r="T144" s="191"/>
      <c r="W144" s="191"/>
      <c r="X144" s="191"/>
    </row>
    <row r="145" spans="1:24" x14ac:dyDescent="0.25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63"/>
      <c r="P145" s="163"/>
      <c r="Q145" s="191"/>
      <c r="R145" s="191"/>
      <c r="S145" s="191"/>
      <c r="T145" s="191"/>
      <c r="W145" s="191"/>
      <c r="X145" s="191"/>
    </row>
    <row r="146" spans="1:24" x14ac:dyDescent="0.25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62"/>
      <c r="P146" s="162"/>
      <c r="Q146" s="191"/>
      <c r="R146" s="191"/>
      <c r="S146" s="191"/>
      <c r="T146" s="191"/>
      <c r="W146" s="191"/>
      <c r="X146" s="191"/>
    </row>
    <row r="147" spans="1:24" x14ac:dyDescent="0.25">
      <c r="A147" s="190"/>
      <c r="B147" s="190"/>
      <c r="C147" s="190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90"/>
      <c r="O147" s="163"/>
      <c r="P147" s="163"/>
      <c r="Q147" s="191"/>
      <c r="R147" s="191"/>
      <c r="S147" s="191"/>
      <c r="T147" s="191"/>
      <c r="W147" s="191"/>
      <c r="X147" s="191"/>
    </row>
    <row r="148" spans="1:24" x14ac:dyDescent="0.25">
      <c r="A148" s="190"/>
      <c r="B148" s="190"/>
      <c r="C148" s="190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0"/>
      <c r="O148" s="163"/>
      <c r="P148" s="163"/>
      <c r="Q148" s="191"/>
      <c r="R148" s="191"/>
      <c r="S148" s="191"/>
      <c r="T148" s="191"/>
      <c r="W148" s="191"/>
      <c r="X148" s="191"/>
    </row>
    <row r="149" spans="1:24" x14ac:dyDescent="0.25">
      <c r="A149" s="190"/>
      <c r="B149" s="190"/>
      <c r="C149" s="190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90"/>
      <c r="O149" s="163"/>
      <c r="P149" s="163"/>
      <c r="Q149" s="191"/>
      <c r="R149" s="191"/>
      <c r="S149" s="191"/>
      <c r="T149" s="191"/>
      <c r="U149" s="1"/>
      <c r="W149" s="191"/>
      <c r="X149" s="191"/>
    </row>
    <row r="150" spans="1:24" x14ac:dyDescent="0.25">
      <c r="A150" s="190"/>
      <c r="B150" s="190"/>
      <c r="C150" s="190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90"/>
      <c r="O150" s="162"/>
      <c r="P150" s="162"/>
      <c r="Q150" s="191"/>
      <c r="R150" s="191"/>
      <c r="S150" s="191"/>
      <c r="T150" s="191"/>
      <c r="U150" s="1"/>
      <c r="W150" s="191"/>
      <c r="X150" s="191"/>
    </row>
    <row r="151" spans="1:24" x14ac:dyDescent="0.25">
      <c r="A151" s="190"/>
      <c r="B151" s="190"/>
      <c r="C151" s="190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90"/>
      <c r="O151" s="163"/>
      <c r="P151" s="163"/>
      <c r="Q151" s="191"/>
      <c r="R151" s="191"/>
      <c r="S151" s="191"/>
      <c r="T151" s="191"/>
      <c r="U151" s="1"/>
      <c r="W151" s="191"/>
      <c r="X151" s="191"/>
    </row>
    <row r="152" spans="1:24" x14ac:dyDescent="0.25">
      <c r="A152" s="190"/>
      <c r="B152" s="190"/>
      <c r="C152" s="190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90"/>
      <c r="O152" s="163"/>
      <c r="P152" s="163"/>
      <c r="Q152" s="191"/>
      <c r="R152" s="191"/>
      <c r="S152" s="191"/>
      <c r="T152" s="191"/>
      <c r="U152" s="1"/>
      <c r="W152" s="191"/>
      <c r="X152" s="191"/>
    </row>
    <row r="153" spans="1:24" x14ac:dyDescent="0.25">
      <c r="A153" s="190"/>
      <c r="B153" s="190"/>
      <c r="C153" s="190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90"/>
      <c r="O153" s="162"/>
      <c r="P153" s="162"/>
      <c r="Q153" s="191"/>
      <c r="R153" s="191"/>
      <c r="S153" s="191"/>
      <c r="T153" s="191"/>
      <c r="U153" s="1"/>
      <c r="W153" s="191"/>
      <c r="X153" s="191"/>
    </row>
    <row r="154" spans="1:24" x14ac:dyDescent="0.25">
      <c r="A154" s="190"/>
      <c r="B154" s="190"/>
      <c r="C154" s="190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90"/>
      <c r="O154" s="172"/>
      <c r="P154" s="172"/>
      <c r="Q154" s="191"/>
      <c r="R154" s="191"/>
      <c r="S154" s="191"/>
      <c r="T154" s="191"/>
      <c r="U154" s="1"/>
      <c r="W154" s="191"/>
      <c r="X154" s="191"/>
    </row>
    <row r="155" spans="1:24" x14ac:dyDescent="0.25">
      <c r="A155" s="193"/>
      <c r="B155" s="193"/>
      <c r="C155" s="193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O155" s="194"/>
      <c r="P155" s="194"/>
      <c r="Q155" s="195"/>
      <c r="R155" s="195"/>
      <c r="S155" s="195"/>
      <c r="T155" s="195"/>
      <c r="U155" s="1"/>
      <c r="W155" s="195"/>
      <c r="X155" s="195"/>
    </row>
    <row r="156" spans="1:24" x14ac:dyDescent="0.25"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O156" s="177"/>
      <c r="P156" s="177"/>
      <c r="Q156" s="195"/>
      <c r="R156" s="195"/>
      <c r="S156" s="195"/>
      <c r="T156" s="195"/>
      <c r="U156" s="1"/>
      <c r="W156" s="195"/>
      <c r="X156" s="195"/>
    </row>
    <row r="157" spans="1:24" x14ac:dyDescent="0.25">
      <c r="O157" s="177"/>
      <c r="P157" s="177"/>
      <c r="Q157" s="195"/>
      <c r="R157" s="195"/>
      <c r="S157" s="195"/>
      <c r="T157" s="195"/>
      <c r="U157" s="1"/>
      <c r="W157" s="195"/>
      <c r="X157" s="195"/>
    </row>
    <row r="158" spans="1:24" x14ac:dyDescent="0.25">
      <c r="O158" s="177"/>
      <c r="P158" s="177"/>
      <c r="Q158" s="195"/>
      <c r="R158" s="195"/>
      <c r="S158" s="195"/>
      <c r="T158" s="195"/>
      <c r="U158" s="1"/>
      <c r="W158" s="195"/>
      <c r="X158" s="195"/>
    </row>
    <row r="159" spans="1:24" x14ac:dyDescent="0.25">
      <c r="O159" s="177"/>
      <c r="P159" s="177"/>
      <c r="Q159" s="195"/>
      <c r="R159" s="195"/>
      <c r="S159" s="195"/>
      <c r="T159" s="195"/>
      <c r="U159" s="1"/>
      <c r="W159" s="195"/>
      <c r="X159" s="195"/>
    </row>
    <row r="160" spans="1:24" x14ac:dyDescent="0.25">
      <c r="O160" s="177"/>
      <c r="P160" s="177"/>
      <c r="Q160" s="195"/>
      <c r="R160" s="195"/>
      <c r="S160" s="195"/>
      <c r="T160" s="195"/>
      <c r="U160" s="1"/>
      <c r="W160" s="195"/>
      <c r="X160" s="195"/>
    </row>
    <row r="161" spans="15:24" x14ac:dyDescent="0.25">
      <c r="O161" s="177"/>
      <c r="P161" s="177"/>
      <c r="Q161" s="195"/>
      <c r="R161" s="195"/>
      <c r="S161" s="195"/>
      <c r="T161" s="195"/>
      <c r="U161" s="1"/>
      <c r="W161" s="195"/>
      <c r="X161" s="195"/>
    </row>
    <row r="162" spans="15:24" x14ac:dyDescent="0.25">
      <c r="O162" s="188"/>
      <c r="P162" s="188"/>
      <c r="Q162" s="195"/>
      <c r="R162" s="195"/>
      <c r="S162" s="195"/>
      <c r="T162" s="195"/>
      <c r="U162" s="1"/>
      <c r="W162" s="195"/>
      <c r="X162" s="195"/>
    </row>
    <row r="163" spans="15:24" x14ac:dyDescent="0.25">
      <c r="O163" s="177"/>
      <c r="P163" s="177"/>
      <c r="Q163" s="195"/>
      <c r="R163" s="195"/>
      <c r="S163" s="195"/>
      <c r="T163" s="195"/>
      <c r="U163" s="1"/>
      <c r="W163" s="195"/>
      <c r="X163" s="195"/>
    </row>
    <row r="164" spans="15:24" x14ac:dyDescent="0.25">
      <c r="O164" s="190"/>
      <c r="P164" s="190"/>
      <c r="Q164" s="195"/>
      <c r="R164" s="195"/>
      <c r="S164" s="195"/>
      <c r="T164" s="195"/>
      <c r="U164" s="1"/>
      <c r="W164" s="195"/>
      <c r="X164" s="195"/>
    </row>
    <row r="165" spans="15:24" x14ac:dyDescent="0.25">
      <c r="O165" s="190"/>
      <c r="P165" s="190"/>
      <c r="Q165" s="195"/>
      <c r="R165" s="195"/>
      <c r="S165" s="195"/>
      <c r="T165" s="195"/>
      <c r="U165" s="1"/>
      <c r="W165" s="195"/>
      <c r="X165" s="195"/>
    </row>
    <row r="166" spans="15:24" x14ac:dyDescent="0.25">
      <c r="O166" s="190"/>
      <c r="P166" s="190"/>
      <c r="Q166" s="195"/>
      <c r="R166" s="195"/>
      <c r="S166" s="195"/>
      <c r="T166" s="195"/>
      <c r="U166" s="1"/>
      <c r="W166" s="195"/>
      <c r="X166" s="195"/>
    </row>
    <row r="167" spans="15:24" x14ac:dyDescent="0.25">
      <c r="O167" s="190"/>
      <c r="P167" s="190"/>
      <c r="Q167" s="195"/>
      <c r="R167" s="195"/>
      <c r="S167" s="195"/>
      <c r="T167" s="195"/>
      <c r="U167" s="1"/>
      <c r="W167" s="195"/>
      <c r="X167" s="195"/>
    </row>
    <row r="168" spans="15:24" x14ac:dyDescent="0.25">
      <c r="O168" s="190"/>
      <c r="P168" s="190"/>
      <c r="Q168" s="195"/>
      <c r="R168" s="195"/>
      <c r="S168" s="195"/>
      <c r="T168" s="195"/>
      <c r="U168" s="1"/>
      <c r="W168" s="195"/>
      <c r="X168" s="195"/>
    </row>
    <row r="169" spans="15:24" x14ac:dyDescent="0.25">
      <c r="O169" s="190"/>
      <c r="P169" s="190"/>
      <c r="Q169" s="195"/>
      <c r="R169" s="195"/>
      <c r="S169" s="195"/>
      <c r="T169" s="195"/>
      <c r="U169" s="1"/>
      <c r="W169" s="195"/>
      <c r="X169" s="195"/>
    </row>
    <row r="170" spans="15:24" x14ac:dyDescent="0.25">
      <c r="O170" s="190"/>
      <c r="P170" s="190"/>
      <c r="Q170" s="195"/>
      <c r="R170" s="195"/>
      <c r="S170" s="195"/>
      <c r="T170" s="195"/>
      <c r="U170" s="1"/>
      <c r="W170" s="195"/>
      <c r="X170" s="195"/>
    </row>
    <row r="171" spans="15:24" x14ac:dyDescent="0.25">
      <c r="O171" s="190"/>
      <c r="P171" s="190"/>
      <c r="Q171" s="195"/>
      <c r="R171" s="195"/>
      <c r="S171" s="195"/>
      <c r="T171" s="195"/>
      <c r="U171" s="1"/>
      <c r="W171" s="195"/>
      <c r="X171" s="195"/>
    </row>
    <row r="172" spans="15:24" x14ac:dyDescent="0.25">
      <c r="O172" s="190"/>
      <c r="P172" s="190"/>
      <c r="Q172" s="195"/>
      <c r="R172" s="195"/>
      <c r="S172" s="195"/>
      <c r="T172" s="195"/>
      <c r="U172" s="1"/>
      <c r="W172" s="195"/>
      <c r="X172" s="195"/>
    </row>
    <row r="173" spans="15:24" x14ac:dyDescent="0.25">
      <c r="O173" s="190"/>
      <c r="P173" s="190"/>
      <c r="Q173" s="195"/>
      <c r="R173" s="195"/>
      <c r="S173" s="195"/>
      <c r="T173" s="195"/>
      <c r="U173" s="1"/>
      <c r="W173" s="195"/>
      <c r="X173" s="195"/>
    </row>
    <row r="174" spans="15:24" x14ac:dyDescent="0.25">
      <c r="O174" s="190"/>
      <c r="P174" s="190"/>
      <c r="Q174" s="195"/>
      <c r="R174" s="195"/>
      <c r="S174" s="195"/>
      <c r="T174" s="195"/>
      <c r="U174" s="1"/>
      <c r="W174" s="195"/>
      <c r="X174" s="195"/>
    </row>
    <row r="175" spans="15:24" x14ac:dyDescent="0.25">
      <c r="O175" s="190"/>
      <c r="P175" s="190"/>
      <c r="Q175" s="195"/>
      <c r="R175" s="195"/>
      <c r="S175" s="195"/>
      <c r="T175" s="195"/>
      <c r="U175" s="1"/>
      <c r="W175" s="195"/>
      <c r="X175" s="195"/>
    </row>
    <row r="176" spans="15:24" x14ac:dyDescent="0.25">
      <c r="Q176" s="195"/>
      <c r="R176" s="195"/>
      <c r="S176" s="195"/>
      <c r="T176" s="195"/>
      <c r="U176" s="1"/>
      <c r="W176" s="195"/>
      <c r="X176" s="195"/>
    </row>
    <row r="177" spans="17:24" x14ac:dyDescent="0.25">
      <c r="Q177" s="195"/>
      <c r="R177" s="195"/>
      <c r="S177" s="195"/>
      <c r="T177" s="195"/>
      <c r="U177" s="1"/>
      <c r="W177" s="195"/>
      <c r="X177" s="195"/>
    </row>
    <row r="178" spans="17:24" x14ac:dyDescent="0.25">
      <c r="Q178" s="195"/>
      <c r="R178" s="195"/>
      <c r="S178" s="195"/>
      <c r="T178" s="195"/>
      <c r="U178" s="1"/>
      <c r="W178" s="195"/>
      <c r="X178" s="195"/>
    </row>
    <row r="179" spans="17:24" x14ac:dyDescent="0.25">
      <c r="Q179" s="195"/>
      <c r="R179" s="195"/>
      <c r="S179" s="195"/>
      <c r="T179" s="195"/>
      <c r="U179" s="1"/>
      <c r="W179" s="195"/>
      <c r="X179" s="195"/>
    </row>
    <row r="180" spans="17:24" x14ac:dyDescent="0.25">
      <c r="Q180" s="195"/>
      <c r="R180" s="195"/>
      <c r="S180" s="195"/>
      <c r="T180" s="195"/>
      <c r="U180" s="1"/>
      <c r="W180" s="195"/>
      <c r="X180" s="195"/>
    </row>
    <row r="181" spans="17:24" x14ac:dyDescent="0.25">
      <c r="Q181" s="195"/>
      <c r="R181" s="195"/>
      <c r="S181" s="195"/>
      <c r="T181" s="195"/>
      <c r="U181" s="1"/>
      <c r="W181" s="195"/>
      <c r="X181" s="195"/>
    </row>
    <row r="182" spans="17:24" x14ac:dyDescent="0.25">
      <c r="Q182" s="195"/>
      <c r="R182" s="195"/>
      <c r="S182" s="195"/>
      <c r="T182" s="195"/>
      <c r="U182" s="1"/>
      <c r="W182" s="195"/>
      <c r="X182" s="195"/>
    </row>
    <row r="183" spans="17:24" x14ac:dyDescent="0.25">
      <c r="Q183" s="195"/>
      <c r="R183" s="195"/>
      <c r="S183" s="195"/>
      <c r="T183" s="195"/>
      <c r="U183" s="1"/>
      <c r="W183" s="195"/>
      <c r="X183" s="195"/>
    </row>
    <row r="184" spans="17:24" x14ac:dyDescent="0.25">
      <c r="Q184" s="195"/>
      <c r="R184" s="195"/>
      <c r="S184" s="195"/>
      <c r="T184" s="195"/>
      <c r="U184" s="1"/>
      <c r="W184" s="195"/>
      <c r="X184" s="195"/>
    </row>
    <row r="185" spans="17:24" x14ac:dyDescent="0.25">
      <c r="Q185" s="195"/>
      <c r="R185" s="195"/>
      <c r="S185" s="195"/>
      <c r="T185" s="195"/>
      <c r="U185" s="1"/>
      <c r="W185" s="195"/>
      <c r="X185" s="195"/>
    </row>
    <row r="186" spans="17:24" x14ac:dyDescent="0.25">
      <c r="Q186" s="195"/>
      <c r="R186" s="195"/>
      <c r="S186" s="195"/>
      <c r="T186" s="195"/>
      <c r="U186" s="1"/>
      <c r="W186" s="195"/>
      <c r="X186" s="195"/>
    </row>
    <row r="187" spans="17:24" x14ac:dyDescent="0.25">
      <c r="Q187" s="195"/>
      <c r="R187" s="195"/>
      <c r="S187" s="195"/>
      <c r="T187" s="195"/>
      <c r="U187" s="1"/>
      <c r="W187" s="195"/>
      <c r="X187" s="195"/>
    </row>
    <row r="188" spans="17:24" x14ac:dyDescent="0.25">
      <c r="Q188" s="195"/>
      <c r="R188" s="195"/>
      <c r="S188" s="195"/>
      <c r="T188" s="195"/>
      <c r="U188" s="1"/>
      <c r="W188" s="195"/>
      <c r="X188" s="195"/>
    </row>
    <row r="189" spans="17:24" x14ac:dyDescent="0.25">
      <c r="Q189" s="195"/>
      <c r="R189" s="195"/>
      <c r="S189" s="195"/>
      <c r="T189" s="195"/>
      <c r="U189" s="1"/>
      <c r="W189" s="195"/>
      <c r="X189" s="195"/>
    </row>
    <row r="190" spans="17:24" x14ac:dyDescent="0.25">
      <c r="Q190" s="195"/>
      <c r="R190" s="195"/>
      <c r="S190" s="195"/>
      <c r="T190" s="195"/>
      <c r="U190" s="1"/>
      <c r="W190" s="195"/>
      <c r="X190" s="195"/>
    </row>
    <row r="191" spans="17:24" x14ac:dyDescent="0.25">
      <c r="Q191" s="195"/>
      <c r="R191" s="195"/>
      <c r="S191" s="195"/>
      <c r="T191" s="195"/>
      <c r="U191" s="1"/>
      <c r="W191" s="195"/>
      <c r="X191" s="195"/>
    </row>
    <row r="192" spans="17:24" x14ac:dyDescent="0.25">
      <c r="Q192" s="195"/>
      <c r="R192" s="195"/>
      <c r="S192" s="195"/>
      <c r="T192" s="195"/>
      <c r="U192" s="1"/>
      <c r="W192" s="195"/>
      <c r="X192" s="195"/>
    </row>
    <row r="193" spans="17:24" x14ac:dyDescent="0.25">
      <c r="Q193" s="195"/>
      <c r="R193" s="195"/>
      <c r="S193" s="195"/>
      <c r="T193" s="195"/>
      <c r="U193" s="1"/>
      <c r="W193" s="195"/>
      <c r="X193" s="195"/>
    </row>
    <row r="194" spans="17:24" x14ac:dyDescent="0.25">
      <c r="Q194" s="195"/>
      <c r="R194" s="195"/>
      <c r="S194" s="195"/>
      <c r="T194" s="195"/>
      <c r="U194" s="1"/>
      <c r="W194" s="195"/>
      <c r="X194" s="195"/>
    </row>
    <row r="195" spans="17:24" x14ac:dyDescent="0.25">
      <c r="Q195" s="195"/>
      <c r="R195" s="195"/>
      <c r="S195" s="195"/>
      <c r="T195" s="195"/>
      <c r="U195" s="1"/>
      <c r="W195" s="195"/>
      <c r="X195" s="195"/>
    </row>
    <row r="196" spans="17:24" x14ac:dyDescent="0.25">
      <c r="Q196" s="195"/>
      <c r="R196" s="195"/>
      <c r="S196" s="195"/>
      <c r="T196" s="195"/>
      <c r="U196" s="1"/>
      <c r="W196" s="195"/>
      <c r="X196" s="195"/>
    </row>
    <row r="197" spans="17:24" x14ac:dyDescent="0.25">
      <c r="Q197" s="195"/>
      <c r="R197" s="195"/>
      <c r="S197" s="195"/>
      <c r="T197" s="195"/>
      <c r="U197" s="1"/>
      <c r="W197" s="195"/>
      <c r="X197" s="195"/>
    </row>
    <row r="198" spans="17:24" x14ac:dyDescent="0.25">
      <c r="Q198" s="195"/>
      <c r="R198" s="195"/>
      <c r="S198" s="195"/>
      <c r="T198" s="195"/>
      <c r="U198" s="1"/>
      <c r="W198" s="195"/>
      <c r="X198" s="195"/>
    </row>
    <row r="199" spans="17:24" x14ac:dyDescent="0.25">
      <c r="Q199" s="195"/>
      <c r="R199" s="195"/>
      <c r="S199" s="195"/>
      <c r="T199" s="195"/>
      <c r="U199" s="1"/>
      <c r="W199" s="195"/>
      <c r="X199" s="195"/>
    </row>
    <row r="200" spans="17:24" x14ac:dyDescent="0.25">
      <c r="Q200" s="195"/>
      <c r="R200" s="195"/>
      <c r="S200" s="195"/>
      <c r="T200" s="195"/>
      <c r="U200" s="1"/>
      <c r="W200" s="195"/>
      <c r="X200" s="195"/>
    </row>
    <row r="201" spans="17:24" x14ac:dyDescent="0.25">
      <c r="Q201" s="195"/>
      <c r="R201" s="195"/>
      <c r="S201" s="195"/>
      <c r="T201" s="195"/>
      <c r="U201" s="1"/>
      <c r="W201" s="195"/>
      <c r="X201" s="195"/>
    </row>
    <row r="202" spans="17:24" x14ac:dyDescent="0.25">
      <c r="Q202" s="195"/>
      <c r="R202" s="195"/>
      <c r="S202" s="195"/>
      <c r="T202" s="195"/>
      <c r="U202" s="1"/>
      <c r="W202" s="195"/>
      <c r="X202" s="195"/>
    </row>
    <row r="203" spans="17:24" x14ac:dyDescent="0.25">
      <c r="Q203" s="195"/>
      <c r="R203" s="195"/>
      <c r="S203" s="195"/>
      <c r="T203" s="195"/>
      <c r="U203" s="1"/>
      <c r="W203" s="195"/>
      <c r="X203" s="195"/>
    </row>
    <row r="204" spans="17:24" x14ac:dyDescent="0.25">
      <c r="Q204" s="195"/>
      <c r="R204" s="195"/>
      <c r="S204" s="195"/>
      <c r="T204" s="195"/>
      <c r="U204" s="1"/>
      <c r="W204" s="195"/>
      <c r="X204" s="195"/>
    </row>
    <row r="205" spans="17:24" x14ac:dyDescent="0.25">
      <c r="Q205" s="195"/>
      <c r="R205" s="195"/>
      <c r="S205" s="195"/>
      <c r="T205" s="195"/>
      <c r="U205" s="1"/>
      <c r="W205" s="195"/>
      <c r="X205" s="195"/>
    </row>
    <row r="206" spans="17:24" x14ac:dyDescent="0.25">
      <c r="Q206" s="195"/>
      <c r="R206" s="195"/>
      <c r="S206" s="195"/>
      <c r="T206" s="195"/>
      <c r="U206" s="1"/>
      <c r="W206" s="195"/>
      <c r="X206" s="195"/>
    </row>
    <row r="207" spans="17:24" x14ac:dyDescent="0.25">
      <c r="Q207" s="195"/>
      <c r="R207" s="195"/>
      <c r="S207" s="195"/>
      <c r="T207" s="195"/>
      <c r="U207" s="1"/>
      <c r="W207" s="195"/>
      <c r="X207" s="195"/>
    </row>
    <row r="208" spans="17:24" x14ac:dyDescent="0.25">
      <c r="Q208" s="195"/>
      <c r="R208" s="195"/>
      <c r="S208" s="195"/>
      <c r="T208" s="195"/>
      <c r="U208" s="1"/>
      <c r="W208" s="195"/>
      <c r="X208" s="195"/>
    </row>
    <row r="209" spans="17:24" x14ac:dyDescent="0.25">
      <c r="Q209" s="195"/>
      <c r="R209" s="195"/>
      <c r="S209" s="195"/>
      <c r="T209" s="195"/>
      <c r="U209" s="1"/>
      <c r="W209" s="195"/>
      <c r="X209" s="195"/>
    </row>
    <row r="210" spans="17:24" x14ac:dyDescent="0.25">
      <c r="Q210" s="195"/>
      <c r="R210" s="195"/>
      <c r="S210" s="195"/>
      <c r="T210" s="195"/>
      <c r="U210" s="1"/>
      <c r="W210" s="195"/>
      <c r="X210" s="195"/>
    </row>
    <row r="211" spans="17:24" x14ac:dyDescent="0.25">
      <c r="Q211" s="195"/>
      <c r="R211" s="195"/>
      <c r="S211" s="195"/>
      <c r="T211" s="195"/>
      <c r="U211" s="1"/>
      <c r="W211" s="195"/>
      <c r="X211" s="195"/>
    </row>
    <row r="212" spans="17:24" x14ac:dyDescent="0.25">
      <c r="Q212" s="195"/>
      <c r="R212" s="195"/>
      <c r="S212" s="195"/>
      <c r="T212" s="195"/>
      <c r="U212" s="1"/>
      <c r="W212" s="195"/>
      <c r="X212" s="195"/>
    </row>
    <row r="213" spans="17:24" x14ac:dyDescent="0.25">
      <c r="Q213" s="195"/>
      <c r="R213" s="195"/>
      <c r="S213" s="195"/>
      <c r="T213" s="195"/>
      <c r="U213" s="1"/>
      <c r="W213" s="195"/>
      <c r="X213" s="195"/>
    </row>
    <row r="214" spans="17:24" x14ac:dyDescent="0.25">
      <c r="Q214" s="195"/>
      <c r="R214" s="195"/>
      <c r="S214" s="195"/>
      <c r="T214" s="195"/>
      <c r="U214" s="1"/>
      <c r="W214" s="195"/>
      <c r="X214" s="195"/>
    </row>
    <row r="215" spans="17:24" x14ac:dyDescent="0.25">
      <c r="Q215" s="195"/>
      <c r="R215" s="195"/>
      <c r="S215" s="195"/>
      <c r="T215" s="195"/>
      <c r="U215" s="1"/>
      <c r="W215" s="195"/>
      <c r="X215" s="195"/>
    </row>
    <row r="216" spans="17:24" x14ac:dyDescent="0.25">
      <c r="Q216" s="195"/>
      <c r="R216" s="195"/>
      <c r="S216" s="195"/>
      <c r="T216" s="195"/>
      <c r="U216" s="1"/>
      <c r="W216" s="195"/>
      <c r="X216" s="195"/>
    </row>
    <row r="217" spans="17:24" x14ac:dyDescent="0.25">
      <c r="Q217" s="195"/>
      <c r="R217" s="195"/>
      <c r="S217" s="195"/>
      <c r="T217" s="195"/>
      <c r="U217" s="1"/>
      <c r="W217" s="195"/>
      <c r="X217" s="195"/>
    </row>
    <row r="218" spans="17:24" x14ac:dyDescent="0.25">
      <c r="Q218" s="195"/>
      <c r="R218" s="195"/>
      <c r="S218" s="195"/>
      <c r="T218" s="195"/>
      <c r="U218" s="1"/>
      <c r="W218" s="195"/>
      <c r="X218" s="195"/>
    </row>
    <row r="219" spans="17:24" x14ac:dyDescent="0.25">
      <c r="Q219" s="195"/>
      <c r="R219" s="195"/>
      <c r="S219" s="195"/>
      <c r="T219" s="195"/>
      <c r="U219" s="1"/>
      <c r="W219" s="195"/>
      <c r="X219" s="195"/>
    </row>
    <row r="220" spans="17:24" x14ac:dyDescent="0.25">
      <c r="Q220" s="195"/>
      <c r="R220" s="195"/>
      <c r="S220" s="195"/>
      <c r="T220" s="195"/>
      <c r="U220" s="1"/>
      <c r="W220" s="195"/>
      <c r="X220" s="195"/>
    </row>
    <row r="221" spans="17:24" x14ac:dyDescent="0.25">
      <c r="Q221" s="195"/>
      <c r="R221" s="195"/>
      <c r="S221" s="195"/>
      <c r="T221" s="195"/>
      <c r="U221" s="1"/>
      <c r="W221" s="195"/>
      <c r="X221" s="195"/>
    </row>
    <row r="222" spans="17:24" x14ac:dyDescent="0.25">
      <c r="Q222" s="195"/>
      <c r="R222" s="195"/>
      <c r="S222" s="195"/>
      <c r="T222" s="195"/>
      <c r="U222" s="1"/>
      <c r="W222" s="195"/>
      <c r="X222" s="195"/>
    </row>
    <row r="223" spans="17:24" x14ac:dyDescent="0.25">
      <c r="Q223" s="195"/>
      <c r="R223" s="195"/>
      <c r="S223" s="195"/>
      <c r="T223" s="195"/>
      <c r="U223" s="1"/>
      <c r="W223" s="195"/>
      <c r="X223" s="195"/>
    </row>
    <row r="224" spans="17:24" x14ac:dyDescent="0.25">
      <c r="Q224" s="195"/>
      <c r="R224" s="195"/>
      <c r="S224" s="195"/>
      <c r="T224" s="195"/>
      <c r="U224" s="1"/>
      <c r="W224" s="195"/>
      <c r="X224" s="195"/>
    </row>
    <row r="225" spans="17:24" x14ac:dyDescent="0.25">
      <c r="Q225" s="195"/>
      <c r="R225" s="195"/>
      <c r="S225" s="195"/>
      <c r="T225" s="195"/>
      <c r="U225" s="1"/>
      <c r="W225" s="195"/>
      <c r="X225" s="195"/>
    </row>
    <row r="226" spans="17:24" x14ac:dyDescent="0.25">
      <c r="Q226" s="195"/>
      <c r="R226" s="195"/>
      <c r="S226" s="195"/>
      <c r="T226" s="195"/>
      <c r="U226" s="1"/>
      <c r="W226" s="195"/>
      <c r="X226" s="195"/>
    </row>
    <row r="227" spans="17:24" x14ac:dyDescent="0.25">
      <c r="Q227" s="195"/>
      <c r="R227" s="195"/>
      <c r="S227" s="195"/>
      <c r="T227" s="195"/>
      <c r="U227" s="1"/>
      <c r="W227" s="195"/>
      <c r="X227" s="195"/>
    </row>
    <row r="228" spans="17:24" x14ac:dyDescent="0.25">
      <c r="Q228" s="195"/>
      <c r="R228" s="195"/>
      <c r="S228" s="195"/>
      <c r="T228" s="195"/>
      <c r="U228" s="1"/>
      <c r="W228" s="195"/>
      <c r="X228" s="195"/>
    </row>
    <row r="229" spans="17:24" x14ac:dyDescent="0.25">
      <c r="Q229" s="195"/>
      <c r="R229" s="195"/>
      <c r="S229" s="195"/>
      <c r="T229" s="195"/>
      <c r="U229" s="1"/>
      <c r="W229" s="195"/>
      <c r="X229" s="195"/>
    </row>
    <row r="230" spans="17:24" x14ac:dyDescent="0.25">
      <c r="Q230" s="195"/>
      <c r="R230" s="195"/>
      <c r="S230" s="195"/>
      <c r="T230" s="195"/>
      <c r="U230" s="1"/>
      <c r="W230" s="195"/>
      <c r="X230" s="195"/>
    </row>
    <row r="231" spans="17:24" x14ac:dyDescent="0.25">
      <c r="Q231" s="195"/>
      <c r="R231" s="195"/>
      <c r="S231" s="195"/>
      <c r="T231" s="195"/>
      <c r="U231" s="1"/>
      <c r="W231" s="195"/>
      <c r="X231" s="195"/>
    </row>
    <row r="232" spans="17:24" x14ac:dyDescent="0.25">
      <c r="Q232" s="195"/>
      <c r="R232" s="195"/>
      <c r="S232" s="195"/>
      <c r="T232" s="195"/>
      <c r="U232" s="1"/>
      <c r="W232" s="195"/>
      <c r="X232" s="195"/>
    </row>
    <row r="233" spans="17:24" x14ac:dyDescent="0.25">
      <c r="Q233" s="195"/>
      <c r="R233" s="195"/>
      <c r="S233" s="195"/>
      <c r="T233" s="195"/>
      <c r="U233" s="1"/>
      <c r="W233" s="195"/>
      <c r="X233" s="195"/>
    </row>
    <row r="234" spans="17:24" x14ac:dyDescent="0.25">
      <c r="Q234" s="195"/>
      <c r="R234" s="195"/>
      <c r="S234" s="195"/>
      <c r="T234" s="195"/>
      <c r="U234" s="1"/>
      <c r="W234" s="195"/>
      <c r="X234" s="195"/>
    </row>
    <row r="235" spans="17:24" x14ac:dyDescent="0.25">
      <c r="Q235" s="195"/>
      <c r="R235" s="195"/>
      <c r="S235" s="195"/>
      <c r="T235" s="195"/>
      <c r="U235" s="1"/>
      <c r="W235" s="195"/>
      <c r="X235" s="195"/>
    </row>
    <row r="236" spans="17:24" x14ac:dyDescent="0.25">
      <c r="Q236" s="195"/>
      <c r="R236" s="195"/>
      <c r="S236" s="195"/>
      <c r="T236" s="195"/>
      <c r="U236" s="1"/>
      <c r="W236" s="195"/>
      <c r="X236" s="195"/>
    </row>
    <row r="237" spans="17:24" x14ac:dyDescent="0.25">
      <c r="Q237" s="195"/>
      <c r="R237" s="195"/>
      <c r="S237" s="195"/>
      <c r="T237" s="195"/>
      <c r="U237" s="1"/>
      <c r="W237" s="195"/>
      <c r="X237" s="195"/>
    </row>
    <row r="238" spans="17:24" x14ac:dyDescent="0.25">
      <c r="Q238" s="195"/>
      <c r="R238" s="195"/>
      <c r="S238" s="195"/>
      <c r="T238" s="195"/>
      <c r="U238" s="1"/>
      <c r="W238" s="195"/>
      <c r="X238" s="195"/>
    </row>
    <row r="239" spans="17:24" x14ac:dyDescent="0.25">
      <c r="Q239" s="195"/>
      <c r="R239" s="195"/>
      <c r="S239" s="195"/>
      <c r="T239" s="195"/>
      <c r="U239" s="1"/>
      <c r="W239" s="195"/>
      <c r="X239" s="195"/>
    </row>
    <row r="240" spans="17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</sheetData>
  <mergeCells count="37">
    <mergeCell ref="R136:U136"/>
    <mergeCell ref="D144:H144"/>
    <mergeCell ref="A141:J141"/>
    <mergeCell ref="A142:J142"/>
    <mergeCell ref="N142:Q142"/>
    <mergeCell ref="R142:U142"/>
    <mergeCell ref="A143:J143"/>
    <mergeCell ref="N143:Q143"/>
    <mergeCell ref="R143:U143"/>
    <mergeCell ref="V7:V8"/>
    <mergeCell ref="A9:I9"/>
    <mergeCell ref="J9:K9"/>
    <mergeCell ref="D14:G14"/>
    <mergeCell ref="D137:J137"/>
    <mergeCell ref="N137:Q137"/>
    <mergeCell ref="R137:U137"/>
    <mergeCell ref="D22:G22"/>
    <mergeCell ref="D24:G24"/>
    <mergeCell ref="D109:G109"/>
    <mergeCell ref="A134:J134"/>
    <mergeCell ref="D135:J135"/>
    <mergeCell ref="K135:L135"/>
    <mergeCell ref="R135:T135"/>
    <mergeCell ref="A136:J136"/>
    <mergeCell ref="N136:Q136"/>
    <mergeCell ref="D16:G16"/>
    <mergeCell ref="A3:U3"/>
    <mergeCell ref="A4:U4"/>
    <mergeCell ref="A5:U5"/>
    <mergeCell ref="A7:I8"/>
    <mergeCell ref="J7:K8"/>
    <mergeCell ref="L7:L8"/>
    <mergeCell ref="M7:M8"/>
    <mergeCell ref="N7:N8"/>
    <mergeCell ref="O7:P7"/>
    <mergeCell ref="Q7:S7"/>
    <mergeCell ref="U7:U8"/>
  </mergeCells>
  <pageMargins left="0.70866141732283472" right="0.70866141732283472" top="0.74803149606299213" bottom="0.74803149606299213" header="0.31496062992125984" footer="0.31496062992125984"/>
  <pageSetup paperSize="5" scale="7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21"/>
  <sheetViews>
    <sheetView topLeftCell="B1" zoomScale="90" zoomScaleNormal="90" workbookViewId="0">
      <selection activeCell="R22" sqref="R22"/>
    </sheetView>
  </sheetViews>
  <sheetFormatPr defaultRowHeight="15.75" x14ac:dyDescent="0.25"/>
  <cols>
    <col min="1" max="1" width="5.28515625" style="1" hidden="1" customWidth="1"/>
    <col min="2" max="2" width="3.85546875" style="1" customWidth="1"/>
    <col min="3" max="3" width="2" style="1" hidden="1" customWidth="1"/>
    <col min="4" max="6" width="8.7109375" style="1" customWidth="1"/>
    <col min="7" max="7" width="8.5703125" style="1" customWidth="1"/>
    <col min="8" max="8" width="0.28515625" style="1" hidden="1" customWidth="1"/>
    <col min="9" max="9" width="1.42578125" style="1" hidden="1" customWidth="1"/>
    <col min="10" max="10" width="7" style="1" customWidth="1"/>
    <col min="11" max="11" width="72.42578125" style="1" customWidth="1"/>
    <col min="12" max="12" width="16.42578125" style="1" hidden="1" customWidth="1"/>
    <col min="13" max="13" width="20.42578125" style="1" hidden="1" customWidth="1"/>
    <col min="14" max="14" width="29" style="1" customWidth="1"/>
    <col min="15" max="15" width="14.140625" style="1" hidden="1" customWidth="1"/>
    <col min="16" max="16" width="14.5703125" style="1" hidden="1" customWidth="1"/>
    <col min="17" max="17" width="17.42578125" style="1" customWidth="1"/>
    <col min="18" max="18" width="17.140625" style="196" customWidth="1"/>
    <col min="19" max="19" width="16" style="1" customWidth="1"/>
    <col min="20" max="20" width="14.42578125" style="1" customWidth="1"/>
    <col min="21" max="21" width="18.85546875" style="4" customWidth="1"/>
    <col min="22" max="22" width="18.140625" style="1" hidden="1" customWidth="1"/>
    <col min="23" max="23" width="13.85546875" style="1" hidden="1" customWidth="1"/>
    <col min="24" max="24" width="13.85546875" style="1" customWidth="1"/>
    <col min="25" max="16384" width="9.140625" style="1"/>
  </cols>
  <sheetData>
    <row r="1" spans="1:28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8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8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5"/>
    </row>
    <row r="4" spans="1:28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5"/>
    </row>
    <row r="5" spans="1:28" ht="18" x14ac:dyDescent="0.25">
      <c r="A5" s="482" t="s">
        <v>3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5"/>
    </row>
    <row r="6" spans="1:2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8" ht="20.100000000000001" customHeight="1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6</v>
      </c>
      <c r="M7" s="488" t="s">
        <v>7</v>
      </c>
      <c r="N7" s="488" t="s">
        <v>8</v>
      </c>
      <c r="O7" s="490" t="s">
        <v>9</v>
      </c>
      <c r="P7" s="490"/>
      <c r="Q7" s="491" t="s">
        <v>10</v>
      </c>
      <c r="R7" s="492"/>
      <c r="S7" s="492"/>
      <c r="T7" s="11"/>
      <c r="U7" s="493" t="s">
        <v>11</v>
      </c>
      <c r="V7" s="490" t="s">
        <v>12</v>
      </c>
      <c r="W7" s="11"/>
      <c r="X7" s="11"/>
    </row>
    <row r="8" spans="1:28" ht="20.100000000000001" customHeight="1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13" t="s">
        <v>14</v>
      </c>
      <c r="Q8" s="13" t="s">
        <v>13</v>
      </c>
      <c r="R8" s="14" t="s">
        <v>14</v>
      </c>
      <c r="S8" s="13" t="s">
        <v>15</v>
      </c>
      <c r="T8" s="13" t="s">
        <v>16</v>
      </c>
      <c r="U8" s="493"/>
      <c r="V8" s="490"/>
      <c r="W8" s="13" t="s">
        <v>17</v>
      </c>
      <c r="X8" s="13" t="s">
        <v>17</v>
      </c>
    </row>
    <row r="9" spans="1:28" ht="20.100000000000001" customHeight="1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 t="s">
        <v>19</v>
      </c>
      <c r="K9" s="494"/>
      <c r="L9" s="13" t="s">
        <v>20</v>
      </c>
      <c r="M9" s="13" t="s">
        <v>21</v>
      </c>
      <c r="N9" s="13" t="s">
        <v>22</v>
      </c>
      <c r="O9" s="13" t="s">
        <v>22</v>
      </c>
      <c r="P9" s="13" t="s">
        <v>23</v>
      </c>
      <c r="Q9" s="13" t="s">
        <v>24</v>
      </c>
      <c r="R9" s="14" t="s">
        <v>25</v>
      </c>
      <c r="S9" s="13" t="s">
        <v>26</v>
      </c>
      <c r="T9" s="13" t="s">
        <v>27</v>
      </c>
      <c r="U9" s="13" t="s">
        <v>28</v>
      </c>
      <c r="V9" s="15"/>
      <c r="W9" s="13" t="s">
        <v>27</v>
      </c>
      <c r="X9" s="13" t="s">
        <v>27</v>
      </c>
    </row>
    <row r="10" spans="1:28" ht="20.100000000000001" customHeight="1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f>L12+L142</f>
        <v>2522690000</v>
      </c>
      <c r="M10" s="19">
        <f>M12+M142</f>
        <v>749800000</v>
      </c>
      <c r="N10" s="19">
        <f>N12+N142</f>
        <v>1811994000</v>
      </c>
      <c r="O10" s="19" t="e">
        <f>O12</f>
        <v>#REF!</v>
      </c>
      <c r="P10" s="19"/>
      <c r="Q10" s="19">
        <f>Q12+Q142</f>
        <v>140698923</v>
      </c>
      <c r="R10" s="19">
        <v>1653490390</v>
      </c>
      <c r="S10" s="19">
        <f>Q10+R10</f>
        <v>1794189313</v>
      </c>
      <c r="T10" s="20">
        <f>S10/N10*100</f>
        <v>99.017398126042352</v>
      </c>
      <c r="U10" s="21">
        <f>N10-S10</f>
        <v>17804687</v>
      </c>
      <c r="V10" s="21">
        <f>U10/2</f>
        <v>8902343.5</v>
      </c>
      <c r="W10" s="22">
        <f>Q10/N10*100</f>
        <v>7.7648669366454852</v>
      </c>
      <c r="X10" s="22">
        <f>Q10/N10*100</f>
        <v>7.7648669366454852</v>
      </c>
    </row>
    <row r="11" spans="1:28" ht="20.100000000000001" customHeight="1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</row>
    <row r="12" spans="1:28" ht="20.100000000000001" customHeight="1" x14ac:dyDescent="0.25">
      <c r="A12" s="34"/>
      <c r="B12" s="35" t="s">
        <v>31</v>
      </c>
      <c r="C12" s="36" t="s">
        <v>31</v>
      </c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L14+L24+L35+L45+L50+L60+L68+L72+L78+L82+L86+L90+L94+L100+L104+L108+L114+L126+L130+L138</f>
        <v>1907290000</v>
      </c>
      <c r="M12" s="41">
        <f>M14+M24+M35++M45+M50+M60+M68+M72+M78+M82+M86+M90+M94+M100+M104+M108+M114+M126+M130+M138</f>
        <v>458395000</v>
      </c>
      <c r="N12" s="41">
        <f>L12-M12</f>
        <v>1448895000</v>
      </c>
      <c r="O12" s="41" t="e">
        <f>#REF!</f>
        <v>#REF!</v>
      </c>
      <c r="P12" s="41"/>
      <c r="Q12" s="41">
        <f>Q14+Q24+Q35+Q45+Q50+Q60+Q68+Q72+Q78+Q86+Q90+Q94+Q100+Q108+Q114+Q130+Q138+Q104</f>
        <v>112483923</v>
      </c>
      <c r="R12" s="41">
        <v>1324865390</v>
      </c>
      <c r="S12" s="41">
        <f>Q12+R12</f>
        <v>1437349313</v>
      </c>
      <c r="T12" s="20">
        <f>S12/N12*100</f>
        <v>99.203138460689004</v>
      </c>
      <c r="U12" s="42">
        <f>N12-S12</f>
        <v>11545687</v>
      </c>
      <c r="V12" s="42">
        <f>U12/2</f>
        <v>5772843.5</v>
      </c>
      <c r="W12" s="22">
        <f t="shared" ref="W12:W74" si="0">Q12/N12*100</f>
        <v>7.7634281987307565</v>
      </c>
      <c r="X12" s="22">
        <f t="shared" ref="X12:X74" si="1">Q12/N12*100</f>
        <v>7.7634281987307565</v>
      </c>
    </row>
    <row r="13" spans="1:28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76" si="2">U13/2</f>
        <v>0</v>
      </c>
      <c r="W13" s="22"/>
      <c r="X13" s="22"/>
    </row>
    <row r="14" spans="1:28" ht="30" customHeight="1" x14ac:dyDescent="0.25">
      <c r="A14" s="44"/>
      <c r="B14" s="45" t="s">
        <v>31</v>
      </c>
      <c r="C14" s="46" t="s">
        <v>31</v>
      </c>
      <c r="D14" s="480" t="s">
        <v>33</v>
      </c>
      <c r="E14" s="481"/>
      <c r="F14" s="481"/>
      <c r="G14" s="481"/>
      <c r="H14" s="49"/>
      <c r="I14" s="50"/>
      <c r="J14" s="49"/>
      <c r="K14" s="51"/>
      <c r="L14" s="52">
        <f>L16+L21</f>
        <v>8000000</v>
      </c>
      <c r="M14" s="52">
        <f>M16+M21</f>
        <v>4800000</v>
      </c>
      <c r="N14" s="52">
        <f>N16+N21</f>
        <v>3349000</v>
      </c>
      <c r="O14" s="53"/>
      <c r="P14" s="53"/>
      <c r="Q14" s="52">
        <f t="shared" ref="Q14" si="3">Q16+Q21</f>
        <v>0</v>
      </c>
      <c r="R14" s="52">
        <v>3334000</v>
      </c>
      <c r="S14" s="52">
        <f t="shared" ref="S14:S24" si="4">Q14+R14</f>
        <v>3334000</v>
      </c>
      <c r="T14" s="54">
        <f>S14/N14*100</f>
        <v>99.55210510600179</v>
      </c>
      <c r="U14" s="52">
        <f>N14-S14</f>
        <v>15000</v>
      </c>
      <c r="V14" s="42">
        <f t="shared" si="2"/>
        <v>7500</v>
      </c>
      <c r="W14" s="22">
        <f>Q14/N14*100</f>
        <v>0</v>
      </c>
      <c r="X14" s="22">
        <f t="shared" si="1"/>
        <v>0</v>
      </c>
      <c r="Z14" s="22">
        <f>Q14/N14*100</f>
        <v>0</v>
      </c>
    </row>
    <row r="15" spans="1:28" s="57" customFormat="1" x14ac:dyDescent="0.25">
      <c r="A15" s="24"/>
      <c r="B15" s="27"/>
      <c r="C15" s="27"/>
      <c r="D15" s="27"/>
      <c r="E15" s="27"/>
      <c r="F15" s="26"/>
      <c r="G15" s="27"/>
      <c r="H15" s="27"/>
      <c r="I15" s="26"/>
      <c r="J15" s="55"/>
      <c r="K15" s="56"/>
      <c r="L15" s="30"/>
      <c r="M15" s="30"/>
      <c r="N15" s="31"/>
      <c r="O15" s="30"/>
      <c r="P15" s="30"/>
      <c r="Q15" s="29"/>
      <c r="R15" s="29"/>
      <c r="S15" s="29"/>
      <c r="T15" s="32"/>
      <c r="U15" s="43"/>
      <c r="V15" s="42">
        <f t="shared" si="2"/>
        <v>0</v>
      </c>
      <c r="W15" s="22"/>
      <c r="X15" s="22"/>
      <c r="Z15" s="22" t="e">
        <f t="shared" ref="Z15:Z78" si="5">Q15/N15*100</f>
        <v>#DIV/0!</v>
      </c>
    </row>
    <row r="16" spans="1:28" x14ac:dyDescent="0.25">
      <c r="A16" s="24"/>
      <c r="B16" s="58" t="s">
        <v>31</v>
      </c>
      <c r="C16" s="59" t="s">
        <v>31</v>
      </c>
      <c r="D16" s="60" t="s">
        <v>34</v>
      </c>
      <c r="E16" s="61"/>
      <c r="F16" s="61"/>
      <c r="G16" s="61"/>
      <c r="H16" s="62"/>
      <c r="I16" s="63"/>
      <c r="J16" s="64"/>
      <c r="K16" s="56" t="s">
        <v>35</v>
      </c>
      <c r="L16" s="30">
        <f>SUM(L17:L19)</f>
        <v>3000000</v>
      </c>
      <c r="M16" s="30">
        <f>M17+M18+M19</f>
        <v>1300000</v>
      </c>
      <c r="N16" s="31">
        <v>1849000</v>
      </c>
      <c r="O16" s="30"/>
      <c r="P16" s="30"/>
      <c r="Q16" s="30"/>
      <c r="R16" s="29">
        <v>1849000</v>
      </c>
      <c r="S16" s="29">
        <f t="shared" si="4"/>
        <v>1849000</v>
      </c>
      <c r="T16" s="20">
        <f>S16/N16*100</f>
        <v>100</v>
      </c>
      <c r="U16" s="43">
        <f t="shared" ref="U16:U76" si="6">N16-S16</f>
        <v>0</v>
      </c>
      <c r="V16" s="42">
        <f t="shared" si="2"/>
        <v>0</v>
      </c>
      <c r="W16" s="22">
        <f>Q16/N16*100</f>
        <v>0</v>
      </c>
      <c r="X16" s="22">
        <f t="shared" si="1"/>
        <v>0</v>
      </c>
      <c r="Y16" s="1" t="s">
        <v>36</v>
      </c>
      <c r="Z16" s="65">
        <f t="shared" si="5"/>
        <v>0</v>
      </c>
      <c r="AB16" s="1">
        <f>Q16/N16*100</f>
        <v>0</v>
      </c>
    </row>
    <row r="17" spans="1:26" x14ac:dyDescent="0.25">
      <c r="A17" s="24"/>
      <c r="B17" s="27"/>
      <c r="C17" s="27"/>
      <c r="D17" s="27"/>
      <c r="E17" s="26"/>
      <c r="F17" s="26"/>
      <c r="G17" s="26"/>
      <c r="H17" s="26"/>
      <c r="I17" s="26"/>
      <c r="J17" s="64"/>
      <c r="K17" s="28" t="s">
        <v>37</v>
      </c>
      <c r="L17" s="66">
        <v>600000</v>
      </c>
      <c r="M17" s="66">
        <v>400000</v>
      </c>
      <c r="N17" s="67">
        <f>L17-M17</f>
        <v>200000</v>
      </c>
      <c r="O17" s="30"/>
      <c r="P17" s="30"/>
      <c r="Q17" s="68">
        <v>0</v>
      </c>
      <c r="R17" s="68">
        <v>200000</v>
      </c>
      <c r="S17" s="68">
        <f t="shared" si="4"/>
        <v>200000</v>
      </c>
      <c r="T17" s="20">
        <f t="shared" ref="T17:T19" si="7">S17/N17*100</f>
        <v>100</v>
      </c>
      <c r="U17" s="43">
        <f t="shared" si="6"/>
        <v>0</v>
      </c>
      <c r="V17" s="42">
        <f t="shared" si="2"/>
        <v>0</v>
      </c>
      <c r="W17" s="22">
        <f t="shared" si="0"/>
        <v>0</v>
      </c>
      <c r="X17" s="22">
        <f t="shared" si="1"/>
        <v>0</v>
      </c>
      <c r="Z17" s="22">
        <f t="shared" si="5"/>
        <v>0</v>
      </c>
    </row>
    <row r="18" spans="1:26" x14ac:dyDescent="0.25">
      <c r="A18" s="24"/>
      <c r="B18" s="27"/>
      <c r="C18" s="27"/>
      <c r="D18" s="27"/>
      <c r="E18" s="26"/>
      <c r="F18" s="26"/>
      <c r="G18" s="26"/>
      <c r="H18" s="26"/>
      <c r="I18" s="26"/>
      <c r="J18" s="64"/>
      <c r="K18" s="28" t="s">
        <v>38</v>
      </c>
      <c r="L18" s="66">
        <v>1800000</v>
      </c>
      <c r="M18" s="66">
        <v>600000</v>
      </c>
      <c r="N18" s="67">
        <f t="shared" ref="N18:N19" si="8">L18-M18</f>
        <v>1200000</v>
      </c>
      <c r="O18" s="30"/>
      <c r="P18" s="30"/>
      <c r="Q18" s="69">
        <v>0</v>
      </c>
      <c r="R18" s="68">
        <v>1199000</v>
      </c>
      <c r="S18" s="68">
        <f t="shared" si="4"/>
        <v>1199000</v>
      </c>
      <c r="T18" s="20">
        <f t="shared" si="7"/>
        <v>99.916666666666671</v>
      </c>
      <c r="U18" s="43">
        <f>N18-S18</f>
        <v>1000</v>
      </c>
      <c r="V18" s="42">
        <f t="shared" si="2"/>
        <v>500</v>
      </c>
      <c r="W18" s="22">
        <f t="shared" si="0"/>
        <v>0</v>
      </c>
      <c r="X18" s="22">
        <f t="shared" si="1"/>
        <v>0</v>
      </c>
      <c r="Z18" s="22">
        <f t="shared" si="5"/>
        <v>0</v>
      </c>
    </row>
    <row r="19" spans="1:26" x14ac:dyDescent="0.25">
      <c r="A19" s="24"/>
      <c r="B19" s="27"/>
      <c r="C19" s="27"/>
      <c r="D19" s="27"/>
      <c r="E19" s="26"/>
      <c r="F19" s="26"/>
      <c r="G19" s="26"/>
      <c r="H19" s="26"/>
      <c r="I19" s="26"/>
      <c r="J19" s="64"/>
      <c r="K19" s="28" t="s">
        <v>39</v>
      </c>
      <c r="L19" s="66">
        <v>600000</v>
      </c>
      <c r="M19" s="66">
        <v>300000</v>
      </c>
      <c r="N19" s="67">
        <f t="shared" si="8"/>
        <v>300000</v>
      </c>
      <c r="O19" s="66"/>
      <c r="P19" s="66"/>
      <c r="Q19" s="68">
        <v>0</v>
      </c>
      <c r="R19" s="68">
        <v>300000</v>
      </c>
      <c r="S19" s="68">
        <f t="shared" si="4"/>
        <v>300000</v>
      </c>
      <c r="T19" s="20">
        <f t="shared" si="7"/>
        <v>100</v>
      </c>
      <c r="U19" s="43">
        <f t="shared" si="6"/>
        <v>0</v>
      </c>
      <c r="V19" s="42">
        <f t="shared" si="2"/>
        <v>0</v>
      </c>
      <c r="W19" s="22">
        <f t="shared" si="0"/>
        <v>0</v>
      </c>
      <c r="X19" s="22">
        <f t="shared" si="1"/>
        <v>0</v>
      </c>
      <c r="Z19" s="22">
        <f t="shared" si="5"/>
        <v>0</v>
      </c>
    </row>
    <row r="20" spans="1:26" x14ac:dyDescent="0.25">
      <c r="A20" s="24"/>
      <c r="B20" s="27"/>
      <c r="C20" s="27"/>
      <c r="D20" s="27"/>
      <c r="E20" s="26"/>
      <c r="F20" s="26"/>
      <c r="G20" s="26"/>
      <c r="H20" s="26"/>
      <c r="I20" s="26"/>
      <c r="J20" s="64"/>
      <c r="K20" s="56"/>
      <c r="L20" s="30"/>
      <c r="M20" s="30"/>
      <c r="N20" s="31"/>
      <c r="O20" s="66"/>
      <c r="P20" s="66"/>
      <c r="Q20" s="29"/>
      <c r="R20" s="29"/>
      <c r="S20" s="29"/>
      <c r="T20" s="32"/>
      <c r="U20" s="43"/>
      <c r="V20" s="42">
        <f t="shared" si="2"/>
        <v>0</v>
      </c>
      <c r="W20" s="22"/>
      <c r="X20" s="22"/>
      <c r="Z20" s="22" t="e">
        <f t="shared" si="5"/>
        <v>#DIV/0!</v>
      </c>
    </row>
    <row r="21" spans="1:26" x14ac:dyDescent="0.25">
      <c r="A21" s="24"/>
      <c r="B21" s="58" t="s">
        <v>31</v>
      </c>
      <c r="C21" s="59" t="s">
        <v>31</v>
      </c>
      <c r="D21" s="60" t="s">
        <v>40</v>
      </c>
      <c r="E21" s="61"/>
      <c r="F21" s="61"/>
      <c r="G21" s="61"/>
      <c r="H21" s="62"/>
      <c r="I21" s="63"/>
      <c r="J21" s="64"/>
      <c r="K21" s="56" t="s">
        <v>41</v>
      </c>
      <c r="L21" s="30">
        <f>L22</f>
        <v>5000000</v>
      </c>
      <c r="M21" s="30">
        <f>M22</f>
        <v>3500000</v>
      </c>
      <c r="N21" s="31">
        <f>N22</f>
        <v>1500000</v>
      </c>
      <c r="O21" s="66"/>
      <c r="P21" s="66"/>
      <c r="Q21" s="30">
        <f t="shared" ref="Q21" si="9">Q22</f>
        <v>0</v>
      </c>
      <c r="R21" s="29">
        <v>1485000</v>
      </c>
      <c r="S21" s="29">
        <f t="shared" si="4"/>
        <v>1485000</v>
      </c>
      <c r="T21" s="20">
        <f t="shared" ref="T21:T22" si="10">S21/N21*100</f>
        <v>99</v>
      </c>
      <c r="U21" s="43">
        <f t="shared" si="6"/>
        <v>15000</v>
      </c>
      <c r="V21" s="42">
        <f t="shared" si="2"/>
        <v>7500</v>
      </c>
      <c r="W21" s="22">
        <f t="shared" si="0"/>
        <v>0</v>
      </c>
      <c r="X21" s="22">
        <f t="shared" si="1"/>
        <v>0</v>
      </c>
      <c r="Z21" s="65">
        <f t="shared" si="5"/>
        <v>0</v>
      </c>
    </row>
    <row r="22" spans="1:26" x14ac:dyDescent="0.25">
      <c r="A22" s="24"/>
      <c r="B22" s="27"/>
      <c r="C22" s="27"/>
      <c r="D22" s="27"/>
      <c r="E22" s="26"/>
      <c r="F22" s="26"/>
      <c r="G22" s="26"/>
      <c r="H22" s="26"/>
      <c r="I22" s="26"/>
      <c r="J22" s="64"/>
      <c r="K22" s="28" t="s">
        <v>42</v>
      </c>
      <c r="L22" s="66">
        <v>5000000</v>
      </c>
      <c r="M22" s="66">
        <v>3500000</v>
      </c>
      <c r="N22" s="67">
        <f>L22-M22</f>
        <v>1500000</v>
      </c>
      <c r="O22" s="30"/>
      <c r="P22" s="30"/>
      <c r="Q22" s="68">
        <v>0</v>
      </c>
      <c r="R22" s="68">
        <v>1485000</v>
      </c>
      <c r="S22" s="68">
        <f t="shared" si="4"/>
        <v>1485000</v>
      </c>
      <c r="T22" s="20">
        <f t="shared" si="10"/>
        <v>99</v>
      </c>
      <c r="U22" s="43">
        <f t="shared" si="6"/>
        <v>15000</v>
      </c>
      <c r="V22" s="42">
        <f t="shared" si="2"/>
        <v>7500</v>
      </c>
      <c r="W22" s="22">
        <f t="shared" si="0"/>
        <v>0</v>
      </c>
      <c r="X22" s="22">
        <f t="shared" si="1"/>
        <v>0</v>
      </c>
      <c r="Z22" s="22">
        <f t="shared" si="5"/>
        <v>0</v>
      </c>
    </row>
    <row r="23" spans="1:26" x14ac:dyDescent="0.25">
      <c r="A23" s="24"/>
      <c r="B23" s="27"/>
      <c r="C23" s="27"/>
      <c r="D23" s="27"/>
      <c r="E23" s="26"/>
      <c r="F23" s="26"/>
      <c r="G23" s="26"/>
      <c r="H23" s="26"/>
      <c r="I23" s="26"/>
      <c r="J23" s="64"/>
      <c r="K23" s="68"/>
      <c r="L23" s="30"/>
      <c r="M23" s="30"/>
      <c r="N23" s="31"/>
      <c r="O23" s="30"/>
      <c r="P23" s="30"/>
      <c r="Q23" s="68"/>
      <c r="R23" s="29"/>
      <c r="S23" s="29"/>
      <c r="T23" s="32"/>
      <c r="U23" s="43"/>
      <c r="V23" s="42">
        <f t="shared" si="2"/>
        <v>0</v>
      </c>
      <c r="W23" s="22"/>
      <c r="X23" s="22"/>
      <c r="Z23" s="22" t="e">
        <f t="shared" si="5"/>
        <v>#DIV/0!</v>
      </c>
    </row>
    <row r="24" spans="1:26" x14ac:dyDescent="0.25">
      <c r="A24" s="44"/>
      <c r="B24" s="45" t="s">
        <v>31</v>
      </c>
      <c r="C24" s="45" t="s">
        <v>31</v>
      </c>
      <c r="D24" s="480" t="s">
        <v>43</v>
      </c>
      <c r="E24" s="481"/>
      <c r="F24" s="481"/>
      <c r="G24" s="481"/>
      <c r="H24" s="49"/>
      <c r="I24" s="50"/>
      <c r="J24" s="49"/>
      <c r="K24" s="51" t="s">
        <v>44</v>
      </c>
      <c r="L24" s="52">
        <f>L26+L29+L32</f>
        <v>247400000</v>
      </c>
      <c r="M24" s="52">
        <f>M26+M29+M32</f>
        <v>15500000</v>
      </c>
      <c r="N24" s="52">
        <f>N26+N29+N32</f>
        <v>190200000</v>
      </c>
      <c r="O24" s="53"/>
      <c r="P24" s="53"/>
      <c r="Q24" s="52">
        <f>Q26+Q29+Q32</f>
        <v>16465478</v>
      </c>
      <c r="R24" s="52">
        <v>170327106</v>
      </c>
      <c r="S24" s="52">
        <f t="shared" si="4"/>
        <v>186792584</v>
      </c>
      <c r="T24" s="54">
        <f>S24/N24*100</f>
        <v>98.208508937960033</v>
      </c>
      <c r="U24" s="52">
        <f t="shared" si="6"/>
        <v>3407416</v>
      </c>
      <c r="V24" s="42">
        <f t="shared" si="2"/>
        <v>1703708</v>
      </c>
      <c r="W24" s="22">
        <f t="shared" si="0"/>
        <v>8.6569284963196633</v>
      </c>
      <c r="X24" s="22">
        <f t="shared" si="1"/>
        <v>8.6569284963196633</v>
      </c>
      <c r="Z24" s="65">
        <f t="shared" si="5"/>
        <v>8.6569284963196633</v>
      </c>
    </row>
    <row r="25" spans="1:26" x14ac:dyDescent="0.25">
      <c r="A25" s="70"/>
      <c r="B25" s="58"/>
      <c r="C25" s="58"/>
      <c r="D25" s="71"/>
      <c r="E25" s="72"/>
      <c r="F25" s="72"/>
      <c r="G25" s="72"/>
      <c r="H25" s="62"/>
      <c r="I25" s="63"/>
      <c r="J25" s="73"/>
      <c r="K25" s="74"/>
      <c r="L25" s="30"/>
      <c r="M25" s="30"/>
      <c r="N25" s="31"/>
      <c r="O25" s="30"/>
      <c r="P25" s="30"/>
      <c r="Q25" s="30"/>
      <c r="R25" s="29"/>
      <c r="S25" s="29"/>
      <c r="T25" s="32"/>
      <c r="U25" s="43"/>
      <c r="V25" s="42">
        <f t="shared" si="2"/>
        <v>0</v>
      </c>
      <c r="W25" s="22"/>
      <c r="X25" s="22"/>
      <c r="Z25" s="22" t="e">
        <f t="shared" si="5"/>
        <v>#DIV/0!</v>
      </c>
    </row>
    <row r="26" spans="1:26" x14ac:dyDescent="0.25">
      <c r="A26" s="24"/>
      <c r="B26" s="58" t="s">
        <v>31</v>
      </c>
      <c r="C26" s="58" t="s">
        <v>31</v>
      </c>
      <c r="D26" s="60" t="s">
        <v>45</v>
      </c>
      <c r="E26" s="61"/>
      <c r="F26" s="61"/>
      <c r="G26" s="61"/>
      <c r="H26" s="62"/>
      <c r="I26" s="63"/>
      <c r="J26" s="64"/>
      <c r="K26" s="29" t="s">
        <v>46</v>
      </c>
      <c r="L26" s="30">
        <f>L27</f>
        <v>36000000</v>
      </c>
      <c r="M26" s="30">
        <f>M27</f>
        <v>12000000</v>
      </c>
      <c r="N26" s="31">
        <f>N27</f>
        <v>21000000</v>
      </c>
      <c r="O26" s="30"/>
      <c r="P26" s="30"/>
      <c r="Q26" s="30">
        <f t="shared" ref="Q26" si="11">Q27</f>
        <v>1695419</v>
      </c>
      <c r="R26" s="29">
        <v>18568357</v>
      </c>
      <c r="S26" s="29">
        <f t="shared" ref="S26:S66" si="12">Q26+R26</f>
        <v>20263776</v>
      </c>
      <c r="T26" s="20">
        <f t="shared" ref="T26:T27" si="13">S26/N26*100</f>
        <v>96.494171428571434</v>
      </c>
      <c r="U26" s="43">
        <f t="shared" si="6"/>
        <v>736224</v>
      </c>
      <c r="V26" s="42">
        <f t="shared" si="2"/>
        <v>368112</v>
      </c>
      <c r="W26" s="22">
        <f t="shared" si="0"/>
        <v>8.0734238095238098</v>
      </c>
      <c r="X26" s="22">
        <f t="shared" si="1"/>
        <v>8.0734238095238098</v>
      </c>
      <c r="Z26" s="65">
        <f t="shared" si="5"/>
        <v>8.0734238095238098</v>
      </c>
    </row>
    <row r="27" spans="1:26" x14ac:dyDescent="0.25">
      <c r="A27" s="24"/>
      <c r="B27" s="75"/>
      <c r="C27" s="75"/>
      <c r="D27" s="27"/>
      <c r="E27" s="26"/>
      <c r="F27" s="26"/>
      <c r="G27" s="26"/>
      <c r="H27" s="26"/>
      <c r="I27" s="26"/>
      <c r="J27" s="64"/>
      <c r="K27" s="68" t="s">
        <v>47</v>
      </c>
      <c r="L27" s="66">
        <v>36000000</v>
      </c>
      <c r="M27" s="66">
        <v>12000000</v>
      </c>
      <c r="N27" s="67">
        <v>21000000</v>
      </c>
      <c r="O27" s="30"/>
      <c r="P27" s="30"/>
      <c r="Q27" s="76">
        <v>1695419</v>
      </c>
      <c r="R27" s="68">
        <v>18568357</v>
      </c>
      <c r="S27" s="68">
        <f t="shared" si="12"/>
        <v>20263776</v>
      </c>
      <c r="T27" s="20">
        <f t="shared" si="13"/>
        <v>96.494171428571434</v>
      </c>
      <c r="U27" s="43">
        <f t="shared" si="6"/>
        <v>736224</v>
      </c>
      <c r="V27" s="42">
        <f t="shared" si="2"/>
        <v>368112</v>
      </c>
      <c r="W27" s="22">
        <f t="shared" si="0"/>
        <v>8.0734238095238098</v>
      </c>
      <c r="X27" s="22">
        <f t="shared" si="1"/>
        <v>8.0734238095238098</v>
      </c>
      <c r="Z27" s="22">
        <f t="shared" si="5"/>
        <v>8.0734238095238098</v>
      </c>
    </row>
    <row r="28" spans="1:26" x14ac:dyDescent="0.25">
      <c r="A28" s="24"/>
      <c r="B28" s="75"/>
      <c r="C28" s="75"/>
      <c r="D28" s="27"/>
      <c r="E28" s="26"/>
      <c r="F28" s="26"/>
      <c r="G28" s="26"/>
      <c r="H28" s="26"/>
      <c r="I28" s="26"/>
      <c r="J28" s="64"/>
      <c r="K28" s="29"/>
      <c r="L28" s="30"/>
      <c r="M28" s="30"/>
      <c r="N28" s="31"/>
      <c r="O28" s="30"/>
      <c r="P28" s="30"/>
      <c r="Q28" s="29"/>
      <c r="R28" s="29"/>
      <c r="S28" s="29"/>
      <c r="T28" s="32"/>
      <c r="U28" s="43"/>
      <c r="V28" s="42">
        <f t="shared" si="2"/>
        <v>0</v>
      </c>
      <c r="W28" s="22"/>
      <c r="X28" s="22"/>
      <c r="Z28" s="22" t="e">
        <f t="shared" si="5"/>
        <v>#DIV/0!</v>
      </c>
    </row>
    <row r="29" spans="1:26" x14ac:dyDescent="0.25">
      <c r="A29" s="24"/>
      <c r="B29" s="75"/>
      <c r="C29" s="75"/>
      <c r="D29" s="60" t="s">
        <v>48</v>
      </c>
      <c r="E29" s="61"/>
      <c r="F29" s="61"/>
      <c r="G29" s="61"/>
      <c r="H29" s="62"/>
      <c r="I29" s="63"/>
      <c r="J29" s="64"/>
      <c r="K29" s="29" t="s">
        <v>49</v>
      </c>
      <c r="L29" s="30">
        <f>L30</f>
        <v>1400000</v>
      </c>
      <c r="M29" s="30">
        <f>M30</f>
        <v>500000</v>
      </c>
      <c r="N29" s="31">
        <f>N30</f>
        <v>700000</v>
      </c>
      <c r="O29" s="66"/>
      <c r="P29" s="66"/>
      <c r="Q29" s="30">
        <f t="shared" ref="Q29" si="14">Q30</f>
        <v>45950</v>
      </c>
      <c r="R29" s="29">
        <v>505450</v>
      </c>
      <c r="S29" s="29">
        <f t="shared" si="12"/>
        <v>551400</v>
      </c>
      <c r="T29" s="20">
        <f t="shared" ref="T29:T30" si="15">S29/N29*100</f>
        <v>78.771428571428572</v>
      </c>
      <c r="U29" s="43">
        <f t="shared" si="6"/>
        <v>148600</v>
      </c>
      <c r="V29" s="42">
        <f t="shared" si="2"/>
        <v>74300</v>
      </c>
      <c r="W29" s="22">
        <f t="shared" si="0"/>
        <v>6.5642857142857141</v>
      </c>
      <c r="X29" s="22">
        <f t="shared" si="1"/>
        <v>6.5642857142857141</v>
      </c>
      <c r="Z29" s="65">
        <f t="shared" si="5"/>
        <v>6.5642857142857141</v>
      </c>
    </row>
    <row r="30" spans="1:26" x14ac:dyDescent="0.25">
      <c r="A30" s="24"/>
      <c r="B30" s="75"/>
      <c r="C30" s="75"/>
      <c r="D30" s="27"/>
      <c r="E30" s="26"/>
      <c r="F30" s="26"/>
      <c r="G30" s="26"/>
      <c r="H30" s="26"/>
      <c r="I30" s="26"/>
      <c r="J30" s="64"/>
      <c r="K30" s="68" t="s">
        <v>50</v>
      </c>
      <c r="L30" s="66">
        <v>1400000</v>
      </c>
      <c r="M30" s="66">
        <v>500000</v>
      </c>
      <c r="N30" s="67">
        <v>700000</v>
      </c>
      <c r="O30" s="30"/>
      <c r="P30" s="30"/>
      <c r="Q30" s="68">
        <v>45950</v>
      </c>
      <c r="R30" s="68">
        <v>505450</v>
      </c>
      <c r="S30" s="68">
        <f t="shared" si="12"/>
        <v>551400</v>
      </c>
      <c r="T30" s="20">
        <f t="shared" si="15"/>
        <v>78.771428571428572</v>
      </c>
      <c r="U30" s="43">
        <f t="shared" si="6"/>
        <v>148600</v>
      </c>
      <c r="V30" s="42">
        <f t="shared" si="2"/>
        <v>74300</v>
      </c>
      <c r="W30" s="22">
        <f t="shared" si="0"/>
        <v>6.5642857142857141</v>
      </c>
      <c r="X30" s="22">
        <f t="shared" si="1"/>
        <v>6.5642857142857141</v>
      </c>
      <c r="Z30" s="22">
        <f t="shared" si="5"/>
        <v>6.5642857142857141</v>
      </c>
    </row>
    <row r="31" spans="1:26" x14ac:dyDescent="0.25">
      <c r="A31" s="24"/>
      <c r="B31" s="75"/>
      <c r="C31" s="75"/>
      <c r="D31" s="27"/>
      <c r="E31" s="26"/>
      <c r="F31" s="26"/>
      <c r="G31" s="26"/>
      <c r="H31" s="26"/>
      <c r="I31" s="26"/>
      <c r="J31" s="64"/>
      <c r="K31" s="29"/>
      <c r="L31" s="30"/>
      <c r="M31" s="30"/>
      <c r="N31" s="31"/>
      <c r="O31" s="30"/>
      <c r="P31" s="30"/>
      <c r="Q31" s="29"/>
      <c r="R31" s="29"/>
      <c r="S31" s="29"/>
      <c r="T31" s="32"/>
      <c r="U31" s="43"/>
      <c r="V31" s="42">
        <f t="shared" si="2"/>
        <v>0</v>
      </c>
      <c r="W31" s="22"/>
      <c r="X31" s="22"/>
      <c r="Z31" s="22" t="e">
        <f t="shared" si="5"/>
        <v>#DIV/0!</v>
      </c>
    </row>
    <row r="32" spans="1:26" x14ac:dyDescent="0.25">
      <c r="A32" s="24"/>
      <c r="B32" s="75"/>
      <c r="C32" s="75"/>
      <c r="D32" s="60" t="s">
        <v>51</v>
      </c>
      <c r="E32" s="61"/>
      <c r="F32" s="61"/>
      <c r="G32" s="61"/>
      <c r="H32" s="62"/>
      <c r="I32" s="63"/>
      <c r="J32" s="64"/>
      <c r="K32" s="29" t="s">
        <v>52</v>
      </c>
      <c r="L32" s="30">
        <f>L33</f>
        <v>210000000</v>
      </c>
      <c r="M32" s="30">
        <f>M33</f>
        <v>3000000</v>
      </c>
      <c r="N32" s="31">
        <f>N33</f>
        <v>168500000</v>
      </c>
      <c r="O32" s="66"/>
      <c r="P32" s="66"/>
      <c r="Q32" s="30">
        <f t="shared" ref="Q32" si="16">Q33</f>
        <v>14724109</v>
      </c>
      <c r="R32" s="29">
        <v>151253299</v>
      </c>
      <c r="S32" s="29">
        <f t="shared" si="12"/>
        <v>165977408</v>
      </c>
      <c r="T32" s="20">
        <f t="shared" ref="T32:T33" si="17">S32/N32*100</f>
        <v>98.50291275964392</v>
      </c>
      <c r="U32" s="43">
        <f t="shared" si="6"/>
        <v>2522592</v>
      </c>
      <c r="V32" s="42">
        <f t="shared" si="2"/>
        <v>1261296</v>
      </c>
      <c r="W32" s="22">
        <f t="shared" si="0"/>
        <v>8.7383436201780427</v>
      </c>
      <c r="X32" s="22">
        <f t="shared" si="1"/>
        <v>8.7383436201780427</v>
      </c>
      <c r="Z32" s="65">
        <f t="shared" si="5"/>
        <v>8.7383436201780427</v>
      </c>
    </row>
    <row r="33" spans="1:26" x14ac:dyDescent="0.25">
      <c r="A33" s="24"/>
      <c r="B33" s="75"/>
      <c r="C33" s="75"/>
      <c r="D33" s="27"/>
      <c r="E33" s="26"/>
      <c r="F33" s="26"/>
      <c r="G33" s="26"/>
      <c r="H33" s="26"/>
      <c r="I33" s="26"/>
      <c r="J33" s="64"/>
      <c r="K33" s="68" t="s">
        <v>52</v>
      </c>
      <c r="L33" s="66">
        <v>210000000</v>
      </c>
      <c r="M33" s="66">
        <v>3000000</v>
      </c>
      <c r="N33" s="67">
        <v>168500000</v>
      </c>
      <c r="O33" s="30"/>
      <c r="P33" s="30"/>
      <c r="Q33" s="76">
        <v>14724109</v>
      </c>
      <c r="R33" s="68">
        <v>151253299</v>
      </c>
      <c r="S33" s="68">
        <f t="shared" si="12"/>
        <v>165977408</v>
      </c>
      <c r="T33" s="20">
        <f t="shared" si="17"/>
        <v>98.50291275964392</v>
      </c>
      <c r="U33" s="43">
        <f t="shared" si="6"/>
        <v>2522592</v>
      </c>
      <c r="V33" s="42">
        <f t="shared" si="2"/>
        <v>1261296</v>
      </c>
      <c r="W33" s="22">
        <f t="shared" si="0"/>
        <v>8.7383436201780427</v>
      </c>
      <c r="X33" s="22">
        <f t="shared" si="1"/>
        <v>8.7383436201780427</v>
      </c>
      <c r="Z33" s="22">
        <f t="shared" si="5"/>
        <v>8.7383436201780427</v>
      </c>
    </row>
    <row r="34" spans="1:26" x14ac:dyDescent="0.25">
      <c r="A34" s="24"/>
      <c r="B34" s="75"/>
      <c r="C34" s="75"/>
      <c r="D34" s="27"/>
      <c r="E34" s="26"/>
      <c r="F34" s="26"/>
      <c r="G34" s="26"/>
      <c r="H34" s="26"/>
      <c r="I34" s="26"/>
      <c r="J34" s="64"/>
      <c r="K34" s="77"/>
      <c r="L34" s="30"/>
      <c r="M34" s="30"/>
      <c r="N34" s="31"/>
      <c r="O34" s="30"/>
      <c r="P34" s="30"/>
      <c r="Q34" s="68"/>
      <c r="R34" s="29"/>
      <c r="S34" s="29"/>
      <c r="T34" s="32"/>
      <c r="U34" s="43"/>
      <c r="V34" s="42">
        <f t="shared" si="2"/>
        <v>0</v>
      </c>
      <c r="W34" s="22"/>
      <c r="X34" s="22"/>
      <c r="Z34" s="22" t="e">
        <f t="shared" si="5"/>
        <v>#DIV/0!</v>
      </c>
    </row>
    <row r="35" spans="1:26" x14ac:dyDescent="0.25">
      <c r="A35" s="24"/>
      <c r="B35" s="78" t="s">
        <v>31</v>
      </c>
      <c r="C35" s="78" t="s">
        <v>31</v>
      </c>
      <c r="D35" s="79" t="s">
        <v>53</v>
      </c>
      <c r="E35" s="80"/>
      <c r="F35" s="80"/>
      <c r="G35" s="80"/>
      <c r="H35" s="80"/>
      <c r="I35" s="80"/>
      <c r="J35" s="81"/>
      <c r="K35" s="82" t="s">
        <v>54</v>
      </c>
      <c r="L35" s="52">
        <f>L38+L39+L41+L43</f>
        <v>388320000</v>
      </c>
      <c r="M35" s="52">
        <f>M37+M43</f>
        <v>30000000</v>
      </c>
      <c r="N35" s="52">
        <f>N37+N41+N43</f>
        <v>359970000</v>
      </c>
      <c r="O35" s="83"/>
      <c r="P35" s="83"/>
      <c r="Q35" s="84">
        <f>Q37+Q41+Q43</f>
        <v>27234510</v>
      </c>
      <c r="R35" s="84">
        <v>329789554</v>
      </c>
      <c r="S35" s="84">
        <f>Q35+R35</f>
        <v>357024064</v>
      </c>
      <c r="T35" s="54">
        <f>S35/N35*100</f>
        <v>99.181616245798267</v>
      </c>
      <c r="U35" s="52">
        <f t="shared" si="6"/>
        <v>2945936</v>
      </c>
      <c r="V35" s="42">
        <f t="shared" si="2"/>
        <v>1472968</v>
      </c>
      <c r="W35" s="22">
        <f t="shared" si="0"/>
        <v>7.565772147678973</v>
      </c>
      <c r="X35" s="22">
        <f t="shared" si="1"/>
        <v>7.565772147678973</v>
      </c>
      <c r="Z35" s="65">
        <f t="shared" si="5"/>
        <v>7.565772147678973</v>
      </c>
    </row>
    <row r="36" spans="1:26" x14ac:dyDescent="0.25">
      <c r="A36" s="24"/>
      <c r="B36" s="75"/>
      <c r="C36" s="75"/>
      <c r="D36" s="27"/>
      <c r="E36" s="26"/>
      <c r="F36" s="26"/>
      <c r="G36" s="26"/>
      <c r="H36" s="26"/>
      <c r="I36" s="26"/>
      <c r="J36" s="64"/>
      <c r="K36" s="77"/>
      <c r="L36" s="30"/>
      <c r="M36" s="30"/>
      <c r="N36" s="31"/>
      <c r="O36" s="30"/>
      <c r="P36" s="30"/>
      <c r="Q36" s="68"/>
      <c r="R36" s="29"/>
      <c r="S36" s="29"/>
      <c r="T36" s="32"/>
      <c r="U36" s="43"/>
      <c r="V36" s="42">
        <f t="shared" si="2"/>
        <v>0</v>
      </c>
      <c r="W36" s="22"/>
      <c r="X36" s="22"/>
      <c r="Z36" s="22" t="e">
        <f t="shared" si="5"/>
        <v>#DIV/0!</v>
      </c>
    </row>
    <row r="37" spans="1:26" x14ac:dyDescent="0.25">
      <c r="A37" s="24"/>
      <c r="B37" s="75"/>
      <c r="C37" s="75"/>
      <c r="D37" s="75" t="s">
        <v>55</v>
      </c>
      <c r="E37" s="85"/>
      <c r="F37" s="26"/>
      <c r="G37" s="26"/>
      <c r="H37" s="26"/>
      <c r="I37" s="26"/>
      <c r="J37" s="64"/>
      <c r="K37" s="86" t="s">
        <v>56</v>
      </c>
      <c r="L37" s="30">
        <f>L38+L39</f>
        <v>46820000</v>
      </c>
      <c r="M37" s="30">
        <f>M38+M39</f>
        <v>5000000</v>
      </c>
      <c r="N37" s="31">
        <f>N38+N39</f>
        <v>41820000</v>
      </c>
      <c r="O37" s="30"/>
      <c r="P37" s="30"/>
      <c r="Q37" s="29">
        <f>Q38+Q39</f>
        <v>2853670</v>
      </c>
      <c r="R37" s="29">
        <v>38966314</v>
      </c>
      <c r="S37" s="29">
        <f>Q37+R37</f>
        <v>41819984</v>
      </c>
      <c r="T37" s="20">
        <f t="shared" ref="T37:T39" si="18">S37/N37*100</f>
        <v>99.999961740793879</v>
      </c>
      <c r="U37" s="43">
        <f t="shared" si="6"/>
        <v>16</v>
      </c>
      <c r="V37" s="42">
        <f t="shared" si="2"/>
        <v>8</v>
      </c>
      <c r="W37" s="22">
        <f t="shared" si="0"/>
        <v>6.8236967957914869</v>
      </c>
      <c r="X37" s="22">
        <f t="shared" si="1"/>
        <v>6.8236967957914869</v>
      </c>
      <c r="Z37" s="65">
        <f t="shared" si="5"/>
        <v>6.8236967957914869</v>
      </c>
    </row>
    <row r="38" spans="1:26" x14ac:dyDescent="0.25">
      <c r="A38" s="24"/>
      <c r="B38" s="75"/>
      <c r="C38" s="75"/>
      <c r="D38" s="75" t="s">
        <v>57</v>
      </c>
      <c r="E38" s="85"/>
      <c r="F38" s="26"/>
      <c r="G38" s="26"/>
      <c r="H38" s="26"/>
      <c r="I38" s="26"/>
      <c r="J38" s="64"/>
      <c r="K38" s="87" t="s">
        <v>58</v>
      </c>
      <c r="L38" s="66">
        <v>25000000</v>
      </c>
      <c r="M38" s="66"/>
      <c r="N38" s="67">
        <f>L38-M38</f>
        <v>25000000</v>
      </c>
      <c r="O38" s="30"/>
      <c r="P38" s="30"/>
      <c r="Q38" s="68">
        <v>2083332</v>
      </c>
      <c r="R38" s="68">
        <v>22916652</v>
      </c>
      <c r="S38" s="68">
        <f t="shared" ref="S38:S39" si="19">Q38+R38</f>
        <v>24999984</v>
      </c>
      <c r="T38" s="20">
        <f t="shared" si="18"/>
        <v>99.999936000000005</v>
      </c>
      <c r="U38" s="43">
        <f t="shared" si="6"/>
        <v>16</v>
      </c>
      <c r="V38" s="42">
        <f t="shared" si="2"/>
        <v>8</v>
      </c>
      <c r="W38" s="22">
        <f t="shared" si="0"/>
        <v>8.3333279999999998</v>
      </c>
      <c r="X38" s="22">
        <f t="shared" si="1"/>
        <v>8.3333279999999998</v>
      </c>
      <c r="Z38" s="22">
        <f t="shared" si="5"/>
        <v>8.3333279999999998</v>
      </c>
    </row>
    <row r="39" spans="1:26" x14ac:dyDescent="0.25">
      <c r="A39" s="24"/>
      <c r="B39" s="75"/>
      <c r="C39" s="75"/>
      <c r="D39" s="75" t="s">
        <v>59</v>
      </c>
      <c r="E39" s="85"/>
      <c r="F39" s="26"/>
      <c r="G39" s="26"/>
      <c r="H39" s="26"/>
      <c r="I39" s="26"/>
      <c r="J39" s="64"/>
      <c r="K39" s="87" t="s">
        <v>60</v>
      </c>
      <c r="L39" s="66">
        <v>21820000</v>
      </c>
      <c r="M39" s="66">
        <v>5000000</v>
      </c>
      <c r="N39" s="67">
        <f>L39-M39</f>
        <v>16820000</v>
      </c>
      <c r="O39" s="30"/>
      <c r="P39" s="30"/>
      <c r="Q39" s="68">
        <v>770338</v>
      </c>
      <c r="R39" s="68">
        <v>16049662</v>
      </c>
      <c r="S39" s="68">
        <f t="shared" si="19"/>
        <v>16820000</v>
      </c>
      <c r="T39" s="20">
        <f t="shared" si="18"/>
        <v>100</v>
      </c>
      <c r="U39" s="43">
        <f t="shared" si="6"/>
        <v>0</v>
      </c>
      <c r="V39" s="42">
        <f t="shared" si="2"/>
        <v>0</v>
      </c>
      <c r="W39" s="22">
        <f t="shared" si="0"/>
        <v>4.5798929845422114</v>
      </c>
      <c r="X39" s="22">
        <f t="shared" si="1"/>
        <v>4.5798929845422114</v>
      </c>
      <c r="Z39" s="22">
        <f t="shared" si="5"/>
        <v>4.5798929845422114</v>
      </c>
    </row>
    <row r="40" spans="1:26" x14ac:dyDescent="0.25">
      <c r="A40" s="24"/>
      <c r="B40" s="75"/>
      <c r="C40" s="75"/>
      <c r="D40" s="75"/>
      <c r="E40" s="85"/>
      <c r="F40" s="26"/>
      <c r="G40" s="26"/>
      <c r="H40" s="26"/>
      <c r="I40" s="26"/>
      <c r="J40" s="64"/>
      <c r="K40" s="86"/>
      <c r="L40" s="30"/>
      <c r="M40" s="30"/>
      <c r="N40" s="31"/>
      <c r="O40" s="30"/>
      <c r="P40" s="30"/>
      <c r="Q40" s="68"/>
      <c r="R40" s="29"/>
      <c r="S40" s="29"/>
      <c r="T40" s="32"/>
      <c r="U40" s="43"/>
      <c r="V40" s="42">
        <f t="shared" si="2"/>
        <v>0</v>
      </c>
      <c r="W40" s="22"/>
      <c r="X40" s="22"/>
      <c r="Z40" s="22" t="e">
        <f t="shared" si="5"/>
        <v>#DIV/0!</v>
      </c>
    </row>
    <row r="41" spans="1:26" x14ac:dyDescent="0.25">
      <c r="A41" s="24"/>
      <c r="B41" s="75"/>
      <c r="C41" s="75"/>
      <c r="D41" s="75" t="s">
        <v>61</v>
      </c>
      <c r="E41" s="85"/>
      <c r="F41" s="26"/>
      <c r="G41" s="26"/>
      <c r="H41" s="26"/>
      <c r="I41" s="26"/>
      <c r="J41" s="64"/>
      <c r="K41" s="86" t="s">
        <v>62</v>
      </c>
      <c r="L41" s="30">
        <v>5500000</v>
      </c>
      <c r="M41" s="30"/>
      <c r="N41" s="31">
        <v>7150000</v>
      </c>
      <c r="O41" s="30"/>
      <c r="P41" s="30"/>
      <c r="Q41" s="29">
        <v>825000</v>
      </c>
      <c r="R41" s="29">
        <v>6325000</v>
      </c>
      <c r="S41" s="29">
        <f>Q41+R41</f>
        <v>7150000</v>
      </c>
      <c r="T41" s="20">
        <f>S41/N41*100</f>
        <v>100</v>
      </c>
      <c r="U41" s="43">
        <f t="shared" si="6"/>
        <v>0</v>
      </c>
      <c r="V41" s="42">
        <f t="shared" si="2"/>
        <v>0</v>
      </c>
      <c r="W41" s="22">
        <f t="shared" si="0"/>
        <v>11.538461538461538</v>
      </c>
      <c r="X41" s="22">
        <f t="shared" si="1"/>
        <v>11.538461538461538</v>
      </c>
      <c r="Z41" s="65">
        <f t="shared" si="5"/>
        <v>11.538461538461538</v>
      </c>
    </row>
    <row r="42" spans="1:26" x14ac:dyDescent="0.25">
      <c r="A42" s="24"/>
      <c r="B42" s="75"/>
      <c r="C42" s="75"/>
      <c r="D42" s="75"/>
      <c r="E42" s="85"/>
      <c r="F42" s="26"/>
      <c r="G42" s="26"/>
      <c r="H42" s="26"/>
      <c r="I42" s="26"/>
      <c r="J42" s="64"/>
      <c r="K42" s="86"/>
      <c r="L42" s="30"/>
      <c r="M42" s="30"/>
      <c r="N42" s="31"/>
      <c r="O42" s="30"/>
      <c r="P42" s="30"/>
      <c r="Q42" s="68"/>
      <c r="R42" s="29"/>
      <c r="S42" s="29"/>
      <c r="T42" s="32"/>
      <c r="U42" s="43"/>
      <c r="V42" s="42">
        <f t="shared" si="2"/>
        <v>0</v>
      </c>
      <c r="W42" s="22"/>
      <c r="X42" s="22"/>
      <c r="Z42" s="22" t="e">
        <f t="shared" si="5"/>
        <v>#DIV/0!</v>
      </c>
    </row>
    <row r="43" spans="1:26" x14ac:dyDescent="0.25">
      <c r="A43" s="24"/>
      <c r="B43" s="75"/>
      <c r="C43" s="75"/>
      <c r="D43" s="75" t="s">
        <v>63</v>
      </c>
      <c r="E43" s="85"/>
      <c r="F43" s="26"/>
      <c r="G43" s="26"/>
      <c r="H43" s="26"/>
      <c r="I43" s="26"/>
      <c r="J43" s="64"/>
      <c r="K43" s="86" t="s">
        <v>64</v>
      </c>
      <c r="L43" s="30">
        <v>336000000</v>
      </c>
      <c r="M43" s="30">
        <v>25000000</v>
      </c>
      <c r="N43" s="31">
        <f>L43-M43</f>
        <v>311000000</v>
      </c>
      <c r="O43" s="30"/>
      <c r="P43" s="30"/>
      <c r="Q43" s="29">
        <v>23555840</v>
      </c>
      <c r="R43" s="29">
        <v>284498240</v>
      </c>
      <c r="S43" s="29">
        <f>Q43+R43</f>
        <v>308054080</v>
      </c>
      <c r="T43" s="20">
        <f>S43/N43*100</f>
        <v>99.052758842443737</v>
      </c>
      <c r="U43" s="43">
        <f t="shared" si="6"/>
        <v>2945920</v>
      </c>
      <c r="V43" s="42">
        <f t="shared" si="2"/>
        <v>1472960</v>
      </c>
      <c r="W43" s="22">
        <f t="shared" si="0"/>
        <v>7.574225080385852</v>
      </c>
      <c r="X43" s="22">
        <f>Q43/N43*100</f>
        <v>7.574225080385852</v>
      </c>
      <c r="Z43" s="65">
        <f t="shared" si="5"/>
        <v>7.574225080385852</v>
      </c>
    </row>
    <row r="44" spans="1:26" x14ac:dyDescent="0.25">
      <c r="A44" s="24"/>
      <c r="B44" s="75"/>
      <c r="C44" s="75"/>
      <c r="D44" s="27"/>
      <c r="E44" s="26"/>
      <c r="F44" s="26"/>
      <c r="G44" s="26"/>
      <c r="H44" s="26"/>
      <c r="I44" s="26"/>
      <c r="J44" s="64"/>
      <c r="K44" s="86"/>
      <c r="L44" s="30"/>
      <c r="M44" s="30"/>
      <c r="N44" s="31"/>
      <c r="O44" s="30"/>
      <c r="P44" s="30"/>
      <c r="Q44" s="68"/>
      <c r="R44" s="29"/>
      <c r="S44" s="29"/>
      <c r="T44" s="32"/>
      <c r="U44" s="43"/>
      <c r="V44" s="42">
        <f t="shared" si="2"/>
        <v>0</v>
      </c>
      <c r="W44" s="22"/>
      <c r="X44" s="22"/>
      <c r="Z44" s="22" t="e">
        <f t="shared" si="5"/>
        <v>#DIV/0!</v>
      </c>
    </row>
    <row r="45" spans="1:26" x14ac:dyDescent="0.25">
      <c r="A45" s="44"/>
      <c r="B45" s="45" t="s">
        <v>31</v>
      </c>
      <c r="C45" s="45" t="s">
        <v>31</v>
      </c>
      <c r="D45" s="480" t="s">
        <v>65</v>
      </c>
      <c r="E45" s="481"/>
      <c r="F45" s="481"/>
      <c r="G45" s="481"/>
      <c r="H45" s="49"/>
      <c r="I45" s="50"/>
      <c r="J45" s="50"/>
      <c r="K45" s="45" t="s">
        <v>66</v>
      </c>
      <c r="L45" s="88">
        <f>L47</f>
        <v>20000000</v>
      </c>
      <c r="M45" s="88">
        <f>M47</f>
        <v>246000</v>
      </c>
      <c r="N45" s="52">
        <f>L45-M45</f>
        <v>19754000</v>
      </c>
      <c r="O45" s="53"/>
      <c r="P45" s="53"/>
      <c r="Q45" s="88">
        <f>Q47</f>
        <v>0</v>
      </c>
      <c r="R45" s="52">
        <v>19753400</v>
      </c>
      <c r="S45" s="52">
        <f t="shared" si="12"/>
        <v>19753400</v>
      </c>
      <c r="T45" s="54">
        <f>S45/N45*100</f>
        <v>99.996962640477875</v>
      </c>
      <c r="U45" s="52">
        <f t="shared" si="6"/>
        <v>600</v>
      </c>
      <c r="V45" s="42">
        <f t="shared" si="2"/>
        <v>300</v>
      </c>
      <c r="W45" s="22">
        <f t="shared" si="0"/>
        <v>0</v>
      </c>
      <c r="X45" s="22">
        <f t="shared" si="1"/>
        <v>0</v>
      </c>
      <c r="Z45" s="65">
        <f t="shared" si="5"/>
        <v>0</v>
      </c>
    </row>
    <row r="46" spans="1:26" x14ac:dyDescent="0.25">
      <c r="A46" s="24"/>
      <c r="B46" s="75"/>
      <c r="C46" s="89"/>
      <c r="D46" s="26"/>
      <c r="E46" s="26"/>
      <c r="F46" s="26"/>
      <c r="G46" s="27"/>
      <c r="H46" s="27"/>
      <c r="I46" s="26"/>
      <c r="J46" s="64"/>
      <c r="K46" s="28"/>
      <c r="L46" s="66"/>
      <c r="M46" s="66"/>
      <c r="N46" s="31"/>
      <c r="O46" s="66"/>
      <c r="P46" s="66"/>
      <c r="Q46" s="68"/>
      <c r="R46" s="29"/>
      <c r="S46" s="29"/>
      <c r="T46" s="32"/>
      <c r="U46" s="43"/>
      <c r="V46" s="42">
        <f t="shared" si="2"/>
        <v>0</v>
      </c>
      <c r="W46" s="22"/>
      <c r="X46" s="22"/>
      <c r="Z46" s="22" t="e">
        <f t="shared" si="5"/>
        <v>#DIV/0!</v>
      </c>
    </row>
    <row r="47" spans="1:26" x14ac:dyDescent="0.25">
      <c r="A47" s="24"/>
      <c r="B47" s="58" t="s">
        <v>31</v>
      </c>
      <c r="C47" s="58" t="s">
        <v>31</v>
      </c>
      <c r="D47" s="60" t="s">
        <v>67</v>
      </c>
      <c r="E47" s="61"/>
      <c r="F47" s="61"/>
      <c r="G47" s="61"/>
      <c r="H47" s="62"/>
      <c r="I47" s="63"/>
      <c r="J47" s="90"/>
      <c r="K47" s="74" t="s">
        <v>68</v>
      </c>
      <c r="L47" s="30">
        <f>L48</f>
        <v>20000000</v>
      </c>
      <c r="M47" s="30">
        <f>M48</f>
        <v>246000</v>
      </c>
      <c r="N47" s="31">
        <f>N48</f>
        <v>19754000</v>
      </c>
      <c r="O47" s="91"/>
      <c r="P47" s="91"/>
      <c r="Q47" s="30">
        <f t="shared" ref="Q47" si="20">Q48</f>
        <v>0</v>
      </c>
      <c r="R47" s="29">
        <v>19753400</v>
      </c>
      <c r="S47" s="29">
        <f t="shared" si="12"/>
        <v>19753400</v>
      </c>
      <c r="T47" s="20">
        <f t="shared" ref="T47:T48" si="21">S47/N47*100</f>
        <v>99.996962640477875</v>
      </c>
      <c r="U47" s="43">
        <f t="shared" si="6"/>
        <v>600</v>
      </c>
      <c r="V47" s="42">
        <f t="shared" si="2"/>
        <v>300</v>
      </c>
      <c r="W47" s="22">
        <f t="shared" si="0"/>
        <v>0</v>
      </c>
      <c r="X47" s="22">
        <f t="shared" si="1"/>
        <v>0</v>
      </c>
      <c r="Z47" s="22">
        <f t="shared" si="5"/>
        <v>0</v>
      </c>
    </row>
    <row r="48" spans="1:26" x14ac:dyDescent="0.25">
      <c r="A48" s="24"/>
      <c r="B48" s="75"/>
      <c r="C48" s="89"/>
      <c r="D48" s="26"/>
      <c r="E48" s="26"/>
      <c r="F48" s="26"/>
      <c r="G48" s="27"/>
      <c r="H48" s="27"/>
      <c r="I48" s="26"/>
      <c r="J48" s="64"/>
      <c r="K48" s="28" t="s">
        <v>69</v>
      </c>
      <c r="L48" s="66">
        <v>20000000</v>
      </c>
      <c r="M48" s="66">
        <v>246000</v>
      </c>
      <c r="N48" s="67">
        <f>L48-M48</f>
        <v>19754000</v>
      </c>
      <c r="O48" s="66"/>
      <c r="P48" s="66"/>
      <c r="Q48" s="68">
        <v>0</v>
      </c>
      <c r="R48" s="68">
        <v>19753400</v>
      </c>
      <c r="S48" s="68">
        <f t="shared" si="12"/>
        <v>19753400</v>
      </c>
      <c r="T48" s="20">
        <f t="shared" si="21"/>
        <v>99.996962640477875</v>
      </c>
      <c r="U48" s="43">
        <f t="shared" si="6"/>
        <v>600</v>
      </c>
      <c r="V48" s="42">
        <f t="shared" si="2"/>
        <v>300</v>
      </c>
      <c r="W48" s="22">
        <f t="shared" si="0"/>
        <v>0</v>
      </c>
      <c r="X48" s="22">
        <f t="shared" si="1"/>
        <v>0</v>
      </c>
      <c r="Z48" s="22">
        <f t="shared" si="5"/>
        <v>0</v>
      </c>
    </row>
    <row r="49" spans="1:27" x14ac:dyDescent="0.25">
      <c r="A49" s="24"/>
      <c r="B49" s="75"/>
      <c r="C49" s="89"/>
      <c r="D49" s="26"/>
      <c r="E49" s="26"/>
      <c r="F49" s="26"/>
      <c r="G49" s="27"/>
      <c r="H49" s="27"/>
      <c r="I49" s="26"/>
      <c r="J49" s="64"/>
      <c r="K49" s="92"/>
      <c r="L49" s="30"/>
      <c r="M49" s="30"/>
      <c r="N49" s="31"/>
      <c r="O49" s="66"/>
      <c r="P49" s="66"/>
      <c r="Q49" s="68"/>
      <c r="R49" s="29"/>
      <c r="S49" s="29"/>
      <c r="T49" s="32"/>
      <c r="U49" s="43"/>
      <c r="V49" s="42">
        <f t="shared" si="2"/>
        <v>0</v>
      </c>
      <c r="W49" s="22"/>
      <c r="X49" s="22"/>
      <c r="Z49" s="22" t="e">
        <f t="shared" si="5"/>
        <v>#DIV/0!</v>
      </c>
    </row>
    <row r="50" spans="1:27" x14ac:dyDescent="0.25">
      <c r="A50" s="24"/>
      <c r="B50" s="79" t="s">
        <v>31</v>
      </c>
      <c r="C50" s="93" t="s">
        <v>31</v>
      </c>
      <c r="D50" s="94" t="s">
        <v>70</v>
      </c>
      <c r="E50" s="95"/>
      <c r="F50" s="95"/>
      <c r="G50" s="96"/>
      <c r="H50" s="96"/>
      <c r="I50" s="95"/>
      <c r="J50" s="97"/>
      <c r="K50" s="98" t="s">
        <v>71</v>
      </c>
      <c r="L50" s="52">
        <f>L52+L54</f>
        <v>64100000</v>
      </c>
      <c r="M50" s="52">
        <f>M52+M58</f>
        <v>17360000</v>
      </c>
      <c r="N50" s="52">
        <f>N52+N54</f>
        <v>49425000</v>
      </c>
      <c r="O50" s="53"/>
      <c r="P50" s="53"/>
      <c r="Q50" s="84">
        <f>Q52+Q54</f>
        <v>3500000</v>
      </c>
      <c r="R50" s="84">
        <v>45925000</v>
      </c>
      <c r="S50" s="84">
        <f>S52+S54</f>
        <v>49425000</v>
      </c>
      <c r="T50" s="54">
        <f>S50/N50*100</f>
        <v>100</v>
      </c>
      <c r="U50" s="52">
        <f t="shared" si="6"/>
        <v>0</v>
      </c>
      <c r="V50" s="42">
        <f t="shared" si="2"/>
        <v>0</v>
      </c>
      <c r="W50" s="22">
        <f t="shared" si="0"/>
        <v>7.0814365199797669</v>
      </c>
      <c r="X50" s="22">
        <f t="shared" si="1"/>
        <v>7.0814365199797669</v>
      </c>
      <c r="Z50" s="65">
        <f t="shared" si="5"/>
        <v>7.0814365199797669</v>
      </c>
    </row>
    <row r="51" spans="1:27" x14ac:dyDescent="0.25">
      <c r="A51" s="24"/>
      <c r="B51" s="75"/>
      <c r="C51" s="89"/>
      <c r="D51" s="26"/>
      <c r="E51" s="26"/>
      <c r="F51" s="26"/>
      <c r="G51" s="27"/>
      <c r="H51" s="27"/>
      <c r="I51" s="26"/>
      <c r="J51" s="64"/>
      <c r="K51" s="92"/>
      <c r="L51" s="30"/>
      <c r="M51" s="30"/>
      <c r="N51" s="31"/>
      <c r="O51" s="66"/>
      <c r="P51" s="66"/>
      <c r="Q51" s="68"/>
      <c r="R51" s="29"/>
      <c r="S51" s="29"/>
      <c r="T51" s="32"/>
      <c r="U51" s="43"/>
      <c r="V51" s="42">
        <f t="shared" si="2"/>
        <v>0</v>
      </c>
      <c r="W51" s="22"/>
      <c r="X51" s="22"/>
      <c r="Z51" s="22" t="e">
        <f t="shared" si="5"/>
        <v>#DIV/0!</v>
      </c>
    </row>
    <row r="52" spans="1:27" x14ac:dyDescent="0.25">
      <c r="A52" s="24"/>
      <c r="B52" s="99" t="s">
        <v>31</v>
      </c>
      <c r="C52" s="100" t="s">
        <v>31</v>
      </c>
      <c r="D52" s="101" t="s">
        <v>72</v>
      </c>
      <c r="E52" s="26"/>
      <c r="F52" s="26"/>
      <c r="G52" s="27"/>
      <c r="H52" s="27"/>
      <c r="I52" s="26"/>
      <c r="J52" s="64"/>
      <c r="K52" s="102" t="s">
        <v>73</v>
      </c>
      <c r="L52" s="30">
        <v>19380000</v>
      </c>
      <c r="M52" s="30">
        <v>14640000</v>
      </c>
      <c r="N52" s="31">
        <v>7425000</v>
      </c>
      <c r="O52" s="66"/>
      <c r="P52" s="66"/>
      <c r="Q52" s="68">
        <v>0</v>
      </c>
      <c r="R52" s="29">
        <v>7425000</v>
      </c>
      <c r="S52" s="29">
        <f>Q52+R52</f>
        <v>7425000</v>
      </c>
      <c r="T52" s="20">
        <f>S52/N52*100</f>
        <v>100</v>
      </c>
      <c r="U52" s="43">
        <f t="shared" si="6"/>
        <v>0</v>
      </c>
      <c r="V52" s="42">
        <f t="shared" si="2"/>
        <v>0</v>
      </c>
      <c r="W52" s="22">
        <f t="shared" si="0"/>
        <v>0</v>
      </c>
      <c r="X52" s="22">
        <f t="shared" si="1"/>
        <v>0</v>
      </c>
      <c r="Z52" s="65">
        <f t="shared" si="5"/>
        <v>0</v>
      </c>
      <c r="AA52" s="103">
        <v>0.5</v>
      </c>
    </row>
    <row r="53" spans="1:27" x14ac:dyDescent="0.25">
      <c r="A53" s="24"/>
      <c r="B53" s="75"/>
      <c r="C53" s="89"/>
      <c r="D53" s="26"/>
      <c r="E53" s="26"/>
      <c r="F53" s="26"/>
      <c r="G53" s="27"/>
      <c r="H53" s="27"/>
      <c r="I53" s="26"/>
      <c r="J53" s="64"/>
      <c r="K53" s="92"/>
      <c r="L53" s="30"/>
      <c r="M53" s="30"/>
      <c r="N53" s="31"/>
      <c r="O53" s="66"/>
      <c r="P53" s="66"/>
      <c r="Q53" s="68"/>
      <c r="R53" s="29"/>
      <c r="S53" s="29"/>
      <c r="T53" s="32"/>
      <c r="U53" s="43"/>
      <c r="V53" s="42">
        <f t="shared" si="2"/>
        <v>0</v>
      </c>
      <c r="W53" s="22"/>
      <c r="X53" s="22"/>
      <c r="Z53" s="22" t="e">
        <f t="shared" si="5"/>
        <v>#DIV/0!</v>
      </c>
    </row>
    <row r="54" spans="1:27" x14ac:dyDescent="0.25">
      <c r="A54" s="24"/>
      <c r="B54" s="99" t="s">
        <v>31</v>
      </c>
      <c r="C54" s="100" t="s">
        <v>31</v>
      </c>
      <c r="D54" s="101" t="s">
        <v>74</v>
      </c>
      <c r="E54" s="101"/>
      <c r="F54" s="101"/>
      <c r="G54" s="101"/>
      <c r="H54" s="101"/>
      <c r="I54" s="101"/>
      <c r="J54" s="104"/>
      <c r="K54" s="104" t="s">
        <v>75</v>
      </c>
      <c r="L54" s="30">
        <f>L56+L58</f>
        <v>44720000</v>
      </c>
      <c r="M54" s="30">
        <f>M56+M58</f>
        <v>2720000</v>
      </c>
      <c r="N54" s="31">
        <f>N56+N58</f>
        <v>42000000</v>
      </c>
      <c r="O54" s="66"/>
      <c r="P54" s="66"/>
      <c r="Q54" s="68">
        <f>Q56+Q58</f>
        <v>3500000</v>
      </c>
      <c r="R54" s="29">
        <v>38500000</v>
      </c>
      <c r="S54" s="29">
        <f>S56+S58</f>
        <v>42000000</v>
      </c>
      <c r="T54" s="20">
        <f>S54/N54*100</f>
        <v>100</v>
      </c>
      <c r="U54" s="43">
        <f>N54-S54</f>
        <v>0</v>
      </c>
      <c r="V54" s="42">
        <f t="shared" si="2"/>
        <v>0</v>
      </c>
      <c r="W54" s="22">
        <f t="shared" si="0"/>
        <v>8.3333333333333321</v>
      </c>
      <c r="X54" s="22">
        <f t="shared" si="1"/>
        <v>8.3333333333333321</v>
      </c>
      <c r="Z54" s="65">
        <f t="shared" si="5"/>
        <v>8.3333333333333321</v>
      </c>
    </row>
    <row r="55" spans="1:27" x14ac:dyDescent="0.25">
      <c r="A55" s="24"/>
      <c r="B55" s="75"/>
      <c r="C55" s="89"/>
      <c r="D55" s="26"/>
      <c r="E55" s="26"/>
      <c r="F55" s="26"/>
      <c r="G55" s="27"/>
      <c r="H55" s="27"/>
      <c r="I55" s="26"/>
      <c r="J55" s="64"/>
      <c r="K55" s="92"/>
      <c r="L55" s="30"/>
      <c r="M55" s="30"/>
      <c r="N55" s="31"/>
      <c r="O55" s="66"/>
      <c r="P55" s="66"/>
      <c r="Q55" s="68"/>
      <c r="R55" s="29"/>
      <c r="S55" s="29"/>
      <c r="T55" s="32"/>
      <c r="U55" s="43"/>
      <c r="V55" s="42">
        <f t="shared" si="2"/>
        <v>0</v>
      </c>
      <c r="W55" s="22"/>
      <c r="X55" s="22"/>
      <c r="Z55" s="22" t="e">
        <f t="shared" si="5"/>
        <v>#DIV/0!</v>
      </c>
    </row>
    <row r="56" spans="1:27" x14ac:dyDescent="0.25">
      <c r="A56" s="24"/>
      <c r="B56" s="99"/>
      <c r="C56" s="100"/>
      <c r="D56" s="101"/>
      <c r="E56" s="26"/>
      <c r="F56" s="26"/>
      <c r="G56" s="27"/>
      <c r="H56" s="27"/>
      <c r="I56" s="26"/>
      <c r="J56" s="64"/>
      <c r="K56" s="105" t="s">
        <v>76</v>
      </c>
      <c r="L56" s="66">
        <v>42000000</v>
      </c>
      <c r="M56" s="30"/>
      <c r="N56" s="67">
        <f>L56-M56</f>
        <v>42000000</v>
      </c>
      <c r="O56" s="66"/>
      <c r="P56" s="66"/>
      <c r="Q56" s="68">
        <v>3500000</v>
      </c>
      <c r="R56" s="68">
        <v>38500000</v>
      </c>
      <c r="S56" s="68">
        <f>Q56+R56</f>
        <v>42000000</v>
      </c>
      <c r="T56" s="20">
        <f>S56/N56*100</f>
        <v>100</v>
      </c>
      <c r="U56" s="43">
        <f t="shared" si="6"/>
        <v>0</v>
      </c>
      <c r="V56" s="42">
        <f t="shared" si="2"/>
        <v>0</v>
      </c>
      <c r="W56" s="22">
        <f t="shared" si="0"/>
        <v>8.3333333333333321</v>
      </c>
      <c r="X56" s="22">
        <f t="shared" si="1"/>
        <v>8.3333333333333321</v>
      </c>
      <c r="Z56" s="22">
        <f t="shared" si="5"/>
        <v>8.3333333333333321</v>
      </c>
    </row>
    <row r="57" spans="1:27" x14ac:dyDescent="0.25">
      <c r="A57" s="24"/>
      <c r="B57" s="75"/>
      <c r="C57" s="89"/>
      <c r="D57" s="26"/>
      <c r="E57" s="26"/>
      <c r="F57" s="26"/>
      <c r="G57" s="27"/>
      <c r="H57" s="27"/>
      <c r="I57" s="26"/>
      <c r="J57" s="64"/>
      <c r="K57" s="92"/>
      <c r="L57" s="30"/>
      <c r="M57" s="30"/>
      <c r="N57" s="67"/>
      <c r="O57" s="66"/>
      <c r="P57" s="66"/>
      <c r="Q57" s="68"/>
      <c r="R57" s="29"/>
      <c r="S57" s="29"/>
      <c r="T57" s="32"/>
      <c r="U57" s="43"/>
      <c r="V57" s="42">
        <f t="shared" si="2"/>
        <v>0</v>
      </c>
      <c r="W57" s="22"/>
      <c r="X57" s="22"/>
      <c r="Z57" s="22" t="e">
        <f t="shared" si="5"/>
        <v>#DIV/0!</v>
      </c>
    </row>
    <row r="58" spans="1:27" x14ac:dyDescent="0.25">
      <c r="A58" s="24"/>
      <c r="B58" s="75"/>
      <c r="C58" s="89"/>
      <c r="D58" s="26"/>
      <c r="E58" s="26"/>
      <c r="F58" s="26"/>
      <c r="G58" s="27"/>
      <c r="H58" s="27"/>
      <c r="I58" s="26"/>
      <c r="J58" s="64"/>
      <c r="K58" s="105" t="s">
        <v>77</v>
      </c>
      <c r="L58" s="66">
        <v>2720000</v>
      </c>
      <c r="M58" s="66">
        <v>2720000</v>
      </c>
      <c r="N58" s="67">
        <f>L58-M58</f>
        <v>0</v>
      </c>
      <c r="O58" s="66"/>
      <c r="P58" s="66"/>
      <c r="Q58" s="68">
        <v>0</v>
      </c>
      <c r="R58" s="29">
        <v>0</v>
      </c>
      <c r="S58" s="29">
        <f t="shared" ref="S58" si="22">Q58+R58</f>
        <v>0</v>
      </c>
      <c r="T58" s="32"/>
      <c r="U58" s="43">
        <f t="shared" si="6"/>
        <v>0</v>
      </c>
      <c r="V58" s="42">
        <f t="shared" si="2"/>
        <v>0</v>
      </c>
      <c r="W58" s="22"/>
      <c r="X58" s="22"/>
      <c r="Z58" s="22" t="e">
        <f t="shared" si="5"/>
        <v>#DIV/0!</v>
      </c>
    </row>
    <row r="59" spans="1:27" x14ac:dyDescent="0.25">
      <c r="A59" s="24"/>
      <c r="B59" s="75"/>
      <c r="C59" s="89"/>
      <c r="D59" s="26"/>
      <c r="E59" s="26"/>
      <c r="F59" s="26"/>
      <c r="G59" s="27"/>
      <c r="H59" s="27"/>
      <c r="I59" s="26"/>
      <c r="J59" s="64"/>
      <c r="K59" s="92"/>
      <c r="L59" s="30"/>
      <c r="M59" s="30"/>
      <c r="N59" s="31"/>
      <c r="O59" s="66"/>
      <c r="P59" s="66"/>
      <c r="Q59" s="68"/>
      <c r="R59" s="29"/>
      <c r="S59" s="29"/>
      <c r="T59" s="32"/>
      <c r="U59" s="43"/>
      <c r="V59" s="42">
        <f t="shared" si="2"/>
        <v>0</v>
      </c>
      <c r="W59" s="22"/>
      <c r="X59" s="22"/>
      <c r="Z59" s="22" t="e">
        <f t="shared" si="5"/>
        <v>#DIV/0!</v>
      </c>
    </row>
    <row r="60" spans="1:27" x14ac:dyDescent="0.25">
      <c r="A60" s="44"/>
      <c r="B60" s="45" t="s">
        <v>31</v>
      </c>
      <c r="C60" s="45" t="s">
        <v>31</v>
      </c>
      <c r="D60" s="480" t="s">
        <v>78</v>
      </c>
      <c r="E60" s="481"/>
      <c r="F60" s="481"/>
      <c r="G60" s="481"/>
      <c r="H60" s="50"/>
      <c r="I60" s="50"/>
      <c r="J60" s="106"/>
      <c r="K60" s="107" t="s">
        <v>79</v>
      </c>
      <c r="L60" s="108">
        <f>L62+L65</f>
        <v>312000000</v>
      </c>
      <c r="M60" s="108">
        <f>M62+M65</f>
        <v>25000000</v>
      </c>
      <c r="N60" s="52">
        <f>L60-M60</f>
        <v>287000000</v>
      </c>
      <c r="O60" s="108"/>
      <c r="P60" s="108"/>
      <c r="Q60" s="108">
        <f>Q62+Q65</f>
        <v>22044608</v>
      </c>
      <c r="R60" s="108">
        <v>263028688</v>
      </c>
      <c r="S60" s="108">
        <f t="shared" si="12"/>
        <v>285073296</v>
      </c>
      <c r="T60" s="54">
        <f>S60/N60*100</f>
        <v>99.328674564459931</v>
      </c>
      <c r="U60" s="52">
        <f t="shared" si="6"/>
        <v>1926704</v>
      </c>
      <c r="V60" s="42">
        <f t="shared" si="2"/>
        <v>963352</v>
      </c>
      <c r="W60" s="22">
        <f t="shared" si="0"/>
        <v>7.6810480836236925</v>
      </c>
      <c r="X60" s="22">
        <f t="shared" si="1"/>
        <v>7.6810480836236925</v>
      </c>
      <c r="Z60" s="65">
        <f t="shared" si="5"/>
        <v>7.6810480836236925</v>
      </c>
    </row>
    <row r="61" spans="1:27" x14ac:dyDescent="0.25">
      <c r="A61" s="24"/>
      <c r="B61" s="75"/>
      <c r="C61" s="89"/>
      <c r="D61" s="26"/>
      <c r="E61" s="26"/>
      <c r="F61" s="26"/>
      <c r="G61" s="27"/>
      <c r="H61" s="27"/>
      <c r="I61" s="26"/>
      <c r="J61" s="64"/>
      <c r="K61" s="28"/>
      <c r="L61" s="66"/>
      <c r="M61" s="66"/>
      <c r="N61" s="31"/>
      <c r="O61" s="66"/>
      <c r="P61" s="66"/>
      <c r="Q61" s="68"/>
      <c r="R61" s="29"/>
      <c r="S61" s="29"/>
      <c r="T61" s="32"/>
      <c r="U61" s="43"/>
      <c r="V61" s="42">
        <f t="shared" si="2"/>
        <v>0</v>
      </c>
      <c r="W61" s="22"/>
      <c r="X61" s="22"/>
      <c r="Z61" s="22" t="e">
        <f t="shared" si="5"/>
        <v>#DIV/0!</v>
      </c>
    </row>
    <row r="62" spans="1:27" x14ac:dyDescent="0.25">
      <c r="A62" s="24"/>
      <c r="B62" s="58"/>
      <c r="C62" s="58"/>
      <c r="D62" s="109"/>
      <c r="E62" s="61"/>
      <c r="F62" s="61"/>
      <c r="G62" s="61"/>
      <c r="H62" s="62"/>
      <c r="I62" s="63"/>
      <c r="J62" s="90"/>
      <c r="K62" s="74" t="s">
        <v>80</v>
      </c>
      <c r="L62" s="30">
        <f>L63+L64</f>
        <v>302400000</v>
      </c>
      <c r="M62" s="30">
        <f>M63+M64</f>
        <v>25000000</v>
      </c>
      <c r="N62" s="31">
        <f>N63</f>
        <v>277400000</v>
      </c>
      <c r="O62" s="30"/>
      <c r="P62" s="30"/>
      <c r="Q62" s="30">
        <f t="shared" ref="Q62" si="23">Q63+Q64</f>
        <v>21244608</v>
      </c>
      <c r="R62" s="29">
        <v>254228688</v>
      </c>
      <c r="S62" s="29">
        <f t="shared" si="12"/>
        <v>275473296</v>
      </c>
      <c r="T62" s="20">
        <f t="shared" ref="T62:T63" si="24">S62/N62*100</f>
        <v>99.305441961067061</v>
      </c>
      <c r="U62" s="43">
        <f t="shared" si="6"/>
        <v>1926704</v>
      </c>
      <c r="V62" s="42">
        <f t="shared" si="2"/>
        <v>963352</v>
      </c>
      <c r="W62" s="22">
        <f t="shared" si="0"/>
        <v>7.6584744051910594</v>
      </c>
      <c r="X62" s="22">
        <f t="shared" si="1"/>
        <v>7.6584744051910594</v>
      </c>
      <c r="Z62" s="65">
        <f t="shared" si="5"/>
        <v>7.6584744051910594</v>
      </c>
    </row>
    <row r="63" spans="1:27" x14ac:dyDescent="0.25">
      <c r="A63" s="24"/>
      <c r="B63" s="75"/>
      <c r="C63" s="89"/>
      <c r="D63" s="26"/>
      <c r="E63" s="26"/>
      <c r="F63" s="26"/>
      <c r="G63" s="27"/>
      <c r="H63" s="27"/>
      <c r="I63" s="26"/>
      <c r="J63" s="64"/>
      <c r="K63" s="28" t="s">
        <v>81</v>
      </c>
      <c r="L63" s="66">
        <v>302400000</v>
      </c>
      <c r="M63" s="66">
        <v>25000000</v>
      </c>
      <c r="N63" s="67">
        <f>L63-M63</f>
        <v>277400000</v>
      </c>
      <c r="O63" s="30"/>
      <c r="P63" s="30"/>
      <c r="Q63" s="76">
        <v>21244608</v>
      </c>
      <c r="R63" s="68">
        <v>254228688</v>
      </c>
      <c r="S63" s="68">
        <f t="shared" si="12"/>
        <v>275473296</v>
      </c>
      <c r="T63" s="20">
        <f t="shared" si="24"/>
        <v>99.305441961067061</v>
      </c>
      <c r="U63" s="43">
        <f t="shared" si="6"/>
        <v>1926704</v>
      </c>
      <c r="V63" s="42">
        <f t="shared" si="2"/>
        <v>963352</v>
      </c>
      <c r="W63" s="22">
        <f t="shared" si="0"/>
        <v>7.6584744051910594</v>
      </c>
      <c r="X63" s="22">
        <f t="shared" si="1"/>
        <v>7.6584744051910594</v>
      </c>
      <c r="Z63" s="22">
        <f t="shared" si="5"/>
        <v>7.6584744051910594</v>
      </c>
    </row>
    <row r="64" spans="1:27" x14ac:dyDescent="0.25">
      <c r="A64" s="24"/>
      <c r="B64" s="75"/>
      <c r="C64" s="89"/>
      <c r="D64" s="26"/>
      <c r="E64" s="26"/>
      <c r="F64" s="26"/>
      <c r="G64" s="27"/>
      <c r="H64" s="27"/>
      <c r="I64" s="26"/>
      <c r="J64" s="64"/>
      <c r="K64" s="28"/>
      <c r="L64" s="66"/>
      <c r="M64" s="66"/>
      <c r="N64" s="67"/>
      <c r="O64" s="66"/>
      <c r="P64" s="66"/>
      <c r="Q64" s="68"/>
      <c r="R64" s="68"/>
      <c r="S64" s="68"/>
      <c r="T64" s="110"/>
      <c r="U64" s="43"/>
      <c r="V64" s="42">
        <f t="shared" si="2"/>
        <v>0</v>
      </c>
      <c r="W64" s="22"/>
      <c r="X64" s="22"/>
      <c r="Z64" s="22" t="e">
        <f t="shared" si="5"/>
        <v>#DIV/0!</v>
      </c>
    </row>
    <row r="65" spans="1:26" x14ac:dyDescent="0.25">
      <c r="A65" s="24"/>
      <c r="B65" s="75"/>
      <c r="C65" s="89"/>
      <c r="D65" s="60"/>
      <c r="E65" s="26"/>
      <c r="F65" s="26"/>
      <c r="G65" s="27"/>
      <c r="H65" s="27"/>
      <c r="I65" s="26"/>
      <c r="J65" s="64"/>
      <c r="K65" s="56" t="s">
        <v>82</v>
      </c>
      <c r="L65" s="30">
        <f>L66</f>
        <v>9600000</v>
      </c>
      <c r="M65" s="30">
        <f>M66</f>
        <v>0</v>
      </c>
      <c r="N65" s="31">
        <f t="shared" ref="N65:N126" si="25">L65-M65</f>
        <v>9600000</v>
      </c>
      <c r="O65" s="30"/>
      <c r="P65" s="30"/>
      <c r="Q65" s="30">
        <f t="shared" ref="Q65" si="26">Q66</f>
        <v>800000</v>
      </c>
      <c r="R65" s="29">
        <v>8800000</v>
      </c>
      <c r="S65" s="29">
        <f t="shared" si="12"/>
        <v>9600000</v>
      </c>
      <c r="T65" s="20">
        <f t="shared" ref="T65:T66" si="27">S65/N65*100</f>
        <v>100</v>
      </c>
      <c r="U65" s="43">
        <f t="shared" si="6"/>
        <v>0</v>
      </c>
      <c r="V65" s="42">
        <f t="shared" si="2"/>
        <v>0</v>
      </c>
      <c r="W65" s="22">
        <f t="shared" si="0"/>
        <v>8.3333333333333321</v>
      </c>
      <c r="X65" s="22">
        <f t="shared" si="1"/>
        <v>8.3333333333333321</v>
      </c>
      <c r="Z65" s="65">
        <f t="shared" si="5"/>
        <v>8.3333333333333321</v>
      </c>
    </row>
    <row r="66" spans="1:26" x14ac:dyDescent="0.25">
      <c r="A66" s="24"/>
      <c r="B66" s="75"/>
      <c r="C66" s="89"/>
      <c r="D66" s="26"/>
      <c r="E66" s="26"/>
      <c r="F66" s="26"/>
      <c r="G66" s="27"/>
      <c r="H66" s="27"/>
      <c r="I66" s="26"/>
      <c r="J66" s="64"/>
      <c r="K66" s="28" t="s">
        <v>83</v>
      </c>
      <c r="L66" s="66">
        <v>9600000</v>
      </c>
      <c r="M66" s="66"/>
      <c r="N66" s="67">
        <f t="shared" si="25"/>
        <v>9600000</v>
      </c>
      <c r="O66" s="66"/>
      <c r="P66" s="66"/>
      <c r="Q66" s="68">
        <v>800000</v>
      </c>
      <c r="R66" s="68">
        <v>8800000</v>
      </c>
      <c r="S66" s="68">
        <f t="shared" si="12"/>
        <v>9600000</v>
      </c>
      <c r="T66" s="20">
        <f t="shared" si="27"/>
        <v>100</v>
      </c>
      <c r="U66" s="43">
        <f t="shared" si="6"/>
        <v>0</v>
      </c>
      <c r="V66" s="42">
        <f t="shared" si="2"/>
        <v>0</v>
      </c>
      <c r="W66" s="22">
        <f t="shared" si="0"/>
        <v>8.3333333333333321</v>
      </c>
      <c r="X66" s="22">
        <f t="shared" si="1"/>
        <v>8.3333333333333321</v>
      </c>
      <c r="Z66" s="22">
        <f t="shared" si="5"/>
        <v>8.3333333333333321</v>
      </c>
    </row>
    <row r="67" spans="1:26" x14ac:dyDescent="0.25">
      <c r="A67" s="24"/>
      <c r="B67" s="75"/>
      <c r="C67" s="89"/>
      <c r="D67" s="26"/>
      <c r="E67" s="26"/>
      <c r="F67" s="26"/>
      <c r="G67" s="27"/>
      <c r="H67" s="27"/>
      <c r="I67" s="26"/>
      <c r="J67" s="64"/>
      <c r="K67" s="28"/>
      <c r="L67" s="66"/>
      <c r="M67" s="66"/>
      <c r="N67" s="67"/>
      <c r="O67" s="66"/>
      <c r="P67" s="66"/>
      <c r="Q67" s="68"/>
      <c r="R67" s="29"/>
      <c r="S67" s="29"/>
      <c r="T67" s="32"/>
      <c r="U67" s="43"/>
      <c r="V67" s="42">
        <f t="shared" si="2"/>
        <v>0</v>
      </c>
      <c r="W67" s="22"/>
      <c r="X67" s="22"/>
      <c r="Z67" s="22" t="e">
        <f t="shared" si="5"/>
        <v>#DIV/0!</v>
      </c>
    </row>
    <row r="68" spans="1:26" x14ac:dyDescent="0.25">
      <c r="A68" s="44"/>
      <c r="B68" s="45" t="s">
        <v>31</v>
      </c>
      <c r="C68" s="45" t="s">
        <v>31</v>
      </c>
      <c r="D68" s="480" t="s">
        <v>84</v>
      </c>
      <c r="E68" s="481"/>
      <c r="F68" s="481"/>
      <c r="G68" s="481"/>
      <c r="H68" s="49"/>
      <c r="I68" s="50"/>
      <c r="J68" s="106"/>
      <c r="K68" s="51" t="s">
        <v>85</v>
      </c>
      <c r="L68" s="52">
        <f>L70</f>
        <v>106000000</v>
      </c>
      <c r="M68" s="52">
        <f>M70</f>
        <v>49962000</v>
      </c>
      <c r="N68" s="52">
        <f>N70</f>
        <v>69866000</v>
      </c>
      <c r="O68" s="52"/>
      <c r="P68" s="52"/>
      <c r="Q68" s="52">
        <f>Q70</f>
        <v>4057300</v>
      </c>
      <c r="R68" s="52">
        <v>65808000</v>
      </c>
      <c r="S68" s="52">
        <f t="shared" ref="S68" si="28">Q68+R68</f>
        <v>69865300</v>
      </c>
      <c r="T68" s="54">
        <f>S68/N68*100</f>
        <v>99.99899808204276</v>
      </c>
      <c r="U68" s="52">
        <f t="shared" si="6"/>
        <v>700</v>
      </c>
      <c r="V68" s="42">
        <f t="shared" si="2"/>
        <v>350</v>
      </c>
      <c r="W68" s="22">
        <f t="shared" si="0"/>
        <v>5.8072596112558328</v>
      </c>
      <c r="X68" s="22">
        <f t="shared" si="1"/>
        <v>5.8072596112558328</v>
      </c>
      <c r="Z68" s="65">
        <f t="shared" si="5"/>
        <v>5.8072596112558328</v>
      </c>
    </row>
    <row r="69" spans="1:26" x14ac:dyDescent="0.25">
      <c r="A69" s="24"/>
      <c r="B69" s="75"/>
      <c r="C69" s="89"/>
      <c r="D69" s="26"/>
      <c r="E69" s="26"/>
      <c r="F69" s="26"/>
      <c r="G69" s="27"/>
      <c r="H69" s="27"/>
      <c r="I69" s="26"/>
      <c r="J69" s="64"/>
      <c r="K69" s="28"/>
      <c r="L69" s="66"/>
      <c r="M69" s="66"/>
      <c r="N69" s="67"/>
      <c r="O69" s="66"/>
      <c r="P69" s="66"/>
      <c r="Q69" s="68"/>
      <c r="R69" s="29"/>
      <c r="S69" s="29"/>
      <c r="T69" s="32"/>
      <c r="U69" s="43"/>
      <c r="V69" s="42">
        <f t="shared" si="2"/>
        <v>0</v>
      </c>
      <c r="W69" s="22"/>
      <c r="X69" s="22"/>
      <c r="Z69" s="22" t="e">
        <f t="shared" si="5"/>
        <v>#DIV/0!</v>
      </c>
    </row>
    <row r="70" spans="1:26" x14ac:dyDescent="0.25">
      <c r="A70" s="24"/>
      <c r="B70" s="75"/>
      <c r="C70" s="89"/>
      <c r="D70" s="26"/>
      <c r="E70" s="26"/>
      <c r="F70" s="26"/>
      <c r="G70" s="27"/>
      <c r="H70" s="27"/>
      <c r="I70" s="26"/>
      <c r="J70" s="64"/>
      <c r="K70" s="56" t="s">
        <v>86</v>
      </c>
      <c r="L70" s="30">
        <v>106000000</v>
      </c>
      <c r="M70" s="30">
        <v>49962000</v>
      </c>
      <c r="N70" s="31">
        <v>69866000</v>
      </c>
      <c r="O70" s="66"/>
      <c r="P70" s="66"/>
      <c r="Q70" s="76">
        <v>4057300</v>
      </c>
      <c r="R70" s="29">
        <v>65808000</v>
      </c>
      <c r="S70" s="29">
        <f>Q70+R70</f>
        <v>69865300</v>
      </c>
      <c r="T70" s="20">
        <f>S70/N70*100</f>
        <v>99.99899808204276</v>
      </c>
      <c r="U70" s="43">
        <f t="shared" si="6"/>
        <v>700</v>
      </c>
      <c r="V70" s="42">
        <f t="shared" si="2"/>
        <v>350</v>
      </c>
      <c r="W70" s="111">
        <f t="shared" si="0"/>
        <v>5.8072596112558328</v>
      </c>
      <c r="X70" s="22">
        <f t="shared" si="1"/>
        <v>5.8072596112558328</v>
      </c>
      <c r="Z70" s="22">
        <f t="shared" si="5"/>
        <v>5.8072596112558328</v>
      </c>
    </row>
    <row r="71" spans="1:26" x14ac:dyDescent="0.25">
      <c r="A71" s="24"/>
      <c r="B71" s="75"/>
      <c r="C71" s="89"/>
      <c r="D71" s="26"/>
      <c r="E71" s="26"/>
      <c r="F71" s="26"/>
      <c r="G71" s="27"/>
      <c r="H71" s="27"/>
      <c r="I71" s="26"/>
      <c r="J71" s="64"/>
      <c r="K71" s="28"/>
      <c r="L71" s="66"/>
      <c r="M71" s="66"/>
      <c r="N71" s="67"/>
      <c r="O71" s="66"/>
      <c r="P71" s="66"/>
      <c r="Q71" s="68"/>
      <c r="R71" s="29"/>
      <c r="S71" s="29"/>
      <c r="T71" s="32"/>
      <c r="U71" s="43"/>
      <c r="V71" s="42">
        <f t="shared" si="2"/>
        <v>0</v>
      </c>
      <c r="W71" s="22"/>
      <c r="X71" s="22"/>
      <c r="Z71" s="22" t="e">
        <f t="shared" si="5"/>
        <v>#DIV/0!</v>
      </c>
    </row>
    <row r="72" spans="1:26" x14ac:dyDescent="0.25">
      <c r="A72" s="24"/>
      <c r="B72" s="112" t="s">
        <v>31</v>
      </c>
      <c r="C72" s="93" t="s">
        <v>31</v>
      </c>
      <c r="D72" s="113" t="s">
        <v>87</v>
      </c>
      <c r="E72" s="80"/>
      <c r="F72" s="80"/>
      <c r="G72" s="114"/>
      <c r="H72" s="114"/>
      <c r="I72" s="80"/>
      <c r="J72" s="81"/>
      <c r="K72" s="115" t="s">
        <v>88</v>
      </c>
      <c r="L72" s="52">
        <f>L74+L76</f>
        <v>30500000</v>
      </c>
      <c r="M72" s="52">
        <f>M74+M76</f>
        <v>18000000</v>
      </c>
      <c r="N72" s="52">
        <f t="shared" si="25"/>
        <v>12500000</v>
      </c>
      <c r="O72" s="116"/>
      <c r="P72" s="116"/>
      <c r="Q72" s="84">
        <f>Q74+Q76</f>
        <v>570000</v>
      </c>
      <c r="R72" s="84">
        <v>11923800</v>
      </c>
      <c r="S72" s="84">
        <f>Q72+R72</f>
        <v>12493800</v>
      </c>
      <c r="T72" s="54">
        <f>S72/N72*100</f>
        <v>99.950400000000002</v>
      </c>
      <c r="U72" s="52">
        <f t="shared" si="6"/>
        <v>6200</v>
      </c>
      <c r="V72" s="42">
        <f t="shared" si="2"/>
        <v>3100</v>
      </c>
      <c r="W72" s="22">
        <f t="shared" si="0"/>
        <v>4.5600000000000005</v>
      </c>
      <c r="X72" s="22">
        <f t="shared" si="1"/>
        <v>4.5600000000000005</v>
      </c>
      <c r="Z72" s="65">
        <f t="shared" si="5"/>
        <v>4.5600000000000005</v>
      </c>
    </row>
    <row r="73" spans="1:26" x14ac:dyDescent="0.25">
      <c r="A73" s="24"/>
      <c r="B73" s="75"/>
      <c r="C73" s="89"/>
      <c r="D73" s="26"/>
      <c r="E73" s="26"/>
      <c r="F73" s="26"/>
      <c r="G73" s="27"/>
      <c r="H73" s="27"/>
      <c r="I73" s="26"/>
      <c r="J73" s="64"/>
      <c r="K73" s="28"/>
      <c r="L73" s="66"/>
      <c r="M73" s="66"/>
      <c r="N73" s="31"/>
      <c r="O73" s="66"/>
      <c r="P73" s="66"/>
      <c r="Q73" s="68"/>
      <c r="R73" s="29"/>
      <c r="S73" s="29"/>
      <c r="T73" s="32"/>
      <c r="U73" s="43"/>
      <c r="V73" s="42">
        <f t="shared" si="2"/>
        <v>0</v>
      </c>
      <c r="W73" s="22"/>
      <c r="X73" s="22"/>
      <c r="Z73" s="22" t="e">
        <f t="shared" si="5"/>
        <v>#DIV/0!</v>
      </c>
    </row>
    <row r="74" spans="1:26" x14ac:dyDescent="0.25">
      <c r="A74" s="24"/>
      <c r="B74" s="75"/>
      <c r="C74" s="89"/>
      <c r="D74" s="26"/>
      <c r="E74" s="26"/>
      <c r="F74" s="26"/>
      <c r="G74" s="27"/>
      <c r="H74" s="27"/>
      <c r="I74" s="26"/>
      <c r="J74" s="64"/>
      <c r="K74" s="56" t="s">
        <v>89</v>
      </c>
      <c r="L74" s="30">
        <v>22500000</v>
      </c>
      <c r="M74" s="30">
        <v>15000000</v>
      </c>
      <c r="N74" s="31">
        <f t="shared" si="25"/>
        <v>7500000</v>
      </c>
      <c r="O74" s="66"/>
      <c r="P74" s="66"/>
      <c r="Q74" s="68">
        <v>0</v>
      </c>
      <c r="R74" s="29">
        <v>7500000</v>
      </c>
      <c r="S74" s="29">
        <f>Q74+R74</f>
        <v>7500000</v>
      </c>
      <c r="T74" s="32"/>
      <c r="U74" s="117">
        <f t="shared" ref="U74" si="29">N74-S74</f>
        <v>0</v>
      </c>
      <c r="V74" s="42">
        <f t="shared" si="2"/>
        <v>0</v>
      </c>
      <c r="W74" s="22">
        <f t="shared" si="0"/>
        <v>0</v>
      </c>
      <c r="X74" s="22">
        <f t="shared" si="1"/>
        <v>0</v>
      </c>
      <c r="Z74" s="22">
        <f t="shared" si="5"/>
        <v>0</v>
      </c>
    </row>
    <row r="75" spans="1:26" x14ac:dyDescent="0.25">
      <c r="A75" s="24"/>
      <c r="B75" s="75"/>
      <c r="C75" s="89"/>
      <c r="D75" s="26"/>
      <c r="E75" s="26"/>
      <c r="F75" s="26"/>
      <c r="G75" s="27"/>
      <c r="H75" s="27"/>
      <c r="I75" s="26"/>
      <c r="J75" s="64"/>
      <c r="K75" s="56"/>
      <c r="L75" s="30"/>
      <c r="M75" s="30"/>
      <c r="N75" s="31"/>
      <c r="O75" s="66"/>
      <c r="P75" s="66"/>
      <c r="Q75" s="68"/>
      <c r="R75" s="29"/>
      <c r="S75" s="29"/>
      <c r="T75" s="32"/>
      <c r="U75" s="43"/>
      <c r="V75" s="42">
        <f t="shared" si="2"/>
        <v>0</v>
      </c>
      <c r="W75" s="22"/>
      <c r="X75" s="22"/>
      <c r="Z75" s="22" t="e">
        <f t="shared" si="5"/>
        <v>#DIV/0!</v>
      </c>
    </row>
    <row r="76" spans="1:26" x14ac:dyDescent="0.25">
      <c r="A76" s="24"/>
      <c r="B76" s="75"/>
      <c r="C76" s="89"/>
      <c r="D76" s="26"/>
      <c r="E76" s="26"/>
      <c r="F76" s="26"/>
      <c r="G76" s="27"/>
      <c r="H76" s="27"/>
      <c r="I76" s="26"/>
      <c r="J76" s="64"/>
      <c r="K76" s="56" t="s">
        <v>90</v>
      </c>
      <c r="L76" s="30">
        <v>8000000</v>
      </c>
      <c r="M76" s="30">
        <v>3000000</v>
      </c>
      <c r="N76" s="31">
        <f t="shared" si="25"/>
        <v>5000000</v>
      </c>
      <c r="O76" s="66"/>
      <c r="P76" s="66"/>
      <c r="Q76" s="76">
        <v>570000</v>
      </c>
      <c r="R76" s="29">
        <v>4423800</v>
      </c>
      <c r="S76" s="29">
        <f>Q76+R76</f>
        <v>4993800</v>
      </c>
      <c r="T76" s="20">
        <f>S76/N76*100</f>
        <v>99.876000000000005</v>
      </c>
      <c r="U76" s="43">
        <f t="shared" si="6"/>
        <v>6200</v>
      </c>
      <c r="V76" s="42">
        <f t="shared" si="2"/>
        <v>3100</v>
      </c>
      <c r="W76" s="22">
        <f t="shared" ref="W76:W138" si="30">Q76/N76*100</f>
        <v>11.4</v>
      </c>
      <c r="X76" s="22">
        <f>Q76/N76*100</f>
        <v>11.4</v>
      </c>
      <c r="Z76" s="65">
        <f t="shared" si="5"/>
        <v>11.4</v>
      </c>
    </row>
    <row r="77" spans="1:26" x14ac:dyDescent="0.25">
      <c r="A77" s="24"/>
      <c r="B77" s="75"/>
      <c r="C77" s="89"/>
      <c r="D77" s="26"/>
      <c r="E77" s="26"/>
      <c r="F77" s="26"/>
      <c r="G77" s="27"/>
      <c r="H77" s="27"/>
      <c r="I77" s="26"/>
      <c r="J77" s="64"/>
      <c r="K77" s="28"/>
      <c r="L77" s="66"/>
      <c r="M77" s="66"/>
      <c r="N77" s="31"/>
      <c r="O77" s="66"/>
      <c r="P77" s="66"/>
      <c r="Q77" s="29"/>
      <c r="R77" s="29"/>
      <c r="S77" s="29"/>
      <c r="T77" s="32"/>
      <c r="U77" s="43"/>
      <c r="V77" s="42">
        <f t="shared" ref="V77:V140" si="31">U77/2</f>
        <v>0</v>
      </c>
      <c r="W77" s="22"/>
      <c r="X77" s="22"/>
      <c r="Z77" s="22" t="e">
        <f t="shared" si="5"/>
        <v>#DIV/0!</v>
      </c>
    </row>
    <row r="78" spans="1:26" x14ac:dyDescent="0.25">
      <c r="A78" s="24"/>
      <c r="B78" s="112" t="s">
        <v>31</v>
      </c>
      <c r="C78" s="93" t="s">
        <v>31</v>
      </c>
      <c r="D78" s="113" t="s">
        <v>91</v>
      </c>
      <c r="E78" s="80"/>
      <c r="F78" s="80"/>
      <c r="G78" s="114"/>
      <c r="H78" s="114"/>
      <c r="I78" s="80"/>
      <c r="J78" s="81"/>
      <c r="K78" s="115" t="s">
        <v>92</v>
      </c>
      <c r="L78" s="52">
        <f>L80</f>
        <v>9970000</v>
      </c>
      <c r="M78" s="52">
        <f>M80</f>
        <v>5502000</v>
      </c>
      <c r="N78" s="52">
        <f t="shared" si="25"/>
        <v>4468000</v>
      </c>
      <c r="O78" s="116"/>
      <c r="P78" s="116"/>
      <c r="Q78" s="84">
        <f>Q80</f>
        <v>180000</v>
      </c>
      <c r="R78" s="84">
        <v>4274500</v>
      </c>
      <c r="S78" s="84">
        <f>Q78+R78</f>
        <v>4454500</v>
      </c>
      <c r="T78" s="54">
        <f>S78/N78*100</f>
        <v>99.697851387645471</v>
      </c>
      <c r="U78" s="52">
        <f t="shared" ref="U78:U140" si="32">N78-S78</f>
        <v>13500</v>
      </c>
      <c r="V78" s="42">
        <f t="shared" si="31"/>
        <v>6750</v>
      </c>
      <c r="W78" s="22">
        <f t="shared" si="30"/>
        <v>4.0286481647269472</v>
      </c>
      <c r="X78" s="22">
        <f t="shared" ref="X78:X100" si="33">Q78/N78*100</f>
        <v>4.0286481647269472</v>
      </c>
      <c r="Z78" s="65">
        <f t="shared" si="5"/>
        <v>4.0286481647269472</v>
      </c>
    </row>
    <row r="79" spans="1:26" x14ac:dyDescent="0.25">
      <c r="A79" s="24"/>
      <c r="B79" s="118"/>
      <c r="C79" s="119"/>
      <c r="D79" s="26"/>
      <c r="E79" s="26"/>
      <c r="F79" s="26"/>
      <c r="G79" s="27"/>
      <c r="H79" s="27"/>
      <c r="I79" s="26"/>
      <c r="J79" s="64"/>
      <c r="K79" s="28"/>
      <c r="L79" s="66"/>
      <c r="M79" s="66"/>
      <c r="N79" s="31"/>
      <c r="O79" s="66"/>
      <c r="P79" s="66"/>
      <c r="Q79" s="68"/>
      <c r="R79" s="29"/>
      <c r="S79" s="29"/>
      <c r="T79" s="32"/>
      <c r="U79" s="43"/>
      <c r="V79" s="42">
        <f t="shared" si="31"/>
        <v>0</v>
      </c>
      <c r="W79" s="22"/>
      <c r="X79" s="22"/>
      <c r="Z79" s="22" t="e">
        <f t="shared" ref="Z79:Z142" si="34">Q79/N79*100</f>
        <v>#DIV/0!</v>
      </c>
    </row>
    <row r="80" spans="1:26" x14ac:dyDescent="0.25">
      <c r="A80" s="24"/>
      <c r="B80" s="118"/>
      <c r="C80" s="119"/>
      <c r="D80" s="26"/>
      <c r="E80" s="26"/>
      <c r="F80" s="26"/>
      <c r="G80" s="27"/>
      <c r="H80" s="27"/>
      <c r="I80" s="26"/>
      <c r="J80" s="64"/>
      <c r="K80" s="56" t="s">
        <v>93</v>
      </c>
      <c r="L80" s="30">
        <v>9970000</v>
      </c>
      <c r="M80" s="30">
        <v>5502000</v>
      </c>
      <c r="N80" s="31">
        <f t="shared" si="25"/>
        <v>4468000</v>
      </c>
      <c r="O80" s="66"/>
      <c r="P80" s="66"/>
      <c r="Q80" s="76">
        <v>180000</v>
      </c>
      <c r="R80" s="29">
        <v>4274500</v>
      </c>
      <c r="S80" s="29">
        <f>Q80+R80</f>
        <v>4454500</v>
      </c>
      <c r="T80" s="20">
        <f>S80/N80*100</f>
        <v>99.697851387645471</v>
      </c>
      <c r="U80" s="43">
        <f t="shared" si="32"/>
        <v>13500</v>
      </c>
      <c r="V80" s="42">
        <f t="shared" si="31"/>
        <v>6750</v>
      </c>
      <c r="W80" s="22">
        <f t="shared" si="30"/>
        <v>4.0286481647269472</v>
      </c>
      <c r="X80" s="22">
        <f t="shared" si="33"/>
        <v>4.0286481647269472</v>
      </c>
      <c r="Z80" s="22">
        <f t="shared" si="34"/>
        <v>4.0286481647269472</v>
      </c>
    </row>
    <row r="81" spans="1:26" x14ac:dyDescent="0.25">
      <c r="A81" s="24"/>
      <c r="B81" s="118"/>
      <c r="C81" s="119"/>
      <c r="D81" s="26"/>
      <c r="E81" s="26"/>
      <c r="F81" s="26"/>
      <c r="G81" s="27"/>
      <c r="H81" s="27"/>
      <c r="I81" s="26"/>
      <c r="J81" s="64"/>
      <c r="K81" s="28"/>
      <c r="L81" s="66"/>
      <c r="M81" s="66"/>
      <c r="N81" s="67"/>
      <c r="O81" s="66"/>
      <c r="P81" s="66"/>
      <c r="Q81" s="68"/>
      <c r="R81" s="29"/>
      <c r="S81" s="29"/>
      <c r="T81" s="32"/>
      <c r="U81" s="43"/>
      <c r="V81" s="42">
        <f t="shared" si="31"/>
        <v>0</v>
      </c>
      <c r="W81" s="22"/>
      <c r="X81" s="22"/>
      <c r="Z81" s="22" t="e">
        <f t="shared" si="34"/>
        <v>#DIV/0!</v>
      </c>
    </row>
    <row r="82" spans="1:26" x14ac:dyDescent="0.25">
      <c r="A82" s="24"/>
      <c r="B82" s="112" t="s">
        <v>31</v>
      </c>
      <c r="C82" s="93" t="s">
        <v>31</v>
      </c>
      <c r="D82" s="113" t="s">
        <v>94</v>
      </c>
      <c r="E82" s="80"/>
      <c r="F82" s="80"/>
      <c r="G82" s="114"/>
      <c r="H82" s="114"/>
      <c r="I82" s="80"/>
      <c r="J82" s="81"/>
      <c r="K82" s="115" t="s">
        <v>95</v>
      </c>
      <c r="L82" s="52">
        <f>L84</f>
        <v>5000000</v>
      </c>
      <c r="M82" s="52">
        <f>M84</f>
        <v>5000000</v>
      </c>
      <c r="N82" s="116">
        <v>0</v>
      </c>
      <c r="O82" s="116"/>
      <c r="P82" s="116"/>
      <c r="Q82" s="120"/>
      <c r="R82" s="121"/>
      <c r="S82" s="121"/>
      <c r="T82" s="54"/>
      <c r="U82" s="117">
        <f t="shared" si="32"/>
        <v>0</v>
      </c>
      <c r="V82" s="42">
        <f t="shared" si="31"/>
        <v>0</v>
      </c>
      <c r="W82" s="22"/>
      <c r="X82" s="22"/>
      <c r="Z82" s="22" t="e">
        <f t="shared" si="34"/>
        <v>#DIV/0!</v>
      </c>
    </row>
    <row r="83" spans="1:26" x14ac:dyDescent="0.25">
      <c r="A83" s="24"/>
      <c r="B83" s="75"/>
      <c r="C83" s="89"/>
      <c r="D83" s="26"/>
      <c r="E83" s="26"/>
      <c r="F83" s="26"/>
      <c r="G83" s="27"/>
      <c r="H83" s="27"/>
      <c r="I83" s="26"/>
      <c r="J83" s="64"/>
      <c r="K83" s="28"/>
      <c r="L83" s="66"/>
      <c r="M83" s="66"/>
      <c r="N83" s="67"/>
      <c r="O83" s="66"/>
      <c r="P83" s="66"/>
      <c r="Q83" s="68"/>
      <c r="R83" s="29"/>
      <c r="S83" s="29"/>
      <c r="T83" s="32"/>
      <c r="U83" s="43"/>
      <c r="V83" s="42">
        <f t="shared" si="31"/>
        <v>0</v>
      </c>
      <c r="W83" s="22"/>
      <c r="X83" s="22"/>
      <c r="Z83" s="22" t="e">
        <f t="shared" si="34"/>
        <v>#DIV/0!</v>
      </c>
    </row>
    <row r="84" spans="1:26" x14ac:dyDescent="0.25">
      <c r="A84" s="24"/>
      <c r="B84" s="75"/>
      <c r="C84" s="89"/>
      <c r="D84" s="26"/>
      <c r="E84" s="26"/>
      <c r="F84" s="26"/>
      <c r="G84" s="27"/>
      <c r="H84" s="27"/>
      <c r="I84" s="26"/>
      <c r="J84" s="64"/>
      <c r="K84" s="56" t="s">
        <v>96</v>
      </c>
      <c r="L84" s="30">
        <v>5000000</v>
      </c>
      <c r="M84" s="30">
        <v>5000000</v>
      </c>
      <c r="N84" s="67">
        <f t="shared" si="25"/>
        <v>0</v>
      </c>
      <c r="O84" s="66"/>
      <c r="P84" s="66"/>
      <c r="Q84" s="68">
        <v>0</v>
      </c>
      <c r="R84" s="29">
        <v>0</v>
      </c>
      <c r="S84" s="29">
        <v>0</v>
      </c>
      <c r="T84" s="20" t="e">
        <f>S84/N84*100</f>
        <v>#DIV/0!</v>
      </c>
      <c r="U84" s="43">
        <f t="shared" si="32"/>
        <v>0</v>
      </c>
      <c r="V84" s="42">
        <f t="shared" si="31"/>
        <v>0</v>
      </c>
      <c r="W84" s="22"/>
      <c r="X84" s="22"/>
      <c r="Z84" s="22" t="e">
        <f t="shared" si="34"/>
        <v>#DIV/0!</v>
      </c>
    </row>
    <row r="85" spans="1:26" x14ac:dyDescent="0.25">
      <c r="A85" s="24"/>
      <c r="B85" s="75"/>
      <c r="C85" s="89"/>
      <c r="D85" s="26"/>
      <c r="E85" s="26"/>
      <c r="F85" s="26"/>
      <c r="G85" s="27"/>
      <c r="H85" s="27"/>
      <c r="I85" s="26"/>
      <c r="J85" s="64"/>
      <c r="K85" s="28"/>
      <c r="L85" s="66"/>
      <c r="M85" s="66"/>
      <c r="N85" s="67"/>
      <c r="O85" s="66"/>
      <c r="P85" s="66"/>
      <c r="Q85" s="68"/>
      <c r="R85" s="29"/>
      <c r="S85" s="29"/>
      <c r="T85" s="32"/>
      <c r="U85" s="43"/>
      <c r="V85" s="42">
        <f t="shared" si="31"/>
        <v>0</v>
      </c>
      <c r="W85" s="22"/>
      <c r="X85" s="22"/>
      <c r="Z85" s="22" t="e">
        <f t="shared" si="34"/>
        <v>#DIV/0!</v>
      </c>
    </row>
    <row r="86" spans="1:26" x14ac:dyDescent="0.25">
      <c r="A86" s="24"/>
      <c r="B86" s="112" t="s">
        <v>31</v>
      </c>
      <c r="C86" s="93" t="s">
        <v>31</v>
      </c>
      <c r="D86" s="113" t="s">
        <v>97</v>
      </c>
      <c r="E86" s="94"/>
      <c r="F86" s="94"/>
      <c r="G86" s="79"/>
      <c r="H86" s="79"/>
      <c r="I86" s="94"/>
      <c r="J86" s="122"/>
      <c r="K86" s="115" t="s">
        <v>98</v>
      </c>
      <c r="L86" s="52">
        <f>L88</f>
        <v>6600000</v>
      </c>
      <c r="M86" s="52">
        <f>M88</f>
        <v>4400000</v>
      </c>
      <c r="N86" s="52">
        <f>N88</f>
        <v>3080000</v>
      </c>
      <c r="O86" s="116"/>
      <c r="P86" s="116"/>
      <c r="Q86" s="84">
        <f>Q88</f>
        <v>300000</v>
      </c>
      <c r="R86" s="84">
        <v>2780000</v>
      </c>
      <c r="S86" s="84">
        <f>Q86+R86</f>
        <v>3080000</v>
      </c>
      <c r="T86" s="54">
        <f>S86/N86*100</f>
        <v>100</v>
      </c>
      <c r="U86" s="52">
        <f t="shared" si="32"/>
        <v>0</v>
      </c>
      <c r="V86" s="42">
        <f t="shared" si="31"/>
        <v>0</v>
      </c>
      <c r="W86" s="22">
        <f t="shared" si="30"/>
        <v>9.7402597402597415</v>
      </c>
      <c r="X86" s="22">
        <f t="shared" si="33"/>
        <v>9.7402597402597415</v>
      </c>
      <c r="Z86" s="65">
        <f t="shared" si="34"/>
        <v>9.7402597402597415</v>
      </c>
    </row>
    <row r="87" spans="1:26" x14ac:dyDescent="0.25">
      <c r="A87" s="24"/>
      <c r="B87" s="75"/>
      <c r="C87" s="89"/>
      <c r="D87" s="26"/>
      <c r="E87" s="26"/>
      <c r="F87" s="26"/>
      <c r="G87" s="27"/>
      <c r="H87" s="27"/>
      <c r="I87" s="26"/>
      <c r="J87" s="64"/>
      <c r="K87" s="28"/>
      <c r="L87" s="66"/>
      <c r="M87" s="66"/>
      <c r="N87" s="67"/>
      <c r="O87" s="66"/>
      <c r="P87" s="66"/>
      <c r="Q87" s="68"/>
      <c r="R87" s="29"/>
      <c r="S87" s="29"/>
      <c r="T87" s="32"/>
      <c r="U87" s="43"/>
      <c r="V87" s="42">
        <f t="shared" si="31"/>
        <v>0</v>
      </c>
      <c r="W87" s="22"/>
      <c r="X87" s="22"/>
      <c r="Z87" s="22" t="e">
        <f t="shared" si="34"/>
        <v>#DIV/0!</v>
      </c>
    </row>
    <row r="88" spans="1:26" x14ac:dyDescent="0.25">
      <c r="A88" s="24"/>
      <c r="B88" s="75"/>
      <c r="C88" s="89"/>
      <c r="D88" s="26"/>
      <c r="E88" s="26"/>
      <c r="F88" s="26"/>
      <c r="G88" s="27"/>
      <c r="H88" s="27"/>
      <c r="I88" s="26"/>
      <c r="J88" s="64"/>
      <c r="K88" s="56" t="s">
        <v>99</v>
      </c>
      <c r="L88" s="30">
        <v>6600000</v>
      </c>
      <c r="M88" s="30">
        <v>4400000</v>
      </c>
      <c r="N88" s="123">
        <v>3080000</v>
      </c>
      <c r="O88" s="66"/>
      <c r="P88" s="66"/>
      <c r="Q88" s="29">
        <v>300000</v>
      </c>
      <c r="R88" s="29">
        <v>2780000</v>
      </c>
      <c r="S88" s="29">
        <f>Q88+R88</f>
        <v>3080000</v>
      </c>
      <c r="T88" s="20">
        <f>S88/N88*100</f>
        <v>100</v>
      </c>
      <c r="U88" s="43">
        <f t="shared" si="32"/>
        <v>0</v>
      </c>
      <c r="V88" s="42">
        <f t="shared" si="31"/>
        <v>0</v>
      </c>
      <c r="W88" s="22">
        <f t="shared" si="30"/>
        <v>9.7402597402597415</v>
      </c>
      <c r="X88" s="22">
        <f t="shared" si="33"/>
        <v>9.7402597402597415</v>
      </c>
      <c r="Z88" s="22">
        <f t="shared" si="34"/>
        <v>9.7402597402597415</v>
      </c>
    </row>
    <row r="89" spans="1:26" x14ac:dyDescent="0.25">
      <c r="A89" s="24"/>
      <c r="B89" s="75"/>
      <c r="C89" s="89"/>
      <c r="D89" s="26"/>
      <c r="E89" s="26"/>
      <c r="F89" s="26"/>
      <c r="G89" s="27"/>
      <c r="H89" s="27"/>
      <c r="I89" s="26"/>
      <c r="J89" s="64"/>
      <c r="K89" s="28"/>
      <c r="L89" s="66"/>
      <c r="M89" s="66"/>
      <c r="N89" s="67"/>
      <c r="O89" s="66"/>
      <c r="P89" s="66"/>
      <c r="Q89" s="68"/>
      <c r="R89" s="29"/>
      <c r="S89" s="29"/>
      <c r="T89" s="32"/>
      <c r="U89" s="43"/>
      <c r="V89" s="42">
        <f t="shared" si="31"/>
        <v>0</v>
      </c>
      <c r="W89" s="22"/>
      <c r="X89" s="22"/>
      <c r="Z89" s="22" t="e">
        <f t="shared" si="34"/>
        <v>#DIV/0!</v>
      </c>
    </row>
    <row r="90" spans="1:26" x14ac:dyDescent="0.25">
      <c r="A90" s="24"/>
      <c r="B90" s="112" t="s">
        <v>31</v>
      </c>
      <c r="C90" s="93" t="s">
        <v>31</v>
      </c>
      <c r="D90" s="124" t="s">
        <v>100</v>
      </c>
      <c r="E90" s="94"/>
      <c r="F90" s="94"/>
      <c r="G90" s="79"/>
      <c r="H90" s="79"/>
      <c r="I90" s="94"/>
      <c r="J90" s="122"/>
      <c r="K90" s="115" t="s">
        <v>101</v>
      </c>
      <c r="L90" s="52">
        <f>L92</f>
        <v>8400000</v>
      </c>
      <c r="M90" s="52">
        <f>M92</f>
        <v>5000000</v>
      </c>
      <c r="N90" s="52">
        <f>N92</f>
        <v>3250000</v>
      </c>
      <c r="O90" s="116"/>
      <c r="P90" s="116"/>
      <c r="Q90" s="84">
        <f>Q92</f>
        <v>150000</v>
      </c>
      <c r="R90" s="84">
        <v>3100000</v>
      </c>
      <c r="S90" s="84">
        <f>Q90+R90</f>
        <v>3250000</v>
      </c>
      <c r="T90" s="54">
        <f>S90/N90*100</f>
        <v>100</v>
      </c>
      <c r="U90" s="52">
        <f t="shared" si="32"/>
        <v>0</v>
      </c>
      <c r="V90" s="42">
        <f t="shared" si="31"/>
        <v>0</v>
      </c>
      <c r="W90" s="22">
        <f t="shared" si="30"/>
        <v>4.6153846153846159</v>
      </c>
      <c r="X90" s="22">
        <f t="shared" si="33"/>
        <v>4.6153846153846159</v>
      </c>
      <c r="Z90" s="65">
        <f t="shared" si="34"/>
        <v>4.6153846153846159</v>
      </c>
    </row>
    <row r="91" spans="1:26" x14ac:dyDescent="0.25">
      <c r="A91" s="24"/>
      <c r="B91" s="75"/>
      <c r="C91" s="89"/>
      <c r="D91" s="26"/>
      <c r="E91" s="26"/>
      <c r="F91" s="26"/>
      <c r="G91" s="27"/>
      <c r="H91" s="27"/>
      <c r="I91" s="26"/>
      <c r="J91" s="64"/>
      <c r="K91" s="28"/>
      <c r="L91" s="66"/>
      <c r="M91" s="66"/>
      <c r="N91" s="67"/>
      <c r="O91" s="66"/>
      <c r="P91" s="66"/>
      <c r="Q91" s="68"/>
      <c r="R91" s="29"/>
      <c r="S91" s="29"/>
      <c r="T91" s="32"/>
      <c r="U91" s="43"/>
      <c r="V91" s="42">
        <f t="shared" si="31"/>
        <v>0</v>
      </c>
      <c r="W91" s="22"/>
      <c r="X91" s="22"/>
      <c r="Z91" s="22" t="e">
        <f t="shared" si="34"/>
        <v>#DIV/0!</v>
      </c>
    </row>
    <row r="92" spans="1:26" x14ac:dyDescent="0.25">
      <c r="A92" s="24"/>
      <c r="B92" s="75"/>
      <c r="C92" s="89"/>
      <c r="D92" s="26"/>
      <c r="E92" s="26"/>
      <c r="F92" s="26"/>
      <c r="G92" s="27"/>
      <c r="H92" s="27"/>
      <c r="I92" s="26"/>
      <c r="J92" s="64"/>
      <c r="K92" s="56" t="s">
        <v>102</v>
      </c>
      <c r="L92" s="30">
        <v>8400000</v>
      </c>
      <c r="M92" s="30">
        <v>5000000</v>
      </c>
      <c r="N92" s="31">
        <v>3250000</v>
      </c>
      <c r="O92" s="66"/>
      <c r="P92" s="66"/>
      <c r="Q92" s="29">
        <v>150000</v>
      </c>
      <c r="R92" s="29">
        <v>3100000</v>
      </c>
      <c r="S92" s="29">
        <f>Q92+R92</f>
        <v>3250000</v>
      </c>
      <c r="T92" s="20">
        <f>S92/N92*100</f>
        <v>100</v>
      </c>
      <c r="U92" s="43">
        <f t="shared" si="32"/>
        <v>0</v>
      </c>
      <c r="V92" s="42">
        <f t="shared" si="31"/>
        <v>0</v>
      </c>
      <c r="W92" s="22">
        <f t="shared" si="30"/>
        <v>4.6153846153846159</v>
      </c>
      <c r="X92" s="22">
        <f t="shared" si="33"/>
        <v>4.6153846153846159</v>
      </c>
      <c r="Z92" s="22">
        <f t="shared" si="34"/>
        <v>4.6153846153846159</v>
      </c>
    </row>
    <row r="93" spans="1:26" x14ac:dyDescent="0.25">
      <c r="A93" s="24"/>
      <c r="B93" s="75"/>
      <c r="C93" s="89"/>
      <c r="D93" s="26"/>
      <c r="E93" s="26"/>
      <c r="F93" s="26"/>
      <c r="G93" s="27"/>
      <c r="H93" s="27"/>
      <c r="I93" s="26"/>
      <c r="J93" s="64"/>
      <c r="K93" s="28"/>
      <c r="L93" s="66"/>
      <c r="M93" s="66"/>
      <c r="N93" s="67"/>
      <c r="O93" s="66"/>
      <c r="P93" s="66"/>
      <c r="Q93" s="68"/>
      <c r="R93" s="29"/>
      <c r="S93" s="29"/>
      <c r="T93" s="32"/>
      <c r="U93" s="43"/>
      <c r="V93" s="42">
        <f t="shared" si="31"/>
        <v>0</v>
      </c>
      <c r="W93" s="22"/>
      <c r="X93" s="22"/>
      <c r="Z93" s="22" t="e">
        <f t="shared" si="34"/>
        <v>#DIV/0!</v>
      </c>
    </row>
    <row r="94" spans="1:26" x14ac:dyDescent="0.25">
      <c r="A94" s="24"/>
      <c r="B94" s="112" t="s">
        <v>31</v>
      </c>
      <c r="C94" s="93" t="s">
        <v>31</v>
      </c>
      <c r="D94" s="124" t="s">
        <v>103</v>
      </c>
      <c r="E94" s="94"/>
      <c r="F94" s="94"/>
      <c r="G94" s="79"/>
      <c r="H94" s="79"/>
      <c r="I94" s="94"/>
      <c r="J94" s="122"/>
      <c r="K94" s="115" t="s">
        <v>104</v>
      </c>
      <c r="L94" s="52">
        <f>L96+L98</f>
        <v>56000000</v>
      </c>
      <c r="M94" s="52">
        <f>M96+M98</f>
        <v>22995000</v>
      </c>
      <c r="N94" s="52">
        <f>N96+N98</f>
        <v>33260000</v>
      </c>
      <c r="O94" s="116"/>
      <c r="P94" s="116"/>
      <c r="Q94" s="84">
        <f>Q96+Q98</f>
        <v>1294500</v>
      </c>
      <c r="R94" s="84">
        <v>31958400</v>
      </c>
      <c r="S94" s="84">
        <f>Q94+R94</f>
        <v>33252900</v>
      </c>
      <c r="T94" s="54">
        <f>S94/N94*100</f>
        <v>99.978653036680697</v>
      </c>
      <c r="U94" s="52">
        <f t="shared" si="32"/>
        <v>7100</v>
      </c>
      <c r="V94" s="42">
        <f t="shared" si="31"/>
        <v>3550</v>
      </c>
      <c r="W94" s="22">
        <f t="shared" si="30"/>
        <v>3.8920625375826821</v>
      </c>
      <c r="X94" s="22">
        <f t="shared" si="33"/>
        <v>3.8920625375826821</v>
      </c>
      <c r="Z94" s="65">
        <f t="shared" si="34"/>
        <v>3.8920625375826821</v>
      </c>
    </row>
    <row r="95" spans="1:26" x14ac:dyDescent="0.25">
      <c r="A95" s="24"/>
      <c r="B95" s="75"/>
      <c r="C95" s="89"/>
      <c r="D95" s="26"/>
      <c r="E95" s="26"/>
      <c r="F95" s="26"/>
      <c r="G95" s="27"/>
      <c r="H95" s="27"/>
      <c r="I95" s="26"/>
      <c r="J95" s="64"/>
      <c r="K95" s="28"/>
      <c r="L95" s="66"/>
      <c r="M95" s="66"/>
      <c r="N95" s="67"/>
      <c r="O95" s="66"/>
      <c r="P95" s="66"/>
      <c r="Q95" s="68"/>
      <c r="R95" s="29"/>
      <c r="S95" s="29"/>
      <c r="T95" s="32"/>
      <c r="U95" s="43"/>
      <c r="V95" s="42">
        <f t="shared" si="31"/>
        <v>0</v>
      </c>
      <c r="W95" s="22"/>
      <c r="X95" s="22"/>
      <c r="Z95" s="22" t="e">
        <f t="shared" si="34"/>
        <v>#DIV/0!</v>
      </c>
    </row>
    <row r="96" spans="1:26" x14ac:dyDescent="0.25">
      <c r="A96" s="24"/>
      <c r="B96" s="75"/>
      <c r="C96" s="89"/>
      <c r="D96" s="26"/>
      <c r="E96" s="26"/>
      <c r="F96" s="26"/>
      <c r="G96" s="27"/>
      <c r="H96" s="27"/>
      <c r="I96" s="26"/>
      <c r="J96" s="64"/>
      <c r="K96" s="125" t="s">
        <v>73</v>
      </c>
      <c r="L96" s="126">
        <v>34200000</v>
      </c>
      <c r="M96" s="126">
        <v>16005000</v>
      </c>
      <c r="N96" s="126">
        <v>18450000</v>
      </c>
      <c r="O96" s="127"/>
      <c r="P96" s="127"/>
      <c r="Q96" s="128">
        <v>600000</v>
      </c>
      <c r="R96" s="129">
        <v>17845500</v>
      </c>
      <c r="S96" s="129">
        <f>Q96+R96</f>
        <v>18445500</v>
      </c>
      <c r="T96" s="32">
        <f>S96/N96*100</f>
        <v>99.975609756097555</v>
      </c>
      <c r="U96" s="43">
        <f t="shared" si="32"/>
        <v>4500</v>
      </c>
      <c r="V96" s="42">
        <f t="shared" si="31"/>
        <v>2250</v>
      </c>
      <c r="W96" s="22">
        <f t="shared" si="30"/>
        <v>3.2520325203252036</v>
      </c>
      <c r="X96" s="22">
        <f t="shared" si="33"/>
        <v>3.2520325203252036</v>
      </c>
      <c r="Z96" s="65">
        <f t="shared" si="34"/>
        <v>3.2520325203252036</v>
      </c>
    </row>
    <row r="97" spans="1:27" x14ac:dyDescent="0.25">
      <c r="A97" s="24"/>
      <c r="B97" s="75"/>
      <c r="C97" s="89"/>
      <c r="D97" s="26"/>
      <c r="E97" s="26"/>
      <c r="F97" s="26"/>
      <c r="G97" s="27"/>
      <c r="H97" s="27"/>
      <c r="I97" s="26"/>
      <c r="J97" s="64"/>
      <c r="K97" s="125"/>
      <c r="L97" s="126"/>
      <c r="M97" s="126"/>
      <c r="N97" s="126"/>
      <c r="O97" s="127"/>
      <c r="P97" s="127"/>
      <c r="Q97" s="128"/>
      <c r="R97" s="128"/>
      <c r="S97" s="128"/>
      <c r="T97" s="32"/>
      <c r="U97" s="43">
        <f t="shared" si="32"/>
        <v>0</v>
      </c>
      <c r="V97" s="42">
        <f t="shared" si="31"/>
        <v>0</v>
      </c>
      <c r="W97" s="22"/>
      <c r="X97" s="22"/>
      <c r="Z97" s="22" t="e">
        <f t="shared" si="34"/>
        <v>#DIV/0!</v>
      </c>
    </row>
    <row r="98" spans="1:27" x14ac:dyDescent="0.25">
      <c r="A98" s="24"/>
      <c r="B98" s="75"/>
      <c r="C98" s="89"/>
      <c r="D98" s="26"/>
      <c r="E98" s="26"/>
      <c r="F98" s="26"/>
      <c r="G98" s="27"/>
      <c r="H98" s="27"/>
      <c r="I98" s="26"/>
      <c r="J98" s="64"/>
      <c r="K98" s="125" t="s">
        <v>105</v>
      </c>
      <c r="L98" s="126">
        <v>21800000</v>
      </c>
      <c r="M98" s="126">
        <v>6990000</v>
      </c>
      <c r="N98" s="126">
        <f t="shared" si="25"/>
        <v>14810000</v>
      </c>
      <c r="O98" s="127"/>
      <c r="P98" s="127"/>
      <c r="Q98" s="128">
        <v>694500</v>
      </c>
      <c r="R98" s="128">
        <v>0</v>
      </c>
      <c r="S98" s="129">
        <v>14807400</v>
      </c>
      <c r="T98" s="32">
        <f>S98/N98*100</f>
        <v>99.982444294395677</v>
      </c>
      <c r="U98" s="43">
        <f t="shared" si="32"/>
        <v>2600</v>
      </c>
      <c r="V98" s="42">
        <f t="shared" si="31"/>
        <v>1300</v>
      </c>
      <c r="W98" s="111">
        <f t="shared" si="30"/>
        <v>4.6893990546927746</v>
      </c>
      <c r="X98" s="22">
        <f t="shared" si="33"/>
        <v>4.6893990546927746</v>
      </c>
      <c r="Z98" s="65">
        <f t="shared" si="34"/>
        <v>4.6893990546927746</v>
      </c>
    </row>
    <row r="99" spans="1:27" x14ac:dyDescent="0.25">
      <c r="A99" s="24"/>
      <c r="B99" s="75"/>
      <c r="C99" s="89"/>
      <c r="D99" s="26"/>
      <c r="E99" s="26"/>
      <c r="F99" s="26"/>
      <c r="G99" s="27"/>
      <c r="H99" s="27"/>
      <c r="I99" s="26"/>
      <c r="J99" s="64"/>
      <c r="K99" s="28"/>
      <c r="L99" s="66"/>
      <c r="M99" s="66"/>
      <c r="N99" s="67"/>
      <c r="O99" s="66"/>
      <c r="P99" s="66"/>
      <c r="Q99" s="68"/>
      <c r="R99" s="29"/>
      <c r="S99" s="29"/>
      <c r="T99" s="32"/>
      <c r="U99" s="43"/>
      <c r="V99" s="42">
        <f t="shared" si="31"/>
        <v>0</v>
      </c>
      <c r="W99" s="22"/>
      <c r="X99" s="22"/>
      <c r="Z99" s="22" t="e">
        <f t="shared" si="34"/>
        <v>#DIV/0!</v>
      </c>
    </row>
    <row r="100" spans="1:27" x14ac:dyDescent="0.25">
      <c r="A100" s="24"/>
      <c r="B100" s="124" t="s">
        <v>31</v>
      </c>
      <c r="C100" s="130" t="s">
        <v>31</v>
      </c>
      <c r="D100" s="113" t="s">
        <v>106</v>
      </c>
      <c r="E100" s="113"/>
      <c r="F100" s="113"/>
      <c r="G100" s="113"/>
      <c r="H100" s="113"/>
      <c r="I100" s="113"/>
      <c r="J100" s="98"/>
      <c r="K100" s="98" t="s">
        <v>107</v>
      </c>
      <c r="L100" s="131">
        <f>L102</f>
        <v>225000000</v>
      </c>
      <c r="M100" s="52">
        <f>M102</f>
        <v>90000000</v>
      </c>
      <c r="N100" s="52">
        <f>N102</f>
        <v>145754000</v>
      </c>
      <c r="O100" s="116"/>
      <c r="P100" s="116"/>
      <c r="Q100" s="84">
        <f>Q102</f>
        <v>17051950</v>
      </c>
      <c r="R100" s="84">
        <v>128615418</v>
      </c>
      <c r="S100" s="84">
        <f>Q100+R100</f>
        <v>145667368</v>
      </c>
      <c r="T100" s="54">
        <f>S100/N100*100</f>
        <v>99.940562866199215</v>
      </c>
      <c r="U100" s="52">
        <f t="shared" si="32"/>
        <v>86632</v>
      </c>
      <c r="V100" s="42">
        <f t="shared" si="31"/>
        <v>43316</v>
      </c>
      <c r="W100" s="22">
        <f t="shared" si="30"/>
        <v>11.699130041028033</v>
      </c>
      <c r="X100" s="22">
        <f t="shared" si="33"/>
        <v>11.699130041028033</v>
      </c>
      <c r="Z100" s="22">
        <f t="shared" si="34"/>
        <v>11.699130041028033</v>
      </c>
    </row>
    <row r="101" spans="1:27" x14ac:dyDescent="0.25">
      <c r="A101" s="24"/>
      <c r="B101" s="75"/>
      <c r="C101" s="89"/>
      <c r="D101" s="26"/>
      <c r="E101" s="26"/>
      <c r="F101" s="26"/>
      <c r="G101" s="27"/>
      <c r="H101" s="27"/>
      <c r="I101" s="26"/>
      <c r="J101" s="64"/>
      <c r="K101" s="28"/>
      <c r="L101" s="66"/>
      <c r="M101" s="66"/>
      <c r="N101" s="67"/>
      <c r="O101" s="66"/>
      <c r="P101" s="66"/>
      <c r="Q101" s="68"/>
      <c r="R101" s="29"/>
      <c r="S101" s="29"/>
      <c r="T101" s="32"/>
      <c r="U101" s="43"/>
      <c r="V101" s="42">
        <f t="shared" si="31"/>
        <v>0</v>
      </c>
      <c r="W101" s="22"/>
      <c r="X101" s="22"/>
      <c r="Z101" s="22" t="e">
        <f t="shared" si="34"/>
        <v>#DIV/0!</v>
      </c>
    </row>
    <row r="102" spans="1:27" x14ac:dyDescent="0.25">
      <c r="A102" s="24"/>
      <c r="B102" s="75"/>
      <c r="C102" s="89"/>
      <c r="D102" s="26"/>
      <c r="E102" s="26"/>
      <c r="F102" s="26"/>
      <c r="G102" s="27"/>
      <c r="H102" s="27"/>
      <c r="I102" s="26"/>
      <c r="J102" s="64"/>
      <c r="K102" s="56" t="s">
        <v>108</v>
      </c>
      <c r="L102" s="30">
        <v>225000000</v>
      </c>
      <c r="M102" s="30">
        <v>90000000</v>
      </c>
      <c r="N102" s="31">
        <v>145754000</v>
      </c>
      <c r="O102" s="66"/>
      <c r="P102" s="66"/>
      <c r="Q102" s="29">
        <v>17051950</v>
      </c>
      <c r="R102" s="29">
        <v>128615418</v>
      </c>
      <c r="S102" s="29">
        <f>Q102+R102</f>
        <v>145667368</v>
      </c>
      <c r="T102" s="20">
        <f>S102/N102*100</f>
        <v>99.940562866199215</v>
      </c>
      <c r="U102" s="43">
        <f t="shared" si="32"/>
        <v>86632</v>
      </c>
      <c r="V102" s="42">
        <f t="shared" si="31"/>
        <v>43316</v>
      </c>
      <c r="W102" s="22">
        <f t="shared" si="30"/>
        <v>11.699130041028033</v>
      </c>
      <c r="X102" s="22">
        <f>Q102/N102*100</f>
        <v>11.699130041028033</v>
      </c>
      <c r="Z102" s="22">
        <f t="shared" si="34"/>
        <v>11.699130041028033</v>
      </c>
    </row>
    <row r="103" spans="1:27" x14ac:dyDescent="0.25">
      <c r="A103" s="24"/>
      <c r="B103" s="75"/>
      <c r="C103" s="89"/>
      <c r="D103" s="26"/>
      <c r="E103" s="26"/>
      <c r="F103" s="26"/>
      <c r="G103" s="27"/>
      <c r="H103" s="27"/>
      <c r="I103" s="26"/>
      <c r="J103" s="64"/>
      <c r="K103" s="28"/>
      <c r="L103" s="66"/>
      <c r="M103" s="66"/>
      <c r="N103" s="67"/>
      <c r="O103" s="66"/>
      <c r="P103" s="66"/>
      <c r="Q103" s="68"/>
      <c r="R103" s="29"/>
      <c r="S103" s="29"/>
      <c r="T103" s="32"/>
      <c r="U103" s="43"/>
      <c r="V103" s="42">
        <f t="shared" si="31"/>
        <v>0</v>
      </c>
      <c r="W103" s="22"/>
      <c r="X103" s="22"/>
      <c r="Z103" s="22" t="e">
        <f t="shared" si="34"/>
        <v>#DIV/0!</v>
      </c>
    </row>
    <row r="104" spans="1:27" x14ac:dyDescent="0.25">
      <c r="A104" s="24"/>
      <c r="B104" s="124" t="s">
        <v>31</v>
      </c>
      <c r="C104" s="130" t="s">
        <v>31</v>
      </c>
      <c r="D104" s="113" t="s">
        <v>109</v>
      </c>
      <c r="E104" s="113"/>
      <c r="F104" s="113"/>
      <c r="G104" s="113"/>
      <c r="H104" s="113"/>
      <c r="I104" s="113"/>
      <c r="J104" s="98"/>
      <c r="K104" s="98" t="s">
        <v>110</v>
      </c>
      <c r="L104" s="131">
        <f>L106</f>
        <v>10000000</v>
      </c>
      <c r="M104" s="52">
        <f>M106</f>
        <v>5000000</v>
      </c>
      <c r="N104" s="52">
        <f>N106</f>
        <v>7500000</v>
      </c>
      <c r="O104" s="116"/>
      <c r="P104" s="116"/>
      <c r="Q104" s="120">
        <f>Q106</f>
        <v>0</v>
      </c>
      <c r="R104" s="121">
        <v>7500000</v>
      </c>
      <c r="S104" s="121">
        <f>Q104+R104</f>
        <v>7500000</v>
      </c>
      <c r="T104" s="54">
        <f>S104/N104*100</f>
        <v>100</v>
      </c>
      <c r="U104" s="117">
        <f t="shared" si="32"/>
        <v>0</v>
      </c>
      <c r="V104" s="42">
        <f t="shared" si="31"/>
        <v>0</v>
      </c>
      <c r="W104" s="22">
        <f t="shared" si="30"/>
        <v>0</v>
      </c>
      <c r="X104" s="22">
        <f t="shared" ref="X104:X122" si="35">Q104/N104*100</f>
        <v>0</v>
      </c>
      <c r="Z104" s="65">
        <f t="shared" si="34"/>
        <v>0</v>
      </c>
    </row>
    <row r="105" spans="1:27" x14ac:dyDescent="0.25">
      <c r="A105" s="24"/>
      <c r="B105" s="75"/>
      <c r="C105" s="89"/>
      <c r="D105" s="26"/>
      <c r="E105" s="26"/>
      <c r="F105" s="26"/>
      <c r="G105" s="27"/>
      <c r="H105" s="27"/>
      <c r="I105" s="26"/>
      <c r="J105" s="64"/>
      <c r="K105" s="28"/>
      <c r="L105" s="66"/>
      <c r="M105" s="30"/>
      <c r="N105" s="67"/>
      <c r="O105" s="66"/>
      <c r="P105" s="66"/>
      <c r="Q105" s="68"/>
      <c r="R105" s="29"/>
      <c r="S105" s="29"/>
      <c r="T105" s="32"/>
      <c r="U105" s="43"/>
      <c r="V105" s="42">
        <f t="shared" si="31"/>
        <v>0</v>
      </c>
      <c r="W105" s="22"/>
      <c r="X105" s="22"/>
      <c r="Z105" s="22" t="e">
        <f t="shared" si="34"/>
        <v>#DIV/0!</v>
      </c>
    </row>
    <row r="106" spans="1:27" x14ac:dyDescent="0.25">
      <c r="A106" s="24"/>
      <c r="B106" s="75"/>
      <c r="C106" s="89"/>
      <c r="D106" s="26"/>
      <c r="E106" s="26"/>
      <c r="F106" s="26"/>
      <c r="G106" s="27"/>
      <c r="H106" s="27"/>
      <c r="I106" s="26"/>
      <c r="J106" s="64"/>
      <c r="K106" s="56" t="s">
        <v>111</v>
      </c>
      <c r="L106" s="30">
        <v>10000000</v>
      </c>
      <c r="M106" s="30">
        <v>5000000</v>
      </c>
      <c r="N106" s="31">
        <v>7500000</v>
      </c>
      <c r="O106" s="66"/>
      <c r="P106" s="66"/>
      <c r="Q106" s="68">
        <v>0</v>
      </c>
      <c r="R106" s="121">
        <v>7500000</v>
      </c>
      <c r="S106" s="121">
        <f>Q106+R106</f>
        <v>7500000</v>
      </c>
      <c r="T106" s="20">
        <f>S106/N106*100</f>
        <v>100</v>
      </c>
      <c r="U106" s="117">
        <f t="shared" si="32"/>
        <v>0</v>
      </c>
      <c r="V106" s="42">
        <f t="shared" si="31"/>
        <v>0</v>
      </c>
      <c r="W106" s="22">
        <f t="shared" si="30"/>
        <v>0</v>
      </c>
      <c r="X106" s="22">
        <f t="shared" si="35"/>
        <v>0</v>
      </c>
      <c r="Z106" s="22">
        <f t="shared" si="34"/>
        <v>0</v>
      </c>
    </row>
    <row r="107" spans="1:27" x14ac:dyDescent="0.25">
      <c r="A107" s="24"/>
      <c r="B107" s="75"/>
      <c r="C107" s="89"/>
      <c r="D107" s="26"/>
      <c r="E107" s="26"/>
      <c r="F107" s="26"/>
      <c r="G107" s="27"/>
      <c r="H107" s="27"/>
      <c r="I107" s="26"/>
      <c r="J107" s="64"/>
      <c r="K107" s="28"/>
      <c r="L107" s="66"/>
      <c r="M107" s="66"/>
      <c r="N107" s="67"/>
      <c r="O107" s="66"/>
      <c r="P107" s="66"/>
      <c r="Q107" s="68"/>
      <c r="R107" s="29"/>
      <c r="S107" s="29"/>
      <c r="T107" s="32"/>
      <c r="U107" s="43"/>
      <c r="V107" s="42">
        <f t="shared" si="31"/>
        <v>0</v>
      </c>
      <c r="W107" s="22"/>
      <c r="X107" s="22"/>
      <c r="Z107" s="22" t="e">
        <f t="shared" si="34"/>
        <v>#DIV/0!</v>
      </c>
    </row>
    <row r="108" spans="1:27" x14ac:dyDescent="0.25">
      <c r="A108" s="24"/>
      <c r="B108" s="112" t="s">
        <v>31</v>
      </c>
      <c r="C108" s="93" t="s">
        <v>31</v>
      </c>
      <c r="D108" s="113" t="s">
        <v>112</v>
      </c>
      <c r="E108" s="94"/>
      <c r="F108" s="94"/>
      <c r="G108" s="79"/>
      <c r="H108" s="79"/>
      <c r="I108" s="94"/>
      <c r="J108" s="122"/>
      <c r="K108" s="98" t="s">
        <v>113</v>
      </c>
      <c r="L108" s="52">
        <f>L110+L112</f>
        <v>80000000</v>
      </c>
      <c r="M108" s="52">
        <f>M110+M112</f>
        <v>27000000</v>
      </c>
      <c r="N108" s="52">
        <f>N110+N112</f>
        <v>57434000</v>
      </c>
      <c r="O108" s="116"/>
      <c r="P108" s="116"/>
      <c r="Q108" s="84">
        <f>Q110+Q112</f>
        <v>2260000</v>
      </c>
      <c r="R108" s="84">
        <v>55042401</v>
      </c>
      <c r="S108" s="84">
        <f>Q108+R108</f>
        <v>57302401</v>
      </c>
      <c r="T108" s="54">
        <f>S108/N108*100</f>
        <v>99.770869171570837</v>
      </c>
      <c r="U108" s="52">
        <f t="shared" si="32"/>
        <v>131599</v>
      </c>
      <c r="V108" s="42">
        <f t="shared" si="31"/>
        <v>65799.5</v>
      </c>
      <c r="W108" s="22">
        <f t="shared" si="30"/>
        <v>3.9349514225023503</v>
      </c>
      <c r="X108" s="22">
        <f t="shared" si="35"/>
        <v>3.9349514225023503</v>
      </c>
      <c r="Z108" s="65">
        <f t="shared" si="34"/>
        <v>3.9349514225023503</v>
      </c>
      <c r="AA108" s="1" t="s">
        <v>114</v>
      </c>
    </row>
    <row r="109" spans="1:27" x14ac:dyDescent="0.25">
      <c r="A109" s="24"/>
      <c r="B109" s="75"/>
      <c r="C109" s="89"/>
      <c r="D109" s="26"/>
      <c r="E109" s="26"/>
      <c r="F109" s="26"/>
      <c r="G109" s="27"/>
      <c r="H109" s="27"/>
      <c r="I109" s="26"/>
      <c r="J109" s="64"/>
      <c r="K109" s="28"/>
      <c r="L109" s="66"/>
      <c r="M109" s="66"/>
      <c r="N109" s="67"/>
      <c r="O109" s="66"/>
      <c r="P109" s="66"/>
      <c r="Q109" s="68"/>
      <c r="R109" s="29"/>
      <c r="S109" s="29"/>
      <c r="T109" s="32"/>
      <c r="U109" s="43"/>
      <c r="V109" s="42">
        <f t="shared" si="31"/>
        <v>0</v>
      </c>
      <c r="W109" s="22"/>
      <c r="X109" s="22"/>
      <c r="Z109" s="22" t="e">
        <f t="shared" si="34"/>
        <v>#DIV/0!</v>
      </c>
    </row>
    <row r="110" spans="1:27" x14ac:dyDescent="0.25">
      <c r="A110" s="24"/>
      <c r="B110" s="75"/>
      <c r="C110" s="89"/>
      <c r="D110" s="26"/>
      <c r="E110" s="26"/>
      <c r="F110" s="26"/>
      <c r="G110" s="27"/>
      <c r="H110" s="27"/>
      <c r="I110" s="26"/>
      <c r="J110" s="64"/>
      <c r="K110" s="56" t="s">
        <v>115</v>
      </c>
      <c r="L110" s="30">
        <v>50000000</v>
      </c>
      <c r="M110" s="30">
        <v>7000000</v>
      </c>
      <c r="N110" s="31">
        <v>44432000</v>
      </c>
      <c r="O110" s="66"/>
      <c r="P110" s="66"/>
      <c r="Q110" s="76">
        <v>400000</v>
      </c>
      <c r="R110" s="29">
        <v>43982000</v>
      </c>
      <c r="S110" s="29">
        <f>Q110+R110</f>
        <v>44382000</v>
      </c>
      <c r="T110" s="20">
        <f>S110/N110*100</f>
        <v>99.887468491177529</v>
      </c>
      <c r="U110" s="117">
        <f t="shared" si="32"/>
        <v>50000</v>
      </c>
      <c r="V110" s="42">
        <f t="shared" si="31"/>
        <v>25000</v>
      </c>
      <c r="W110" s="22">
        <f t="shared" si="30"/>
        <v>0.90025207057976231</v>
      </c>
      <c r="X110" s="22">
        <f t="shared" si="35"/>
        <v>0.90025207057976231</v>
      </c>
      <c r="Z110" s="22">
        <f t="shared" si="34"/>
        <v>0.90025207057976231</v>
      </c>
    </row>
    <row r="111" spans="1:27" x14ac:dyDescent="0.25">
      <c r="A111" s="24"/>
      <c r="B111" s="75"/>
      <c r="C111" s="89"/>
      <c r="D111" s="26"/>
      <c r="E111" s="26"/>
      <c r="F111" s="26"/>
      <c r="G111" s="27"/>
      <c r="H111" s="27"/>
      <c r="I111" s="26"/>
      <c r="J111" s="64"/>
      <c r="K111" s="56"/>
      <c r="L111" s="30"/>
      <c r="M111" s="30"/>
      <c r="N111" s="67"/>
      <c r="O111" s="66"/>
      <c r="P111" s="66"/>
      <c r="Q111" s="29"/>
      <c r="R111" s="29"/>
      <c r="S111" s="29"/>
      <c r="T111" s="32"/>
      <c r="U111" s="43"/>
      <c r="V111" s="42">
        <f t="shared" si="31"/>
        <v>0</v>
      </c>
      <c r="W111" s="22"/>
      <c r="X111" s="22"/>
      <c r="Z111" s="22" t="e">
        <f t="shared" si="34"/>
        <v>#DIV/0!</v>
      </c>
    </row>
    <row r="112" spans="1:27" x14ac:dyDescent="0.25">
      <c r="A112" s="24"/>
      <c r="B112" s="75"/>
      <c r="C112" s="89"/>
      <c r="D112" s="26"/>
      <c r="E112" s="26"/>
      <c r="F112" s="26"/>
      <c r="G112" s="27"/>
      <c r="H112" s="27"/>
      <c r="I112" s="26"/>
      <c r="J112" s="64"/>
      <c r="K112" s="56" t="s">
        <v>116</v>
      </c>
      <c r="L112" s="30">
        <v>30000000</v>
      </c>
      <c r="M112" s="30">
        <v>20000000</v>
      </c>
      <c r="N112" s="31">
        <v>13002000</v>
      </c>
      <c r="O112" s="66"/>
      <c r="P112" s="66"/>
      <c r="Q112" s="29">
        <v>1860000</v>
      </c>
      <c r="R112" s="29">
        <v>11060401</v>
      </c>
      <c r="S112" s="29">
        <f t="shared" ref="S112" si="36">Q112+R112</f>
        <v>12920401</v>
      </c>
      <c r="T112" s="20">
        <f>S112/N112*100</f>
        <v>99.372411936625141</v>
      </c>
      <c r="U112" s="43">
        <f t="shared" si="32"/>
        <v>81599</v>
      </c>
      <c r="V112" s="42">
        <f t="shared" si="31"/>
        <v>40799.5</v>
      </c>
      <c r="W112" s="22">
        <f t="shared" si="30"/>
        <v>14.305491462851869</v>
      </c>
      <c r="X112" s="22">
        <f t="shared" si="35"/>
        <v>14.305491462851869</v>
      </c>
      <c r="Z112" s="22">
        <f t="shared" si="34"/>
        <v>14.305491462851869</v>
      </c>
    </row>
    <row r="113" spans="1:26" x14ac:dyDescent="0.25">
      <c r="A113" s="24"/>
      <c r="B113" s="75"/>
      <c r="C113" s="89"/>
      <c r="D113" s="26"/>
      <c r="E113" s="26"/>
      <c r="F113" s="26"/>
      <c r="G113" s="27"/>
      <c r="H113" s="27"/>
      <c r="I113" s="26"/>
      <c r="J113" s="64"/>
      <c r="K113" s="28"/>
      <c r="L113" s="66"/>
      <c r="M113" s="66"/>
      <c r="N113" s="67"/>
      <c r="O113" s="66"/>
      <c r="P113" s="66"/>
      <c r="Q113" s="68"/>
      <c r="R113" s="29"/>
      <c r="S113" s="29"/>
      <c r="T113" s="32"/>
      <c r="U113" s="43"/>
      <c r="V113" s="42">
        <f t="shared" si="31"/>
        <v>0</v>
      </c>
      <c r="W113" s="22"/>
      <c r="X113" s="22"/>
      <c r="Z113" s="22" t="e">
        <f t="shared" si="34"/>
        <v>#DIV/0!</v>
      </c>
    </row>
    <row r="114" spans="1:26" x14ac:dyDescent="0.25">
      <c r="A114" s="24"/>
      <c r="B114" s="112" t="s">
        <v>31</v>
      </c>
      <c r="C114" s="93" t="s">
        <v>31</v>
      </c>
      <c r="D114" s="113" t="s">
        <v>112</v>
      </c>
      <c r="E114" s="94"/>
      <c r="F114" s="94"/>
      <c r="G114" s="79"/>
      <c r="H114" s="79"/>
      <c r="I114" s="94"/>
      <c r="J114" s="122"/>
      <c r="K114" s="98" t="s">
        <v>117</v>
      </c>
      <c r="L114" s="52">
        <f>L116+L118+L120+L122+L124</f>
        <v>159000000</v>
      </c>
      <c r="M114" s="52">
        <f>M116+M118+M120</f>
        <v>50130000</v>
      </c>
      <c r="N114" s="52">
        <f>N116+N118+N120+N122+N124</f>
        <v>104720000</v>
      </c>
      <c r="O114" s="116"/>
      <c r="P114" s="116"/>
      <c r="Q114" s="84">
        <f>Q116+Q118+Q120+Q122+Q124</f>
        <v>11765577</v>
      </c>
      <c r="R114" s="84">
        <v>90153223</v>
      </c>
      <c r="S114" s="84">
        <f>Q114+R114</f>
        <v>101918800</v>
      </c>
      <c r="T114" s="54">
        <f>S114/N114*100</f>
        <v>97.325057295645536</v>
      </c>
      <c r="U114" s="52">
        <f t="shared" si="32"/>
        <v>2801200</v>
      </c>
      <c r="V114" s="42">
        <f t="shared" si="31"/>
        <v>1400600</v>
      </c>
      <c r="W114" s="22">
        <f t="shared" si="30"/>
        <v>11.235272154316272</v>
      </c>
      <c r="X114" s="22">
        <f t="shared" si="35"/>
        <v>11.235272154316272</v>
      </c>
      <c r="Z114" s="65">
        <f t="shared" si="34"/>
        <v>11.235272154316272</v>
      </c>
    </row>
    <row r="115" spans="1:26" x14ac:dyDescent="0.25">
      <c r="A115" s="24"/>
      <c r="B115" s="75"/>
      <c r="C115" s="89"/>
      <c r="D115" s="26"/>
      <c r="E115" s="26"/>
      <c r="F115" s="26"/>
      <c r="G115" s="27"/>
      <c r="H115" s="27"/>
      <c r="I115" s="26"/>
      <c r="J115" s="64"/>
      <c r="K115" s="28"/>
      <c r="L115" s="66"/>
      <c r="M115" s="66"/>
      <c r="N115" s="67"/>
      <c r="O115" s="66"/>
      <c r="P115" s="66"/>
      <c r="Q115" s="68"/>
      <c r="R115" s="29"/>
      <c r="S115" s="29"/>
      <c r="T115" s="32"/>
      <c r="U115" s="43"/>
      <c r="V115" s="42">
        <f t="shared" si="31"/>
        <v>0</v>
      </c>
      <c r="W115" s="22"/>
      <c r="X115" s="22"/>
      <c r="Z115" s="22" t="e">
        <f t="shared" si="34"/>
        <v>#DIV/0!</v>
      </c>
    </row>
    <row r="116" spans="1:26" x14ac:dyDescent="0.25">
      <c r="A116" s="24"/>
      <c r="B116" s="75"/>
      <c r="C116" s="89"/>
      <c r="D116" s="26"/>
      <c r="E116" s="26"/>
      <c r="F116" s="26"/>
      <c r="G116" s="27"/>
      <c r="H116" s="27"/>
      <c r="I116" s="26"/>
      <c r="J116" s="64"/>
      <c r="K116" s="56" t="s">
        <v>118</v>
      </c>
      <c r="L116" s="30">
        <v>77090000</v>
      </c>
      <c r="M116" s="30">
        <v>17000000</v>
      </c>
      <c r="N116" s="31">
        <v>61000000</v>
      </c>
      <c r="O116" s="66"/>
      <c r="P116" s="66"/>
      <c r="Q116" s="29">
        <v>5050000</v>
      </c>
      <c r="R116" s="29">
        <v>55950000</v>
      </c>
      <c r="S116" s="29">
        <f>Q116+R116</f>
        <v>61000000</v>
      </c>
      <c r="T116" s="20">
        <f>S116/N116*100</f>
        <v>100</v>
      </c>
      <c r="U116" s="43">
        <f t="shared" si="32"/>
        <v>0</v>
      </c>
      <c r="V116" s="42">
        <f t="shared" si="31"/>
        <v>0</v>
      </c>
      <c r="W116" s="22">
        <f t="shared" si="30"/>
        <v>8.278688524590164</v>
      </c>
      <c r="X116" s="22">
        <f t="shared" si="35"/>
        <v>8.278688524590164</v>
      </c>
      <c r="Z116" s="65">
        <f t="shared" si="34"/>
        <v>8.278688524590164</v>
      </c>
    </row>
    <row r="117" spans="1:26" x14ac:dyDescent="0.25">
      <c r="A117" s="24"/>
      <c r="B117" s="75"/>
      <c r="C117" s="89"/>
      <c r="D117" s="26"/>
      <c r="E117" s="26"/>
      <c r="F117" s="26"/>
      <c r="G117" s="27"/>
      <c r="H117" s="27"/>
      <c r="I117" s="26"/>
      <c r="J117" s="64"/>
      <c r="K117" s="56"/>
      <c r="L117" s="30"/>
      <c r="M117" s="30"/>
      <c r="N117" s="31"/>
      <c r="O117" s="66"/>
      <c r="P117" s="66"/>
      <c r="Q117" s="29"/>
      <c r="R117" s="29"/>
      <c r="S117" s="29"/>
      <c r="T117" s="32"/>
      <c r="U117" s="43"/>
      <c r="V117" s="42">
        <f t="shared" si="31"/>
        <v>0</v>
      </c>
      <c r="W117" s="22"/>
      <c r="X117" s="22"/>
      <c r="Z117" s="22" t="e">
        <f t="shared" si="34"/>
        <v>#DIV/0!</v>
      </c>
    </row>
    <row r="118" spans="1:26" x14ac:dyDescent="0.25">
      <c r="A118" s="24"/>
      <c r="B118" s="75"/>
      <c r="C118" s="89"/>
      <c r="D118" s="26"/>
      <c r="E118" s="26"/>
      <c r="F118" s="26"/>
      <c r="G118" s="27"/>
      <c r="H118" s="27"/>
      <c r="I118" s="26"/>
      <c r="J118" s="64"/>
      <c r="K118" s="56" t="s">
        <v>119</v>
      </c>
      <c r="L118" s="30">
        <v>43600000</v>
      </c>
      <c r="M118" s="30">
        <v>17900000</v>
      </c>
      <c r="N118" s="31">
        <v>20700000</v>
      </c>
      <c r="O118" s="66"/>
      <c r="P118" s="66"/>
      <c r="Q118" s="29">
        <v>4380937</v>
      </c>
      <c r="R118" s="29">
        <v>16078770</v>
      </c>
      <c r="S118" s="29">
        <f t="shared" ref="S118:S124" si="37">Q118+R118</f>
        <v>20459707</v>
      </c>
      <c r="T118" s="20">
        <f>S118/N118*100</f>
        <v>98.839164251207734</v>
      </c>
      <c r="U118" s="43">
        <f t="shared" si="32"/>
        <v>240293</v>
      </c>
      <c r="V118" s="42">
        <f t="shared" si="31"/>
        <v>120146.5</v>
      </c>
      <c r="W118" s="22">
        <f t="shared" si="30"/>
        <v>21.163946859903383</v>
      </c>
      <c r="X118" s="22">
        <f t="shared" si="35"/>
        <v>21.163946859903383</v>
      </c>
      <c r="Z118" s="65">
        <f t="shared" si="34"/>
        <v>21.163946859903383</v>
      </c>
    </row>
    <row r="119" spans="1:26" x14ac:dyDescent="0.25">
      <c r="A119" s="24"/>
      <c r="B119" s="75"/>
      <c r="C119" s="89"/>
      <c r="D119" s="26"/>
      <c r="E119" s="26"/>
      <c r="F119" s="26"/>
      <c r="G119" s="27"/>
      <c r="H119" s="27"/>
      <c r="I119" s="26"/>
      <c r="J119" s="64"/>
      <c r="K119" s="56"/>
      <c r="L119" s="30"/>
      <c r="M119" s="30"/>
      <c r="N119" s="31"/>
      <c r="O119" s="66"/>
      <c r="P119" s="66"/>
      <c r="Q119" s="29"/>
      <c r="R119" s="29"/>
      <c r="S119" s="29"/>
      <c r="T119" s="32"/>
      <c r="U119" s="43"/>
      <c r="V119" s="42">
        <f t="shared" si="31"/>
        <v>0</v>
      </c>
      <c r="W119" s="22"/>
      <c r="X119" s="22"/>
      <c r="Z119" s="22" t="e">
        <f t="shared" si="34"/>
        <v>#DIV/0!</v>
      </c>
    </row>
    <row r="120" spans="1:26" x14ac:dyDescent="0.25">
      <c r="A120" s="24"/>
      <c r="B120" s="75"/>
      <c r="C120" s="89"/>
      <c r="D120" s="26"/>
      <c r="E120" s="26"/>
      <c r="F120" s="26"/>
      <c r="G120" s="27"/>
      <c r="H120" s="27"/>
      <c r="I120" s="26"/>
      <c r="J120" s="64"/>
      <c r="K120" s="56" t="s">
        <v>120</v>
      </c>
      <c r="L120" s="30">
        <v>26410000</v>
      </c>
      <c r="M120" s="30">
        <v>15230000</v>
      </c>
      <c r="N120" s="31">
        <f t="shared" si="25"/>
        <v>11180000</v>
      </c>
      <c r="O120" s="66"/>
      <c r="P120" s="66"/>
      <c r="Q120" s="29">
        <v>2334640</v>
      </c>
      <c r="R120" s="29">
        <v>8836953</v>
      </c>
      <c r="S120" s="29">
        <f t="shared" si="37"/>
        <v>11171593</v>
      </c>
      <c r="T120" s="20">
        <f>S120/N120*100</f>
        <v>99.92480322003577</v>
      </c>
      <c r="U120" s="43">
        <f t="shared" si="32"/>
        <v>8407</v>
      </c>
      <c r="V120" s="42">
        <f t="shared" si="31"/>
        <v>4203.5</v>
      </c>
      <c r="W120" s="22">
        <f t="shared" si="30"/>
        <v>20.882289803220036</v>
      </c>
      <c r="X120" s="22">
        <f t="shared" si="35"/>
        <v>20.882289803220036</v>
      </c>
      <c r="Z120" s="65">
        <f t="shared" si="34"/>
        <v>20.882289803220036</v>
      </c>
    </row>
    <row r="121" spans="1:26" x14ac:dyDescent="0.25">
      <c r="A121" s="24"/>
      <c r="B121" s="75"/>
      <c r="C121" s="89"/>
      <c r="D121" s="26"/>
      <c r="E121" s="26"/>
      <c r="F121" s="26"/>
      <c r="G121" s="27"/>
      <c r="H121" s="27"/>
      <c r="I121" s="26"/>
      <c r="J121" s="64"/>
      <c r="K121" s="56"/>
      <c r="L121" s="30"/>
      <c r="M121" s="66"/>
      <c r="N121" s="31"/>
      <c r="O121" s="66"/>
      <c r="P121" s="66"/>
      <c r="Q121" s="29"/>
      <c r="R121" s="29"/>
      <c r="S121" s="29"/>
      <c r="T121" s="32"/>
      <c r="U121" s="43"/>
      <c r="V121" s="42">
        <f t="shared" si="31"/>
        <v>0</v>
      </c>
      <c r="W121" s="22"/>
      <c r="X121" s="22"/>
      <c r="Z121" s="22" t="e">
        <f t="shared" si="34"/>
        <v>#DIV/0!</v>
      </c>
    </row>
    <row r="122" spans="1:26" x14ac:dyDescent="0.25">
      <c r="A122" s="24"/>
      <c r="B122" s="75"/>
      <c r="C122" s="89"/>
      <c r="D122" s="26"/>
      <c r="E122" s="26"/>
      <c r="F122" s="26"/>
      <c r="G122" s="27"/>
      <c r="H122" s="27"/>
      <c r="I122" s="26"/>
      <c r="J122" s="64"/>
      <c r="K122" s="56" t="s">
        <v>121</v>
      </c>
      <c r="L122" s="30">
        <v>400000</v>
      </c>
      <c r="M122" s="66">
        <v>0</v>
      </c>
      <c r="N122" s="31">
        <v>340000</v>
      </c>
      <c r="O122" s="66"/>
      <c r="P122" s="66"/>
      <c r="Q122" s="29">
        <v>0</v>
      </c>
      <c r="R122" s="29">
        <v>330000</v>
      </c>
      <c r="S122" s="29">
        <f t="shared" si="37"/>
        <v>330000</v>
      </c>
      <c r="T122" s="20">
        <f>S122/N122*100</f>
        <v>97.058823529411768</v>
      </c>
      <c r="U122" s="43">
        <f t="shared" si="32"/>
        <v>10000</v>
      </c>
      <c r="V122" s="42">
        <f t="shared" si="31"/>
        <v>5000</v>
      </c>
      <c r="W122" s="22">
        <f t="shared" si="30"/>
        <v>0</v>
      </c>
      <c r="X122" s="22">
        <f t="shared" si="35"/>
        <v>0</v>
      </c>
      <c r="Z122" s="65">
        <f t="shared" si="34"/>
        <v>0</v>
      </c>
    </row>
    <row r="123" spans="1:26" x14ac:dyDescent="0.25">
      <c r="A123" s="24"/>
      <c r="B123" s="75"/>
      <c r="C123" s="89"/>
      <c r="D123" s="26"/>
      <c r="E123" s="26"/>
      <c r="F123" s="26"/>
      <c r="G123" s="27"/>
      <c r="H123" s="27"/>
      <c r="I123" s="26"/>
      <c r="J123" s="64"/>
      <c r="K123" s="56"/>
      <c r="L123" s="30"/>
      <c r="M123" s="66"/>
      <c r="N123" s="31"/>
      <c r="O123" s="66"/>
      <c r="P123" s="66"/>
      <c r="Q123" s="68"/>
      <c r="R123" s="29"/>
      <c r="S123" s="29"/>
      <c r="T123" s="32"/>
      <c r="U123" s="43"/>
      <c r="V123" s="42">
        <f t="shared" si="31"/>
        <v>0</v>
      </c>
      <c r="W123" s="22"/>
      <c r="X123" s="22"/>
      <c r="Z123" s="22" t="e">
        <f t="shared" si="34"/>
        <v>#DIV/0!</v>
      </c>
    </row>
    <row r="124" spans="1:26" x14ac:dyDescent="0.25">
      <c r="A124" s="24"/>
      <c r="B124" s="75"/>
      <c r="C124" s="89"/>
      <c r="D124" s="26"/>
      <c r="E124" s="26"/>
      <c r="F124" s="26"/>
      <c r="G124" s="27"/>
      <c r="H124" s="27"/>
      <c r="I124" s="26"/>
      <c r="J124" s="64"/>
      <c r="K124" s="56" t="s">
        <v>122</v>
      </c>
      <c r="L124" s="30">
        <v>11500000</v>
      </c>
      <c r="M124" s="66">
        <v>0</v>
      </c>
      <c r="N124" s="31">
        <f t="shared" si="25"/>
        <v>11500000</v>
      </c>
      <c r="O124" s="66"/>
      <c r="P124" s="66"/>
      <c r="Q124" s="68">
        <v>0</v>
      </c>
      <c r="R124" s="29">
        <v>8957500</v>
      </c>
      <c r="S124" s="29">
        <f t="shared" si="37"/>
        <v>8957500</v>
      </c>
      <c r="T124" s="20">
        <f>S124/N124*100</f>
        <v>77.891304347826079</v>
      </c>
      <c r="U124" s="43">
        <f t="shared" si="32"/>
        <v>2542500</v>
      </c>
      <c r="V124" s="42">
        <f t="shared" si="31"/>
        <v>1271250</v>
      </c>
      <c r="W124" s="22">
        <f t="shared" si="30"/>
        <v>0</v>
      </c>
      <c r="X124" s="22">
        <f>Q124/N124*100</f>
        <v>0</v>
      </c>
      <c r="Z124" s="65">
        <f t="shared" si="34"/>
        <v>0</v>
      </c>
    </row>
    <row r="125" spans="1:26" x14ac:dyDescent="0.25">
      <c r="A125" s="24"/>
      <c r="B125" s="75"/>
      <c r="C125" s="89"/>
      <c r="D125" s="26"/>
      <c r="E125" s="26"/>
      <c r="F125" s="26"/>
      <c r="G125" s="27"/>
      <c r="H125" s="27"/>
      <c r="I125" s="26"/>
      <c r="J125" s="64"/>
      <c r="K125" s="28"/>
      <c r="L125" s="66"/>
      <c r="M125" s="66"/>
      <c r="N125" s="67"/>
      <c r="O125" s="66"/>
      <c r="P125" s="66"/>
      <c r="Q125" s="68"/>
      <c r="R125" s="29"/>
      <c r="S125" s="29"/>
      <c r="T125" s="32"/>
      <c r="U125" s="43"/>
      <c r="V125" s="42">
        <f t="shared" si="31"/>
        <v>0</v>
      </c>
      <c r="W125" s="22"/>
      <c r="X125" s="22"/>
      <c r="Z125" s="22" t="e">
        <f t="shared" si="34"/>
        <v>#DIV/0!</v>
      </c>
    </row>
    <row r="126" spans="1:26" x14ac:dyDescent="0.25">
      <c r="A126" s="24"/>
      <c r="B126" s="112" t="s">
        <v>31</v>
      </c>
      <c r="C126" s="93" t="s">
        <v>31</v>
      </c>
      <c r="D126" s="113" t="s">
        <v>123</v>
      </c>
      <c r="E126" s="113"/>
      <c r="F126" s="94"/>
      <c r="G126" s="79"/>
      <c r="H126" s="79"/>
      <c r="I126" s="94"/>
      <c r="J126" s="122"/>
      <c r="K126" s="115" t="s">
        <v>124</v>
      </c>
      <c r="L126" s="52">
        <f>L128</f>
        <v>15000000</v>
      </c>
      <c r="M126" s="116">
        <f>M128</f>
        <v>0</v>
      </c>
      <c r="N126" s="52">
        <f t="shared" si="25"/>
        <v>15000000</v>
      </c>
      <c r="O126" s="116"/>
      <c r="P126" s="116"/>
      <c r="Q126" s="84">
        <f>Q128</f>
        <v>0</v>
      </c>
      <c r="R126" s="84">
        <v>15000000</v>
      </c>
      <c r="S126" s="84">
        <f>Q126+R126</f>
        <v>15000000</v>
      </c>
      <c r="T126" s="54">
        <f>S126/N126*100</f>
        <v>100</v>
      </c>
      <c r="U126" s="117">
        <f t="shared" si="32"/>
        <v>0</v>
      </c>
      <c r="V126" s="42">
        <f t="shared" si="31"/>
        <v>0</v>
      </c>
      <c r="W126" s="22">
        <f t="shared" si="30"/>
        <v>0</v>
      </c>
      <c r="X126" s="22">
        <f t="shared" ref="X126:X155" si="38">Q126/N126*100</f>
        <v>0</v>
      </c>
      <c r="Z126" s="65">
        <f t="shared" si="34"/>
        <v>0</v>
      </c>
    </row>
    <row r="127" spans="1:26" x14ac:dyDescent="0.25">
      <c r="A127" s="24"/>
      <c r="B127" s="75"/>
      <c r="C127" s="89"/>
      <c r="D127" s="132"/>
      <c r="E127" s="132"/>
      <c r="F127" s="26"/>
      <c r="G127" s="27"/>
      <c r="H127" s="27"/>
      <c r="I127" s="26"/>
      <c r="J127" s="64"/>
      <c r="K127" s="28"/>
      <c r="L127" s="66"/>
      <c r="M127" s="66"/>
      <c r="N127" s="67"/>
      <c r="O127" s="66"/>
      <c r="P127" s="66"/>
      <c r="Q127" s="68"/>
      <c r="R127" s="29"/>
      <c r="S127" s="29"/>
      <c r="T127" s="32"/>
      <c r="U127" s="43"/>
      <c r="V127" s="42">
        <f t="shared" si="31"/>
        <v>0</v>
      </c>
      <c r="W127" s="22"/>
      <c r="X127" s="22"/>
      <c r="Z127" s="22" t="e">
        <f t="shared" si="34"/>
        <v>#DIV/0!</v>
      </c>
    </row>
    <row r="128" spans="1:26" x14ac:dyDescent="0.25">
      <c r="A128" s="24"/>
      <c r="B128" s="75"/>
      <c r="C128" s="89"/>
      <c r="D128" s="132"/>
      <c r="E128" s="132"/>
      <c r="F128" s="26"/>
      <c r="G128" s="27"/>
      <c r="H128" s="27"/>
      <c r="I128" s="26"/>
      <c r="J128" s="64"/>
      <c r="K128" s="56" t="s">
        <v>125</v>
      </c>
      <c r="L128" s="30">
        <v>15000000</v>
      </c>
      <c r="M128" s="66">
        <v>0</v>
      </c>
      <c r="N128" s="31">
        <f t="shared" ref="N128:N178" si="39">L128-M128</f>
        <v>15000000</v>
      </c>
      <c r="O128" s="66"/>
      <c r="P128" s="66"/>
      <c r="Q128" s="29">
        <v>0</v>
      </c>
      <c r="R128" s="29">
        <v>15000000</v>
      </c>
      <c r="S128" s="29">
        <f>Q128+R128</f>
        <v>15000000</v>
      </c>
      <c r="T128" s="20">
        <f>S128/N128*100</f>
        <v>100</v>
      </c>
      <c r="U128" s="43">
        <f t="shared" si="32"/>
        <v>0</v>
      </c>
      <c r="V128" s="42">
        <f t="shared" si="31"/>
        <v>0</v>
      </c>
      <c r="W128" s="22">
        <f t="shared" si="30"/>
        <v>0</v>
      </c>
      <c r="X128" s="22">
        <f t="shared" si="38"/>
        <v>0</v>
      </c>
      <c r="Z128" s="22">
        <f t="shared" si="34"/>
        <v>0</v>
      </c>
    </row>
    <row r="129" spans="1:26" x14ac:dyDescent="0.25">
      <c r="A129" s="24"/>
      <c r="B129" s="75"/>
      <c r="C129" s="89"/>
      <c r="D129" s="132"/>
      <c r="E129" s="132"/>
      <c r="F129" s="26"/>
      <c r="G129" s="27"/>
      <c r="H129" s="27"/>
      <c r="I129" s="26"/>
      <c r="J129" s="64"/>
      <c r="K129" s="28"/>
      <c r="L129" s="66"/>
      <c r="M129" s="66"/>
      <c r="N129" s="67"/>
      <c r="O129" s="66"/>
      <c r="P129" s="66"/>
      <c r="Q129" s="68"/>
      <c r="R129" s="29"/>
      <c r="S129" s="29"/>
      <c r="T129" s="32"/>
      <c r="U129" s="43"/>
      <c r="V129" s="42">
        <f t="shared" si="31"/>
        <v>0</v>
      </c>
      <c r="W129" s="22"/>
      <c r="X129" s="22"/>
      <c r="Z129" s="22" t="e">
        <f t="shared" si="34"/>
        <v>#DIV/0!</v>
      </c>
    </row>
    <row r="130" spans="1:26" x14ac:dyDescent="0.25">
      <c r="A130" s="24"/>
      <c r="B130" s="112" t="s">
        <v>31</v>
      </c>
      <c r="C130" s="93" t="s">
        <v>31</v>
      </c>
      <c r="D130" s="113" t="s">
        <v>126</v>
      </c>
      <c r="E130" s="113"/>
      <c r="F130" s="94"/>
      <c r="G130" s="79"/>
      <c r="H130" s="79"/>
      <c r="I130" s="94"/>
      <c r="J130" s="122"/>
      <c r="K130" s="115" t="s">
        <v>127</v>
      </c>
      <c r="L130" s="52">
        <f>L132+L134+L136</f>
        <v>146000000</v>
      </c>
      <c r="M130" s="52">
        <f>M132+M134+M136</f>
        <v>73500000</v>
      </c>
      <c r="N130" s="52">
        <f>N132+N134+N136</f>
        <v>80700000</v>
      </c>
      <c r="O130" s="116"/>
      <c r="P130" s="116"/>
      <c r="Q130" s="84">
        <f>Q132+Q134+Q136</f>
        <v>5610000</v>
      </c>
      <c r="R130" s="84">
        <v>74886900</v>
      </c>
      <c r="S130" s="84">
        <f>Q130+R130</f>
        <v>80496900</v>
      </c>
      <c r="T130" s="54">
        <f>S130/N130*100</f>
        <v>99.748327137546468</v>
      </c>
      <c r="U130" s="52">
        <f t="shared" si="32"/>
        <v>203100</v>
      </c>
      <c r="V130" s="42">
        <f t="shared" si="31"/>
        <v>101550</v>
      </c>
      <c r="W130" s="22">
        <f t="shared" si="30"/>
        <v>6.9516728624535311</v>
      </c>
      <c r="X130" s="22">
        <f t="shared" si="38"/>
        <v>6.9516728624535311</v>
      </c>
      <c r="Z130" s="65">
        <f t="shared" si="34"/>
        <v>6.9516728624535311</v>
      </c>
    </row>
    <row r="131" spans="1:26" x14ac:dyDescent="0.25">
      <c r="A131" s="24"/>
      <c r="B131" s="75"/>
      <c r="C131" s="89"/>
      <c r="D131" s="26"/>
      <c r="E131" s="26"/>
      <c r="F131" s="26"/>
      <c r="G131" s="27"/>
      <c r="H131" s="27"/>
      <c r="I131" s="26"/>
      <c r="J131" s="64"/>
      <c r="K131" s="28"/>
      <c r="L131" s="66"/>
      <c r="M131" s="66"/>
      <c r="N131" s="67"/>
      <c r="O131" s="66"/>
      <c r="P131" s="66"/>
      <c r="Q131" s="68"/>
      <c r="R131" s="29"/>
      <c r="S131" s="29"/>
      <c r="T131" s="32"/>
      <c r="U131" s="43"/>
      <c r="V131" s="42">
        <f t="shared" si="31"/>
        <v>0</v>
      </c>
      <c r="W131" s="22"/>
      <c r="X131" s="22"/>
      <c r="Z131" s="22" t="e">
        <f t="shared" si="34"/>
        <v>#DIV/0!</v>
      </c>
    </row>
    <row r="132" spans="1:26" x14ac:dyDescent="0.25">
      <c r="A132" s="24"/>
      <c r="B132" s="75"/>
      <c r="C132" s="89"/>
      <c r="D132" s="26"/>
      <c r="E132" s="26"/>
      <c r="F132" s="26"/>
      <c r="G132" s="27"/>
      <c r="H132" s="27"/>
      <c r="I132" s="26"/>
      <c r="J132" s="64"/>
      <c r="K132" s="56" t="s">
        <v>128</v>
      </c>
      <c r="L132" s="30">
        <v>83000000</v>
      </c>
      <c r="M132" s="30">
        <v>55000000</v>
      </c>
      <c r="N132" s="31">
        <v>35000000</v>
      </c>
      <c r="O132" s="66"/>
      <c r="P132" s="66"/>
      <c r="Q132" s="76">
        <v>1800000</v>
      </c>
      <c r="R132" s="29">
        <v>33444800</v>
      </c>
      <c r="S132" s="29">
        <f>Q132+R132</f>
        <v>35244800</v>
      </c>
      <c r="T132" s="20">
        <f>S132/N132*100</f>
        <v>100.69942857142857</v>
      </c>
      <c r="U132" s="43">
        <f t="shared" si="32"/>
        <v>-244800</v>
      </c>
      <c r="V132" s="42">
        <f t="shared" si="31"/>
        <v>-122400</v>
      </c>
      <c r="W132" s="22">
        <f t="shared" si="30"/>
        <v>5.1428571428571423</v>
      </c>
      <c r="X132" s="22">
        <f t="shared" si="38"/>
        <v>5.1428571428571423</v>
      </c>
      <c r="Z132" s="22">
        <f t="shared" si="34"/>
        <v>5.1428571428571423</v>
      </c>
    </row>
    <row r="133" spans="1:26" x14ac:dyDescent="0.25">
      <c r="A133" s="24"/>
      <c r="B133" s="75"/>
      <c r="C133" s="89"/>
      <c r="D133" s="26"/>
      <c r="E133" s="26"/>
      <c r="F133" s="26"/>
      <c r="G133" s="27"/>
      <c r="H133" s="27"/>
      <c r="I133" s="26"/>
      <c r="J133" s="64"/>
      <c r="K133" s="56"/>
      <c r="L133" s="30"/>
      <c r="M133" s="30"/>
      <c r="N133" s="67"/>
      <c r="O133" s="66"/>
      <c r="P133" s="66"/>
      <c r="Q133" s="29"/>
      <c r="R133" s="29"/>
      <c r="S133" s="29"/>
      <c r="T133" s="32"/>
      <c r="U133" s="43"/>
      <c r="V133" s="42">
        <f t="shared" si="31"/>
        <v>0</v>
      </c>
      <c r="W133" s="22"/>
      <c r="X133" s="22"/>
      <c r="Z133" s="22" t="e">
        <f t="shared" si="34"/>
        <v>#DIV/0!</v>
      </c>
    </row>
    <row r="134" spans="1:26" x14ac:dyDescent="0.25">
      <c r="A134" s="24"/>
      <c r="B134" s="75"/>
      <c r="C134" s="89"/>
      <c r="D134" s="26"/>
      <c r="E134" s="26"/>
      <c r="F134" s="26"/>
      <c r="G134" s="27"/>
      <c r="H134" s="27"/>
      <c r="I134" s="26"/>
      <c r="J134" s="64"/>
      <c r="K134" s="56" t="s">
        <v>129</v>
      </c>
      <c r="L134" s="30">
        <v>32000000</v>
      </c>
      <c r="M134" s="30">
        <v>0</v>
      </c>
      <c r="N134" s="31">
        <v>33200000</v>
      </c>
      <c r="O134" s="66"/>
      <c r="P134" s="66"/>
      <c r="Q134" s="29">
        <v>1250000</v>
      </c>
      <c r="R134" s="29">
        <v>31949600</v>
      </c>
      <c r="S134" s="29">
        <f>Q134+R134</f>
        <v>33199600</v>
      </c>
      <c r="T134" s="20">
        <f>S134/N134*100</f>
        <v>99.998795180722894</v>
      </c>
      <c r="U134" s="43">
        <f t="shared" si="32"/>
        <v>400</v>
      </c>
      <c r="V134" s="42">
        <f t="shared" si="31"/>
        <v>200</v>
      </c>
      <c r="W134" s="22">
        <f t="shared" si="30"/>
        <v>3.7650602409638556</v>
      </c>
      <c r="X134" s="22">
        <f t="shared" si="38"/>
        <v>3.7650602409638556</v>
      </c>
      <c r="Z134" s="22">
        <f t="shared" si="34"/>
        <v>3.7650602409638556</v>
      </c>
    </row>
    <row r="135" spans="1:26" x14ac:dyDescent="0.25">
      <c r="A135" s="24"/>
      <c r="B135" s="75"/>
      <c r="C135" s="89"/>
      <c r="D135" s="26"/>
      <c r="E135" s="26"/>
      <c r="F135" s="26"/>
      <c r="G135" s="27"/>
      <c r="H135" s="27"/>
      <c r="I135" s="26"/>
      <c r="J135" s="64"/>
      <c r="K135" s="56"/>
      <c r="L135" s="30"/>
      <c r="M135" s="30"/>
      <c r="N135" s="67"/>
      <c r="O135" s="66"/>
      <c r="P135" s="66"/>
      <c r="Q135" s="29"/>
      <c r="R135" s="29"/>
      <c r="S135" s="29"/>
      <c r="T135" s="32"/>
      <c r="U135" s="43"/>
      <c r="V135" s="42">
        <f t="shared" si="31"/>
        <v>0</v>
      </c>
      <c r="W135" s="22"/>
      <c r="X135" s="22"/>
      <c r="Z135" s="22" t="e">
        <f t="shared" si="34"/>
        <v>#DIV/0!</v>
      </c>
    </row>
    <row r="136" spans="1:26" x14ac:dyDescent="0.25">
      <c r="A136" s="24"/>
      <c r="B136" s="75"/>
      <c r="C136" s="89"/>
      <c r="D136" s="26"/>
      <c r="E136" s="26"/>
      <c r="F136" s="26"/>
      <c r="G136" s="27"/>
      <c r="H136" s="27"/>
      <c r="I136" s="26"/>
      <c r="J136" s="64"/>
      <c r="K136" s="56" t="s">
        <v>130</v>
      </c>
      <c r="L136" s="30">
        <v>31000000</v>
      </c>
      <c r="M136" s="30">
        <v>18500000</v>
      </c>
      <c r="N136" s="31">
        <f t="shared" si="39"/>
        <v>12500000</v>
      </c>
      <c r="O136" s="66"/>
      <c r="P136" s="66"/>
      <c r="Q136" s="29">
        <v>2560000</v>
      </c>
      <c r="R136" s="29">
        <v>9492500</v>
      </c>
      <c r="S136" s="29">
        <f>Q136+R136</f>
        <v>12052500</v>
      </c>
      <c r="T136" s="20">
        <f>S136/N136*100</f>
        <v>96.419999999999987</v>
      </c>
      <c r="U136" s="43">
        <f t="shared" si="32"/>
        <v>447500</v>
      </c>
      <c r="V136" s="42">
        <f t="shared" si="31"/>
        <v>223750</v>
      </c>
      <c r="W136" s="22">
        <f t="shared" si="30"/>
        <v>20.48</v>
      </c>
      <c r="X136" s="22">
        <f t="shared" si="38"/>
        <v>20.48</v>
      </c>
      <c r="Z136" s="22">
        <f t="shared" si="34"/>
        <v>20.48</v>
      </c>
    </row>
    <row r="137" spans="1:26" x14ac:dyDescent="0.25">
      <c r="A137" s="24"/>
      <c r="B137" s="75"/>
      <c r="C137" s="89"/>
      <c r="D137" s="26"/>
      <c r="E137" s="26"/>
      <c r="F137" s="26"/>
      <c r="G137" s="27"/>
      <c r="H137" s="27"/>
      <c r="I137" s="26"/>
      <c r="J137" s="64"/>
      <c r="K137" s="28"/>
      <c r="L137" s="66"/>
      <c r="M137" s="66"/>
      <c r="N137" s="67"/>
      <c r="O137" s="66"/>
      <c r="P137" s="66"/>
      <c r="Q137" s="68"/>
      <c r="R137" s="29"/>
      <c r="S137" s="29"/>
      <c r="T137" s="32"/>
      <c r="U137" s="43"/>
      <c r="V137" s="42">
        <f t="shared" si="31"/>
        <v>0</v>
      </c>
      <c r="W137" s="22"/>
      <c r="X137" s="22"/>
      <c r="Z137" s="22" t="e">
        <f t="shared" si="34"/>
        <v>#DIV/0!</v>
      </c>
    </row>
    <row r="138" spans="1:26" x14ac:dyDescent="0.25">
      <c r="A138" s="24"/>
      <c r="B138" s="112" t="s">
        <v>31</v>
      </c>
      <c r="C138" s="93" t="s">
        <v>31</v>
      </c>
      <c r="D138" s="113" t="s">
        <v>131</v>
      </c>
      <c r="E138" s="94"/>
      <c r="F138" s="94"/>
      <c r="G138" s="79"/>
      <c r="H138" s="79"/>
      <c r="I138" s="94"/>
      <c r="J138" s="122"/>
      <c r="K138" s="115" t="s">
        <v>132</v>
      </c>
      <c r="L138" s="52">
        <f>L140</f>
        <v>10000000</v>
      </c>
      <c r="M138" s="52">
        <f>M140</f>
        <v>9000000</v>
      </c>
      <c r="N138" s="52">
        <f>N140</f>
        <v>1665000</v>
      </c>
      <c r="O138" s="116"/>
      <c r="P138" s="116"/>
      <c r="Q138" s="84">
        <f>Q140</f>
        <v>0</v>
      </c>
      <c r="R138" s="84">
        <v>1665000</v>
      </c>
      <c r="S138" s="84">
        <f>Q138+R138</f>
        <v>1665000</v>
      </c>
      <c r="T138" s="54">
        <f>S138/N138*100</f>
        <v>100</v>
      </c>
      <c r="U138" s="52">
        <f t="shared" si="32"/>
        <v>0</v>
      </c>
      <c r="V138" s="42">
        <f t="shared" si="31"/>
        <v>0</v>
      </c>
      <c r="W138" s="22">
        <f t="shared" si="30"/>
        <v>0</v>
      </c>
      <c r="X138" s="22">
        <f t="shared" si="38"/>
        <v>0</v>
      </c>
      <c r="Z138" s="65">
        <f t="shared" si="34"/>
        <v>0</v>
      </c>
    </row>
    <row r="139" spans="1:26" x14ac:dyDescent="0.25">
      <c r="A139" s="24"/>
      <c r="B139" s="75"/>
      <c r="C139" s="89"/>
      <c r="D139" s="26"/>
      <c r="E139" s="26"/>
      <c r="F139" s="26"/>
      <c r="G139" s="27"/>
      <c r="H139" s="27"/>
      <c r="I139" s="26"/>
      <c r="J139" s="64"/>
      <c r="K139" s="28"/>
      <c r="L139" s="66"/>
      <c r="M139" s="66"/>
      <c r="N139" s="67"/>
      <c r="O139" s="66"/>
      <c r="P139" s="66"/>
      <c r="Q139" s="68"/>
      <c r="R139" s="29"/>
      <c r="S139" s="29"/>
      <c r="T139" s="32"/>
      <c r="U139" s="43"/>
      <c r="V139" s="42">
        <f t="shared" si="31"/>
        <v>0</v>
      </c>
      <c r="W139" s="22"/>
      <c r="X139" s="22"/>
      <c r="Z139" s="22" t="e">
        <f t="shared" si="34"/>
        <v>#DIV/0!</v>
      </c>
    </row>
    <row r="140" spans="1:26" x14ac:dyDescent="0.25">
      <c r="A140" s="24"/>
      <c r="B140" s="75"/>
      <c r="C140" s="89"/>
      <c r="D140" s="26"/>
      <c r="E140" s="26"/>
      <c r="F140" s="26"/>
      <c r="G140" s="27"/>
      <c r="H140" s="27"/>
      <c r="I140" s="26"/>
      <c r="J140" s="64"/>
      <c r="K140" s="56" t="s">
        <v>133</v>
      </c>
      <c r="L140" s="30">
        <v>10000000</v>
      </c>
      <c r="M140" s="30">
        <v>9000000</v>
      </c>
      <c r="N140" s="31">
        <v>1665000</v>
      </c>
      <c r="O140" s="66"/>
      <c r="P140" s="66"/>
      <c r="Q140" s="68">
        <v>0</v>
      </c>
      <c r="R140" s="29">
        <v>1665000</v>
      </c>
      <c r="S140" s="29">
        <f>Q140+R140</f>
        <v>1665000</v>
      </c>
      <c r="T140" s="20">
        <f>S140/N140*100</f>
        <v>100</v>
      </c>
      <c r="U140" s="43">
        <f t="shared" si="32"/>
        <v>0</v>
      </c>
      <c r="V140" s="42">
        <f t="shared" si="31"/>
        <v>0</v>
      </c>
      <c r="W140" s="22">
        <f t="shared" ref="W140:W180" si="40">Q140/N140*100</f>
        <v>0</v>
      </c>
      <c r="X140" s="22">
        <f t="shared" si="38"/>
        <v>0</v>
      </c>
      <c r="Z140" s="22">
        <f t="shared" si="34"/>
        <v>0</v>
      </c>
    </row>
    <row r="141" spans="1:26" x14ac:dyDescent="0.25">
      <c r="A141" s="24"/>
      <c r="B141" s="75"/>
      <c r="C141" s="89"/>
      <c r="D141" s="26"/>
      <c r="E141" s="26"/>
      <c r="F141" s="26"/>
      <c r="G141" s="27"/>
      <c r="H141" s="27"/>
      <c r="I141" s="26"/>
      <c r="J141" s="64"/>
      <c r="K141" s="28"/>
      <c r="L141" s="66"/>
      <c r="M141" s="66"/>
      <c r="N141" s="67"/>
      <c r="O141" s="66"/>
      <c r="P141" s="66"/>
      <c r="Q141" s="68"/>
      <c r="R141" s="29"/>
      <c r="S141" s="29"/>
      <c r="T141" s="32"/>
      <c r="U141" s="43"/>
      <c r="V141" s="42">
        <f t="shared" ref="V141:V180" si="41">U141/2</f>
        <v>0</v>
      </c>
      <c r="W141" s="22"/>
      <c r="X141" s="22"/>
      <c r="Z141" s="22" t="e">
        <f t="shared" si="34"/>
        <v>#DIV/0!</v>
      </c>
    </row>
    <row r="142" spans="1:26" x14ac:dyDescent="0.25">
      <c r="A142" s="39"/>
      <c r="B142" s="36" t="s">
        <v>134</v>
      </c>
      <c r="C142" s="133"/>
      <c r="D142" s="37"/>
      <c r="E142" s="37"/>
      <c r="F142" s="37"/>
      <c r="G142" s="38"/>
      <c r="H142" s="38"/>
      <c r="I142" s="37"/>
      <c r="J142" s="134"/>
      <c r="K142" s="34" t="s">
        <v>135</v>
      </c>
      <c r="L142" s="41">
        <f>L145+L155</f>
        <v>615400000</v>
      </c>
      <c r="M142" s="41">
        <f>M145+M155</f>
        <v>291405000</v>
      </c>
      <c r="N142" s="41">
        <f>N145+N155</f>
        <v>363099000</v>
      </c>
      <c r="O142" s="135"/>
      <c r="P142" s="135"/>
      <c r="Q142" s="41">
        <f>Q145+Q155</f>
        <v>28215000</v>
      </c>
      <c r="R142" s="41">
        <v>328625000</v>
      </c>
      <c r="S142" s="41">
        <f>Q142+R142</f>
        <v>356840000</v>
      </c>
      <c r="T142" s="136">
        <f>S142/N142*100</f>
        <v>98.27622769547699</v>
      </c>
      <c r="U142" s="42">
        <f t="shared" ref="U142:U173" si="42">N142-S142</f>
        <v>6259000</v>
      </c>
      <c r="V142" s="42">
        <f t="shared" si="41"/>
        <v>3129500</v>
      </c>
      <c r="W142" s="22">
        <f>Q142/N142*100</f>
        <v>7.7706080159956379</v>
      </c>
      <c r="X142" s="22">
        <f t="shared" si="38"/>
        <v>7.7706080159956379</v>
      </c>
      <c r="Z142" s="22">
        <f t="shared" si="34"/>
        <v>7.7706080159956379</v>
      </c>
    </row>
    <row r="143" spans="1:26" x14ac:dyDescent="0.25">
      <c r="A143" s="24"/>
      <c r="B143" s="75"/>
      <c r="C143" s="89"/>
      <c r="D143" s="26"/>
      <c r="E143" s="26"/>
      <c r="F143" s="26"/>
      <c r="G143" s="27"/>
      <c r="H143" s="27"/>
      <c r="I143" s="26"/>
      <c r="J143" s="64"/>
      <c r="K143" s="28"/>
      <c r="L143" s="66"/>
      <c r="M143" s="66"/>
      <c r="N143" s="67"/>
      <c r="O143" s="66"/>
      <c r="P143" s="66"/>
      <c r="Q143" s="68"/>
      <c r="R143" s="29"/>
      <c r="S143" s="29"/>
      <c r="T143" s="32"/>
      <c r="U143" s="43"/>
      <c r="V143" s="42">
        <f t="shared" si="41"/>
        <v>0</v>
      </c>
      <c r="W143" s="22"/>
      <c r="X143" s="22"/>
      <c r="Z143" s="22" t="e">
        <f t="shared" ref="Z143:Z179" si="43">Q143/N143*100</f>
        <v>#DIV/0!</v>
      </c>
    </row>
    <row r="144" spans="1:26" x14ac:dyDescent="0.25">
      <c r="A144" s="24"/>
      <c r="B144" s="75"/>
      <c r="C144" s="89"/>
      <c r="D144" s="26"/>
      <c r="E144" s="26"/>
      <c r="F144" s="26"/>
      <c r="G144" s="27"/>
      <c r="H144" s="27"/>
      <c r="I144" s="26"/>
      <c r="J144" s="64"/>
      <c r="K144" s="28"/>
      <c r="L144" s="66"/>
      <c r="M144" s="66"/>
      <c r="N144" s="67"/>
      <c r="O144" s="66"/>
      <c r="P144" s="66"/>
      <c r="Q144" s="68"/>
      <c r="R144" s="29"/>
      <c r="S144" s="29"/>
      <c r="T144" s="32"/>
      <c r="U144" s="43"/>
      <c r="V144" s="42">
        <f t="shared" si="41"/>
        <v>0</v>
      </c>
      <c r="W144" s="22"/>
      <c r="X144" s="22"/>
      <c r="Z144" s="22" t="e">
        <f t="shared" si="43"/>
        <v>#DIV/0!</v>
      </c>
    </row>
    <row r="145" spans="1:26" x14ac:dyDescent="0.25">
      <c r="A145" s="24"/>
      <c r="B145" s="112" t="s">
        <v>31</v>
      </c>
      <c r="C145" s="93" t="s">
        <v>31</v>
      </c>
      <c r="D145" s="113" t="s">
        <v>136</v>
      </c>
      <c r="E145" s="94"/>
      <c r="F145" s="94"/>
      <c r="G145" s="79"/>
      <c r="H145" s="79"/>
      <c r="I145" s="94"/>
      <c r="J145" s="122"/>
      <c r="K145" s="115" t="s">
        <v>137</v>
      </c>
      <c r="L145" s="52">
        <f>L147+L149+L151+L153</f>
        <v>187200000</v>
      </c>
      <c r="M145" s="52">
        <f>M147+M149+M151+M153</f>
        <v>103200000</v>
      </c>
      <c r="N145" s="52">
        <f>N147+N153</f>
        <v>73400000</v>
      </c>
      <c r="O145" s="116"/>
      <c r="P145" s="116"/>
      <c r="Q145" s="84">
        <f>Q147+Q149+Q151+Q153</f>
        <v>3900000</v>
      </c>
      <c r="R145" s="84">
        <v>69500000</v>
      </c>
      <c r="S145" s="84">
        <f>Q145+R145</f>
        <v>73400000</v>
      </c>
      <c r="T145" s="54">
        <f>S145/N145*100</f>
        <v>100</v>
      </c>
      <c r="U145" s="52">
        <f t="shared" si="42"/>
        <v>0</v>
      </c>
      <c r="V145" s="42">
        <f t="shared" si="41"/>
        <v>0</v>
      </c>
      <c r="W145" s="22">
        <f t="shared" si="40"/>
        <v>5.3133514986376023</v>
      </c>
      <c r="X145" s="22">
        <f t="shared" si="38"/>
        <v>5.3133514986376023</v>
      </c>
      <c r="Z145" s="65">
        <f t="shared" si="43"/>
        <v>5.3133514986376023</v>
      </c>
    </row>
    <row r="146" spans="1:26" x14ac:dyDescent="0.25">
      <c r="A146" s="24"/>
      <c r="B146" s="75"/>
      <c r="C146" s="89"/>
      <c r="D146" s="26"/>
      <c r="E146" s="26"/>
      <c r="F146" s="26"/>
      <c r="G146" s="27"/>
      <c r="H146" s="27"/>
      <c r="I146" s="26"/>
      <c r="J146" s="64"/>
      <c r="K146" s="28"/>
      <c r="L146" s="66"/>
      <c r="M146" s="66"/>
      <c r="N146" s="67">
        <f t="shared" si="39"/>
        <v>0</v>
      </c>
      <c r="O146" s="66"/>
      <c r="P146" s="66"/>
      <c r="Q146" s="68"/>
      <c r="R146" s="29"/>
      <c r="S146" s="29"/>
      <c r="T146" s="32"/>
      <c r="U146" s="43"/>
      <c r="V146" s="42">
        <f t="shared" si="41"/>
        <v>0</v>
      </c>
      <c r="W146" s="22"/>
      <c r="X146" s="22"/>
      <c r="Z146" s="22" t="e">
        <f t="shared" si="43"/>
        <v>#DIV/0!</v>
      </c>
    </row>
    <row r="147" spans="1:26" x14ac:dyDescent="0.25">
      <c r="A147" s="24"/>
      <c r="B147" s="75"/>
      <c r="C147" s="89"/>
      <c r="D147" s="26"/>
      <c r="E147" s="26"/>
      <c r="F147" s="26"/>
      <c r="G147" s="27"/>
      <c r="H147" s="27"/>
      <c r="I147" s="26"/>
      <c r="J147" s="64"/>
      <c r="K147" s="56" t="s">
        <v>138</v>
      </c>
      <c r="L147" s="30">
        <v>39000000</v>
      </c>
      <c r="M147" s="30"/>
      <c r="N147" s="31">
        <v>29000000</v>
      </c>
      <c r="O147" s="66"/>
      <c r="P147" s="66"/>
      <c r="Q147" s="29">
        <v>0</v>
      </c>
      <c r="R147" s="29">
        <v>29000000</v>
      </c>
      <c r="S147" s="29">
        <f>Q147+R147</f>
        <v>29000000</v>
      </c>
      <c r="T147" s="20">
        <f>S147/N147*100</f>
        <v>100</v>
      </c>
      <c r="U147" s="43">
        <f t="shared" si="42"/>
        <v>0</v>
      </c>
      <c r="V147" s="42">
        <f t="shared" si="41"/>
        <v>0</v>
      </c>
      <c r="W147" s="22">
        <f t="shared" si="40"/>
        <v>0</v>
      </c>
      <c r="X147" s="22">
        <f t="shared" si="38"/>
        <v>0</v>
      </c>
      <c r="Z147" s="22">
        <f t="shared" si="43"/>
        <v>0</v>
      </c>
    </row>
    <row r="148" spans="1:26" x14ac:dyDescent="0.25">
      <c r="A148" s="24"/>
      <c r="B148" s="75"/>
      <c r="C148" s="89"/>
      <c r="D148" s="26"/>
      <c r="E148" s="26"/>
      <c r="F148" s="26"/>
      <c r="G148" s="27"/>
      <c r="H148" s="27"/>
      <c r="I148" s="26"/>
      <c r="J148" s="64"/>
      <c r="K148" s="56"/>
      <c r="L148" s="30"/>
      <c r="M148" s="30"/>
      <c r="N148" s="67"/>
      <c r="O148" s="66"/>
      <c r="P148" s="66"/>
      <c r="Q148" s="29"/>
      <c r="R148" s="29"/>
      <c r="S148" s="29"/>
      <c r="T148" s="32"/>
      <c r="U148" s="43"/>
      <c r="V148" s="42">
        <f t="shared" si="41"/>
        <v>0</v>
      </c>
      <c r="W148" s="22"/>
      <c r="X148" s="22"/>
      <c r="Z148" s="22" t="e">
        <f t="shared" si="43"/>
        <v>#DIV/0!</v>
      </c>
    </row>
    <row r="149" spans="1:26" x14ac:dyDescent="0.25">
      <c r="A149" s="24"/>
      <c r="B149" s="75"/>
      <c r="C149" s="89"/>
      <c r="D149" s="26"/>
      <c r="E149" s="26"/>
      <c r="F149" s="26"/>
      <c r="G149" s="27"/>
      <c r="H149" s="27"/>
      <c r="I149" s="26"/>
      <c r="J149" s="64"/>
      <c r="K149" s="56" t="s">
        <v>139</v>
      </c>
      <c r="L149" s="30">
        <v>88200000</v>
      </c>
      <c r="M149" s="30">
        <v>88200000</v>
      </c>
      <c r="N149" s="67">
        <f t="shared" si="39"/>
        <v>0</v>
      </c>
      <c r="O149" s="66"/>
      <c r="P149" s="66"/>
      <c r="Q149" s="29">
        <v>0</v>
      </c>
      <c r="R149" s="29">
        <v>0</v>
      </c>
      <c r="S149" s="29">
        <f t="shared" ref="S149:S153" si="44">Q149+R149</f>
        <v>0</v>
      </c>
      <c r="T149" s="32"/>
      <c r="U149" s="43">
        <f t="shared" si="42"/>
        <v>0</v>
      </c>
      <c r="V149" s="42">
        <f t="shared" si="41"/>
        <v>0</v>
      </c>
      <c r="W149" s="22"/>
      <c r="X149" s="22"/>
      <c r="Z149" s="22" t="e">
        <f t="shared" si="43"/>
        <v>#DIV/0!</v>
      </c>
    </row>
    <row r="150" spans="1:26" x14ac:dyDescent="0.25">
      <c r="A150" s="24"/>
      <c r="B150" s="75"/>
      <c r="C150" s="89"/>
      <c r="D150" s="26"/>
      <c r="E150" s="26"/>
      <c r="F150" s="26"/>
      <c r="G150" s="27"/>
      <c r="H150" s="27"/>
      <c r="I150" s="26"/>
      <c r="J150" s="64"/>
      <c r="K150" s="56"/>
      <c r="L150" s="30"/>
      <c r="M150" s="30"/>
      <c r="N150" s="67"/>
      <c r="O150" s="66"/>
      <c r="P150" s="66"/>
      <c r="Q150" s="29"/>
      <c r="R150" s="29"/>
      <c r="S150" s="29"/>
      <c r="T150" s="32"/>
      <c r="U150" s="43"/>
      <c r="V150" s="42">
        <f t="shared" si="41"/>
        <v>0</v>
      </c>
      <c r="W150" s="22"/>
      <c r="X150" s="22"/>
      <c r="Z150" s="22" t="e">
        <f t="shared" si="43"/>
        <v>#DIV/0!</v>
      </c>
    </row>
    <row r="151" spans="1:26" x14ac:dyDescent="0.25">
      <c r="A151" s="24"/>
      <c r="B151" s="75"/>
      <c r="C151" s="89"/>
      <c r="D151" s="26"/>
      <c r="E151" s="26"/>
      <c r="F151" s="26"/>
      <c r="G151" s="27"/>
      <c r="H151" s="27"/>
      <c r="I151" s="26"/>
      <c r="J151" s="64"/>
      <c r="K151" s="56" t="s">
        <v>140</v>
      </c>
      <c r="L151" s="30">
        <v>15000000</v>
      </c>
      <c r="M151" s="30">
        <v>15000000</v>
      </c>
      <c r="N151" s="67">
        <v>0</v>
      </c>
      <c r="O151" s="66"/>
      <c r="P151" s="66"/>
      <c r="Q151" s="29">
        <v>0</v>
      </c>
      <c r="R151" s="29">
        <v>0</v>
      </c>
      <c r="S151" s="29">
        <f t="shared" si="44"/>
        <v>0</v>
      </c>
      <c r="T151" s="32"/>
      <c r="U151" s="43">
        <f t="shared" si="42"/>
        <v>0</v>
      </c>
      <c r="V151" s="42">
        <f t="shared" si="41"/>
        <v>0</v>
      </c>
      <c r="W151" s="22"/>
      <c r="X151" s="22"/>
      <c r="Z151" s="22" t="e">
        <f t="shared" si="43"/>
        <v>#DIV/0!</v>
      </c>
    </row>
    <row r="152" spans="1:26" x14ac:dyDescent="0.25">
      <c r="A152" s="24"/>
      <c r="B152" s="75"/>
      <c r="C152" s="89"/>
      <c r="D152" s="26"/>
      <c r="E152" s="26"/>
      <c r="F152" s="26"/>
      <c r="G152" s="27"/>
      <c r="H152" s="27"/>
      <c r="I152" s="26"/>
      <c r="J152" s="64"/>
      <c r="K152" s="56"/>
      <c r="L152" s="30"/>
      <c r="M152" s="30"/>
      <c r="N152" s="67"/>
      <c r="O152" s="66"/>
      <c r="P152" s="66"/>
      <c r="Q152" s="29"/>
      <c r="R152" s="29"/>
      <c r="S152" s="29"/>
      <c r="T152" s="32"/>
      <c r="U152" s="43"/>
      <c r="V152" s="42">
        <f t="shared" si="41"/>
        <v>0</v>
      </c>
      <c r="W152" s="22"/>
      <c r="X152" s="22"/>
      <c r="Z152" s="22" t="e">
        <f t="shared" si="43"/>
        <v>#DIV/0!</v>
      </c>
    </row>
    <row r="153" spans="1:26" x14ac:dyDescent="0.25">
      <c r="A153" s="24"/>
      <c r="B153" s="75"/>
      <c r="C153" s="89"/>
      <c r="D153" s="26"/>
      <c r="E153" s="26"/>
      <c r="F153" s="26"/>
      <c r="G153" s="27"/>
      <c r="H153" s="27"/>
      <c r="I153" s="26"/>
      <c r="J153" s="64"/>
      <c r="K153" s="56" t="s">
        <v>141</v>
      </c>
      <c r="L153" s="30">
        <v>45000000</v>
      </c>
      <c r="M153" s="30">
        <v>0</v>
      </c>
      <c r="N153" s="31">
        <v>44400000</v>
      </c>
      <c r="O153" s="66"/>
      <c r="P153" s="66"/>
      <c r="Q153" s="29">
        <v>3900000</v>
      </c>
      <c r="R153" s="29">
        <v>40500000</v>
      </c>
      <c r="S153" s="29">
        <f t="shared" si="44"/>
        <v>44400000</v>
      </c>
      <c r="T153" s="20">
        <f>S153/N153*100</f>
        <v>100</v>
      </c>
      <c r="U153" s="43">
        <f t="shared" si="42"/>
        <v>0</v>
      </c>
      <c r="V153" s="42">
        <f t="shared" si="41"/>
        <v>0</v>
      </c>
      <c r="W153" s="22">
        <f t="shared" si="40"/>
        <v>8.7837837837837842</v>
      </c>
      <c r="X153" s="22">
        <f t="shared" si="38"/>
        <v>8.7837837837837842</v>
      </c>
      <c r="Z153" s="22">
        <f t="shared" si="43"/>
        <v>8.7837837837837842</v>
      </c>
    </row>
    <row r="154" spans="1:26" x14ac:dyDescent="0.25">
      <c r="A154" s="24"/>
      <c r="B154" s="75"/>
      <c r="C154" s="89"/>
      <c r="D154" s="26"/>
      <c r="E154" s="26"/>
      <c r="F154" s="26"/>
      <c r="G154" s="27"/>
      <c r="H154" s="27"/>
      <c r="I154" s="26"/>
      <c r="J154" s="64"/>
      <c r="K154" s="28"/>
      <c r="L154" s="66"/>
      <c r="M154" s="66"/>
      <c r="N154" s="67"/>
      <c r="O154" s="66"/>
      <c r="P154" s="66"/>
      <c r="Q154" s="68"/>
      <c r="R154" s="29"/>
      <c r="S154" s="29"/>
      <c r="T154" s="32"/>
      <c r="U154" s="43"/>
      <c r="V154" s="42">
        <f t="shared" si="41"/>
        <v>0</v>
      </c>
      <c r="W154" s="22"/>
      <c r="X154" s="22"/>
      <c r="Z154" s="22" t="e">
        <f t="shared" si="43"/>
        <v>#DIV/0!</v>
      </c>
    </row>
    <row r="155" spans="1:26" x14ac:dyDescent="0.25">
      <c r="A155" s="44"/>
      <c r="B155" s="46" t="s">
        <v>31</v>
      </c>
      <c r="C155" s="46" t="s">
        <v>31</v>
      </c>
      <c r="D155" s="480" t="s">
        <v>142</v>
      </c>
      <c r="E155" s="481"/>
      <c r="F155" s="481"/>
      <c r="G155" s="481"/>
      <c r="H155" s="49"/>
      <c r="I155" s="50"/>
      <c r="J155" s="106"/>
      <c r="K155" s="137" t="s">
        <v>143</v>
      </c>
      <c r="L155" s="52">
        <f>L156+L160+L164+L168+L172+L175</f>
        <v>428200000</v>
      </c>
      <c r="M155" s="52">
        <f>M156+M160+M164+M168+M172+M175</f>
        <v>188205000</v>
      </c>
      <c r="N155" s="52">
        <f>N160+N164+N168+N175</f>
        <v>289699000</v>
      </c>
      <c r="O155" s="53"/>
      <c r="P155" s="53"/>
      <c r="Q155" s="52">
        <f>Q156+Q160+Q164+Q168+Q172+Q175</f>
        <v>24315000</v>
      </c>
      <c r="R155" s="52">
        <v>259125000</v>
      </c>
      <c r="S155" s="52">
        <f t="shared" ref="S155:S179" si="45">Q155+R155</f>
        <v>283440000</v>
      </c>
      <c r="T155" s="54">
        <f>S155/N155*100</f>
        <v>97.839481668904625</v>
      </c>
      <c r="U155" s="52">
        <f t="shared" si="42"/>
        <v>6259000</v>
      </c>
      <c r="V155" s="42">
        <f t="shared" si="41"/>
        <v>3129500</v>
      </c>
      <c r="W155" s="22">
        <f t="shared" si="40"/>
        <v>8.3931943154791711</v>
      </c>
      <c r="X155" s="22">
        <f t="shared" si="38"/>
        <v>8.3931943154791711</v>
      </c>
      <c r="Z155" s="65">
        <f t="shared" si="43"/>
        <v>8.3931943154791711</v>
      </c>
    </row>
    <row r="156" spans="1:26" x14ac:dyDescent="0.25">
      <c r="A156" s="70"/>
      <c r="B156" s="58"/>
      <c r="C156" s="58"/>
      <c r="D156" s="60" t="s">
        <v>144</v>
      </c>
      <c r="E156" s="72"/>
      <c r="F156" s="72"/>
      <c r="G156" s="72"/>
      <c r="H156" s="62"/>
      <c r="I156" s="63"/>
      <c r="J156" s="64"/>
      <c r="K156" s="74" t="s">
        <v>145</v>
      </c>
      <c r="L156" s="30">
        <f>SUM(L157:L158)</f>
        <v>50000000</v>
      </c>
      <c r="M156" s="30">
        <f>SUM(M157:M158)</f>
        <v>50000000</v>
      </c>
      <c r="N156" s="67">
        <f t="shared" si="39"/>
        <v>0</v>
      </c>
      <c r="O156" s="30"/>
      <c r="P156" s="30"/>
      <c r="Q156" s="30">
        <f>Q157+Q158</f>
        <v>0</v>
      </c>
      <c r="R156" s="29">
        <v>0</v>
      </c>
      <c r="S156" s="29">
        <f t="shared" si="45"/>
        <v>0</v>
      </c>
      <c r="T156" s="22"/>
      <c r="U156" s="43">
        <f t="shared" si="42"/>
        <v>0</v>
      </c>
      <c r="V156" s="42">
        <f t="shared" si="41"/>
        <v>0</v>
      </c>
      <c r="W156" s="22"/>
      <c r="X156" s="22"/>
      <c r="Z156" s="22" t="e">
        <f t="shared" si="43"/>
        <v>#DIV/0!</v>
      </c>
    </row>
    <row r="157" spans="1:26" x14ac:dyDescent="0.25">
      <c r="A157" s="70"/>
      <c r="B157" s="58"/>
      <c r="C157" s="58"/>
      <c r="D157" s="71"/>
      <c r="E157" s="72"/>
      <c r="F157" s="72"/>
      <c r="G157" s="72"/>
      <c r="H157" s="62"/>
      <c r="I157" s="63"/>
      <c r="J157" s="64"/>
      <c r="K157" s="28" t="s">
        <v>146</v>
      </c>
      <c r="L157" s="66">
        <v>30000000</v>
      </c>
      <c r="M157" s="66">
        <v>30000000</v>
      </c>
      <c r="N157" s="67">
        <f t="shared" si="39"/>
        <v>0</v>
      </c>
      <c r="O157" s="66"/>
      <c r="P157" s="66"/>
      <c r="Q157" s="66">
        <v>0</v>
      </c>
      <c r="R157" s="68">
        <v>0</v>
      </c>
      <c r="S157" s="68">
        <f t="shared" si="45"/>
        <v>0</v>
      </c>
      <c r="T157" s="20"/>
      <c r="U157" s="43">
        <f t="shared" si="42"/>
        <v>0</v>
      </c>
      <c r="V157" s="42">
        <f t="shared" si="41"/>
        <v>0</v>
      </c>
      <c r="W157" s="22"/>
      <c r="X157" s="22"/>
      <c r="Z157" s="22" t="e">
        <f t="shared" si="43"/>
        <v>#DIV/0!</v>
      </c>
    </row>
    <row r="158" spans="1:26" x14ac:dyDescent="0.25">
      <c r="A158" s="70"/>
      <c r="B158" s="58"/>
      <c r="C158" s="58"/>
      <c r="D158" s="71"/>
      <c r="E158" s="72"/>
      <c r="F158" s="72"/>
      <c r="G158" s="72"/>
      <c r="H158" s="62"/>
      <c r="I158" s="63"/>
      <c r="J158" s="64"/>
      <c r="K158" s="28" t="s">
        <v>147</v>
      </c>
      <c r="L158" s="66">
        <v>20000000</v>
      </c>
      <c r="M158" s="66">
        <v>20000000</v>
      </c>
      <c r="N158" s="67">
        <f t="shared" si="39"/>
        <v>0</v>
      </c>
      <c r="O158" s="66"/>
      <c r="P158" s="66"/>
      <c r="Q158" s="66">
        <v>0</v>
      </c>
      <c r="R158" s="68">
        <v>0</v>
      </c>
      <c r="S158" s="68">
        <f t="shared" si="45"/>
        <v>0</v>
      </c>
      <c r="T158" s="20"/>
      <c r="U158" s="43">
        <f t="shared" si="42"/>
        <v>0</v>
      </c>
      <c r="V158" s="42">
        <f t="shared" si="41"/>
        <v>0</v>
      </c>
      <c r="W158" s="22"/>
      <c r="X158" s="22"/>
      <c r="Z158" s="22" t="e">
        <f t="shared" si="43"/>
        <v>#DIV/0!</v>
      </c>
    </row>
    <row r="159" spans="1:26" x14ac:dyDescent="0.25">
      <c r="A159" s="24"/>
      <c r="B159" s="75"/>
      <c r="C159" s="89"/>
      <c r="D159" s="26"/>
      <c r="E159" s="26"/>
      <c r="F159" s="26"/>
      <c r="G159" s="27"/>
      <c r="H159" s="27"/>
      <c r="I159" s="26"/>
      <c r="J159" s="64"/>
      <c r="K159" s="28"/>
      <c r="L159" s="66"/>
      <c r="M159" s="66"/>
      <c r="N159" s="67"/>
      <c r="O159" s="30"/>
      <c r="P159" s="30"/>
      <c r="Q159" s="68"/>
      <c r="R159" s="29"/>
      <c r="S159" s="29"/>
      <c r="T159" s="32"/>
      <c r="U159" s="43"/>
      <c r="V159" s="42">
        <f t="shared" si="41"/>
        <v>0</v>
      </c>
      <c r="W159" s="22"/>
      <c r="X159" s="22"/>
      <c r="Z159" s="22" t="e">
        <f t="shared" si="43"/>
        <v>#DIV/0!</v>
      </c>
    </row>
    <row r="160" spans="1:26" x14ac:dyDescent="0.25">
      <c r="A160" s="24"/>
      <c r="B160" s="75"/>
      <c r="C160" s="89"/>
      <c r="D160" s="60" t="s">
        <v>148</v>
      </c>
      <c r="E160" s="61"/>
      <c r="F160" s="61"/>
      <c r="G160" s="61"/>
      <c r="H160" s="62"/>
      <c r="I160" s="63"/>
      <c r="J160" s="64"/>
      <c r="K160" s="56" t="s">
        <v>149</v>
      </c>
      <c r="L160" s="30">
        <f>L161+L162</f>
        <v>30000000</v>
      </c>
      <c r="M160" s="30">
        <f>M161+M162</f>
        <v>16155000</v>
      </c>
      <c r="N160" s="31">
        <f>N162</f>
        <v>14615000</v>
      </c>
      <c r="O160" s="66"/>
      <c r="P160" s="66"/>
      <c r="Q160" s="30">
        <f>Q161+Q162</f>
        <v>600000</v>
      </c>
      <c r="R160" s="29">
        <v>14010000</v>
      </c>
      <c r="S160" s="29">
        <f t="shared" si="45"/>
        <v>14610000</v>
      </c>
      <c r="T160" s="20">
        <f t="shared" ref="T160:T162" si="46">S160/N160*100</f>
        <v>99.965788573383506</v>
      </c>
      <c r="U160" s="52">
        <f t="shared" si="42"/>
        <v>5000</v>
      </c>
      <c r="V160" s="42">
        <f t="shared" si="41"/>
        <v>2500</v>
      </c>
      <c r="W160" s="22">
        <f t="shared" si="40"/>
        <v>4.1053711939787885</v>
      </c>
      <c r="X160" s="22">
        <f t="shared" ref="X160:X180" si="47">Q160/N160*100</f>
        <v>4.1053711939787885</v>
      </c>
      <c r="Z160" s="65">
        <f t="shared" si="43"/>
        <v>4.1053711939787885</v>
      </c>
    </row>
    <row r="161" spans="1:26" x14ac:dyDescent="0.25">
      <c r="A161" s="24"/>
      <c r="B161" s="75"/>
      <c r="C161" s="89"/>
      <c r="D161" s="26"/>
      <c r="E161" s="26"/>
      <c r="F161" s="26"/>
      <c r="G161" s="27"/>
      <c r="H161" s="27"/>
      <c r="I161" s="26"/>
      <c r="J161" s="64"/>
      <c r="K161" s="138" t="s">
        <v>150</v>
      </c>
      <c r="L161" s="66">
        <v>3600000</v>
      </c>
      <c r="M161" s="66">
        <v>3600000</v>
      </c>
      <c r="N161" s="67">
        <f t="shared" si="39"/>
        <v>0</v>
      </c>
      <c r="O161" s="66"/>
      <c r="P161" s="66"/>
      <c r="Q161" s="139">
        <v>0</v>
      </c>
      <c r="R161" s="29">
        <v>0</v>
      </c>
      <c r="S161" s="29">
        <f t="shared" si="45"/>
        <v>0</v>
      </c>
      <c r="T161" s="20"/>
      <c r="U161" s="43">
        <f t="shared" si="42"/>
        <v>0</v>
      </c>
      <c r="V161" s="42">
        <f t="shared" si="41"/>
        <v>0</v>
      </c>
      <c r="W161" s="22"/>
      <c r="X161" s="22"/>
      <c r="Z161" s="22" t="e">
        <f t="shared" si="43"/>
        <v>#DIV/0!</v>
      </c>
    </row>
    <row r="162" spans="1:26" x14ac:dyDescent="0.25">
      <c r="A162" s="24"/>
      <c r="B162" s="75"/>
      <c r="C162" s="89"/>
      <c r="D162" s="26"/>
      <c r="E162" s="26"/>
      <c r="F162" s="26"/>
      <c r="G162" s="27"/>
      <c r="H162" s="27"/>
      <c r="I162" s="26"/>
      <c r="J162" s="64"/>
      <c r="K162" s="28" t="s">
        <v>151</v>
      </c>
      <c r="L162" s="66">
        <v>26400000</v>
      </c>
      <c r="M162" s="66">
        <v>12555000</v>
      </c>
      <c r="N162" s="67">
        <v>14615000</v>
      </c>
      <c r="O162" s="66"/>
      <c r="P162" s="66"/>
      <c r="Q162" s="68">
        <v>600000</v>
      </c>
      <c r="R162" s="29">
        <v>14010000</v>
      </c>
      <c r="S162" s="29">
        <f t="shared" si="45"/>
        <v>14610000</v>
      </c>
      <c r="T162" s="20">
        <f t="shared" si="46"/>
        <v>99.965788573383506</v>
      </c>
      <c r="U162" s="52">
        <f t="shared" si="42"/>
        <v>5000</v>
      </c>
      <c r="V162" s="42">
        <f t="shared" si="41"/>
        <v>2500</v>
      </c>
      <c r="W162" s="22">
        <f t="shared" si="40"/>
        <v>4.1053711939787885</v>
      </c>
      <c r="X162" s="22">
        <f t="shared" si="47"/>
        <v>4.1053711939787885</v>
      </c>
      <c r="Z162" s="22">
        <f t="shared" si="43"/>
        <v>4.1053711939787885</v>
      </c>
    </row>
    <row r="163" spans="1:26" x14ac:dyDescent="0.25">
      <c r="A163" s="24"/>
      <c r="B163" s="75"/>
      <c r="C163" s="89"/>
      <c r="D163" s="26"/>
      <c r="E163" s="26"/>
      <c r="F163" s="26"/>
      <c r="G163" s="27"/>
      <c r="H163" s="27"/>
      <c r="I163" s="26"/>
      <c r="J163" s="64"/>
      <c r="K163" s="28"/>
      <c r="L163" s="66"/>
      <c r="M163" s="66"/>
      <c r="N163" s="67"/>
      <c r="O163" s="66"/>
      <c r="P163" s="66"/>
      <c r="Q163" s="68"/>
      <c r="R163" s="29"/>
      <c r="S163" s="29"/>
      <c r="T163" s="32"/>
      <c r="U163" s="43"/>
      <c r="V163" s="42">
        <f t="shared" si="41"/>
        <v>0</v>
      </c>
      <c r="W163" s="22"/>
      <c r="X163" s="22"/>
      <c r="Z163" s="22" t="e">
        <f t="shared" si="43"/>
        <v>#DIV/0!</v>
      </c>
    </row>
    <row r="164" spans="1:26" x14ac:dyDescent="0.25">
      <c r="A164" s="24"/>
      <c r="B164" s="75"/>
      <c r="C164" s="89"/>
      <c r="D164" s="60" t="s">
        <v>152</v>
      </c>
      <c r="E164" s="61"/>
      <c r="F164" s="61"/>
      <c r="G164" s="61"/>
      <c r="H164" s="62"/>
      <c r="I164" s="63"/>
      <c r="J164" s="90"/>
      <c r="K164" s="74" t="s">
        <v>153</v>
      </c>
      <c r="L164" s="30">
        <f>L165+L166</f>
        <v>20000000</v>
      </c>
      <c r="M164" s="30">
        <f>M165+M166</f>
        <v>19150000</v>
      </c>
      <c r="N164" s="31">
        <v>5850000</v>
      </c>
      <c r="O164" s="66"/>
      <c r="P164" s="66"/>
      <c r="Q164" s="30">
        <f t="shared" ref="Q164" si="48">Q165+Q166</f>
        <v>2475000</v>
      </c>
      <c r="R164" s="30">
        <v>3325000</v>
      </c>
      <c r="S164" s="30">
        <f t="shared" si="45"/>
        <v>5800000</v>
      </c>
      <c r="T164" s="20">
        <f t="shared" ref="T164:T166" si="49">S164/N164*100</f>
        <v>99.145299145299148</v>
      </c>
      <c r="U164" s="43">
        <f t="shared" si="42"/>
        <v>50000</v>
      </c>
      <c r="V164" s="42">
        <f t="shared" si="41"/>
        <v>25000</v>
      </c>
      <c r="W164" s="22">
        <f t="shared" si="40"/>
        <v>42.307692307692307</v>
      </c>
      <c r="X164" s="22">
        <f t="shared" si="47"/>
        <v>42.307692307692307</v>
      </c>
      <c r="Z164" s="65">
        <f t="shared" si="43"/>
        <v>42.307692307692307</v>
      </c>
    </row>
    <row r="165" spans="1:26" x14ac:dyDescent="0.25">
      <c r="A165" s="24"/>
      <c r="B165" s="75"/>
      <c r="C165" s="89"/>
      <c r="D165" s="26"/>
      <c r="E165" s="26"/>
      <c r="F165" s="26"/>
      <c r="G165" s="27"/>
      <c r="H165" s="27"/>
      <c r="I165" s="26"/>
      <c r="J165" s="64"/>
      <c r="K165" s="28" t="s">
        <v>154</v>
      </c>
      <c r="L165" s="66">
        <v>16600000</v>
      </c>
      <c r="M165" s="66">
        <v>16600000</v>
      </c>
      <c r="N165" s="67">
        <f t="shared" si="39"/>
        <v>0</v>
      </c>
      <c r="O165" s="66"/>
      <c r="P165" s="66"/>
      <c r="Q165" s="68">
        <v>0</v>
      </c>
      <c r="R165" s="68">
        <v>0</v>
      </c>
      <c r="S165" s="68">
        <f t="shared" si="45"/>
        <v>0</v>
      </c>
      <c r="T165" s="20"/>
      <c r="U165" s="43">
        <f t="shared" si="42"/>
        <v>0</v>
      </c>
      <c r="V165" s="42">
        <f t="shared" si="41"/>
        <v>0</v>
      </c>
      <c r="W165" s="22"/>
      <c r="X165" s="22"/>
      <c r="Z165" s="22" t="e">
        <f t="shared" si="43"/>
        <v>#DIV/0!</v>
      </c>
    </row>
    <row r="166" spans="1:26" ht="31.5" x14ac:dyDescent="0.25">
      <c r="A166" s="24"/>
      <c r="B166" s="75"/>
      <c r="C166" s="89"/>
      <c r="D166" s="26"/>
      <c r="E166" s="26"/>
      <c r="F166" s="26"/>
      <c r="G166" s="27"/>
      <c r="H166" s="27"/>
      <c r="I166" s="26"/>
      <c r="J166" s="64"/>
      <c r="K166" s="138" t="s">
        <v>155</v>
      </c>
      <c r="L166" s="66">
        <v>3400000</v>
      </c>
      <c r="M166" s="66">
        <v>2550000</v>
      </c>
      <c r="N166" s="67">
        <v>5850000</v>
      </c>
      <c r="O166" s="30"/>
      <c r="P166" s="30"/>
      <c r="Q166" s="69">
        <v>2475000</v>
      </c>
      <c r="R166" s="68">
        <v>3325000</v>
      </c>
      <c r="S166" s="68">
        <f t="shared" si="45"/>
        <v>5800000</v>
      </c>
      <c r="T166" s="20">
        <f t="shared" si="49"/>
        <v>99.145299145299148</v>
      </c>
      <c r="U166" s="43">
        <f t="shared" si="42"/>
        <v>50000</v>
      </c>
      <c r="V166" s="42">
        <f t="shared" si="41"/>
        <v>25000</v>
      </c>
      <c r="W166" s="22">
        <f t="shared" si="40"/>
        <v>42.307692307692307</v>
      </c>
      <c r="X166" s="22">
        <f t="shared" si="47"/>
        <v>42.307692307692307</v>
      </c>
      <c r="Z166" s="22">
        <f t="shared" si="43"/>
        <v>42.307692307692307</v>
      </c>
    </row>
    <row r="167" spans="1:26" x14ac:dyDescent="0.25">
      <c r="A167" s="24"/>
      <c r="B167" s="75"/>
      <c r="C167" s="89"/>
      <c r="D167" s="26"/>
      <c r="E167" s="26"/>
      <c r="F167" s="26"/>
      <c r="G167" s="27"/>
      <c r="H167" s="27"/>
      <c r="I167" s="26"/>
      <c r="J167" s="64"/>
      <c r="K167" s="28"/>
      <c r="L167" s="66"/>
      <c r="M167" s="66"/>
      <c r="N167" s="67"/>
      <c r="O167" s="30"/>
      <c r="P167" s="30"/>
      <c r="Q167" s="68"/>
      <c r="R167" s="29"/>
      <c r="S167" s="29"/>
      <c r="T167" s="32"/>
      <c r="U167" s="43"/>
      <c r="V167" s="42">
        <f t="shared" si="41"/>
        <v>0</v>
      </c>
      <c r="W167" s="22"/>
      <c r="X167" s="22"/>
      <c r="Z167" s="22" t="e">
        <f t="shared" si="43"/>
        <v>#DIV/0!</v>
      </c>
    </row>
    <row r="168" spans="1:26" x14ac:dyDescent="0.25">
      <c r="A168" s="24"/>
      <c r="B168" s="75"/>
      <c r="C168" s="89"/>
      <c r="D168" s="101" t="s">
        <v>156</v>
      </c>
      <c r="E168" s="85"/>
      <c r="F168" s="85"/>
      <c r="G168" s="75"/>
      <c r="H168" s="75"/>
      <c r="I168" s="85"/>
      <c r="J168" s="140"/>
      <c r="K168" s="56" t="s">
        <v>157</v>
      </c>
      <c r="L168" s="30">
        <f>L169+L170</f>
        <v>239900000</v>
      </c>
      <c r="M168" s="30">
        <f>M169+M170</f>
        <v>42900000</v>
      </c>
      <c r="N168" s="31">
        <f>N169+N170+N172</f>
        <v>219384000</v>
      </c>
      <c r="O168" s="30"/>
      <c r="P168" s="30"/>
      <c r="Q168" s="141">
        <f>Q169+Q170</f>
        <v>18400000</v>
      </c>
      <c r="R168" s="141">
        <v>187100000</v>
      </c>
      <c r="S168" s="141">
        <f>Q168+R168</f>
        <v>205500000</v>
      </c>
      <c r="T168" s="20">
        <f>S168/N168*100</f>
        <v>93.671370747183019</v>
      </c>
      <c r="U168" s="43">
        <f t="shared" si="42"/>
        <v>13884000</v>
      </c>
      <c r="V168" s="42">
        <f t="shared" si="41"/>
        <v>6942000</v>
      </c>
      <c r="W168" s="22">
        <f t="shared" si="40"/>
        <v>8.3871203004777009</v>
      </c>
      <c r="X168" s="22">
        <f t="shared" si="47"/>
        <v>8.3871203004777009</v>
      </c>
      <c r="Z168" s="22">
        <f t="shared" si="43"/>
        <v>8.3871203004777009</v>
      </c>
    </row>
    <row r="169" spans="1:26" x14ac:dyDescent="0.25">
      <c r="A169" s="24"/>
      <c r="B169" s="75"/>
      <c r="C169" s="89"/>
      <c r="D169" s="26"/>
      <c r="E169" s="26"/>
      <c r="F169" s="26"/>
      <c r="G169" s="27"/>
      <c r="H169" s="27"/>
      <c r="I169" s="26"/>
      <c r="J169" s="64"/>
      <c r="K169" s="138" t="s">
        <v>158</v>
      </c>
      <c r="L169" s="66">
        <v>47900000</v>
      </c>
      <c r="M169" s="66">
        <v>42900000</v>
      </c>
      <c r="N169" s="67">
        <v>19700000</v>
      </c>
      <c r="O169" s="30"/>
      <c r="P169" s="30"/>
      <c r="Q169" s="68">
        <v>2400000</v>
      </c>
      <c r="R169" s="29">
        <v>11100000</v>
      </c>
      <c r="S169" s="29">
        <f>Q169+R169</f>
        <v>13500000</v>
      </c>
      <c r="T169" s="32"/>
      <c r="U169" s="52">
        <f>N169-S169</f>
        <v>6200000</v>
      </c>
      <c r="V169" s="42">
        <f t="shared" si="41"/>
        <v>3100000</v>
      </c>
      <c r="W169" s="22">
        <f t="shared" si="40"/>
        <v>12.18274111675127</v>
      </c>
      <c r="X169" s="22">
        <f t="shared" si="47"/>
        <v>12.18274111675127</v>
      </c>
      <c r="Z169" s="65">
        <f t="shared" si="43"/>
        <v>12.18274111675127</v>
      </c>
    </row>
    <row r="170" spans="1:26" ht="31.5" x14ac:dyDescent="0.25">
      <c r="A170" s="24"/>
      <c r="B170" s="75"/>
      <c r="C170" s="89"/>
      <c r="D170" s="26"/>
      <c r="E170" s="26"/>
      <c r="F170" s="26"/>
      <c r="G170" s="27"/>
      <c r="H170" s="27"/>
      <c r="I170" s="26"/>
      <c r="J170" s="64"/>
      <c r="K170" s="138" t="s">
        <v>159</v>
      </c>
      <c r="L170" s="66">
        <v>192000000</v>
      </c>
      <c r="M170" s="66">
        <v>0</v>
      </c>
      <c r="N170" s="67">
        <f t="shared" si="39"/>
        <v>192000000</v>
      </c>
      <c r="O170" s="30"/>
      <c r="P170" s="30"/>
      <c r="Q170" s="68">
        <v>16000000</v>
      </c>
      <c r="R170" s="68">
        <v>176000000</v>
      </c>
      <c r="S170" s="68">
        <f>Q170+R170</f>
        <v>192000000</v>
      </c>
      <c r="T170" s="20">
        <f>S170/N170*100</f>
        <v>100</v>
      </c>
      <c r="U170" s="43">
        <f t="shared" si="42"/>
        <v>0</v>
      </c>
      <c r="V170" s="42">
        <f t="shared" si="41"/>
        <v>0</v>
      </c>
      <c r="W170" s="22">
        <f t="shared" si="40"/>
        <v>8.3333333333333321</v>
      </c>
      <c r="X170" s="22">
        <f t="shared" si="47"/>
        <v>8.3333333333333321</v>
      </c>
      <c r="Z170" s="65">
        <f t="shared" si="43"/>
        <v>8.3333333333333321</v>
      </c>
    </row>
    <row r="171" spans="1:26" x14ac:dyDescent="0.25">
      <c r="A171" s="24"/>
      <c r="B171" s="75"/>
      <c r="C171" s="89"/>
      <c r="D171" s="26"/>
      <c r="E171" s="26"/>
      <c r="F171" s="26"/>
      <c r="G171" s="27"/>
      <c r="H171" s="27"/>
      <c r="I171" s="26"/>
      <c r="J171" s="64"/>
      <c r="K171" s="28"/>
      <c r="L171" s="66"/>
      <c r="M171" s="66"/>
      <c r="N171" s="67"/>
      <c r="O171" s="30"/>
      <c r="P171" s="30"/>
      <c r="Q171" s="68"/>
      <c r="R171" s="29"/>
      <c r="S171" s="29"/>
      <c r="T171" s="32"/>
      <c r="U171" s="43"/>
      <c r="V171" s="42">
        <f t="shared" si="41"/>
        <v>0</v>
      </c>
      <c r="W171" s="22"/>
      <c r="X171" s="22"/>
      <c r="Z171" s="22" t="e">
        <f t="shared" si="43"/>
        <v>#DIV/0!</v>
      </c>
    </row>
    <row r="172" spans="1:26" x14ac:dyDescent="0.25">
      <c r="A172" s="24"/>
      <c r="B172" s="75"/>
      <c r="C172" s="89"/>
      <c r="D172" s="101" t="s">
        <v>67</v>
      </c>
      <c r="E172" s="85"/>
      <c r="F172" s="85"/>
      <c r="G172" s="75"/>
      <c r="H172" s="75"/>
      <c r="I172" s="85"/>
      <c r="J172" s="140"/>
      <c r="K172" s="56" t="s">
        <v>160</v>
      </c>
      <c r="L172" s="30">
        <f>L173</f>
        <v>7800000</v>
      </c>
      <c r="M172" s="66">
        <f>M173</f>
        <v>0</v>
      </c>
      <c r="N172" s="31">
        <f>N173</f>
        <v>7684000</v>
      </c>
      <c r="O172" s="30"/>
      <c r="P172" s="30"/>
      <c r="Q172" s="141">
        <f>Q173</f>
        <v>640000</v>
      </c>
      <c r="R172" s="141">
        <v>7040000</v>
      </c>
      <c r="S172" s="141">
        <f>Q172+R172</f>
        <v>7680000</v>
      </c>
      <c r="T172" s="20">
        <f t="shared" ref="T172:T173" si="50">S172/N172*100</f>
        <v>99.947943779281616</v>
      </c>
      <c r="U172" s="43">
        <f t="shared" si="42"/>
        <v>4000</v>
      </c>
      <c r="V172" s="42">
        <f t="shared" si="41"/>
        <v>2000</v>
      </c>
      <c r="W172" s="22">
        <f t="shared" si="40"/>
        <v>8.3289953149401352</v>
      </c>
      <c r="X172" s="22">
        <f t="shared" si="47"/>
        <v>8.3289953149401352</v>
      </c>
      <c r="Z172" s="65">
        <f t="shared" si="43"/>
        <v>8.3289953149401352</v>
      </c>
    </row>
    <row r="173" spans="1:26" x14ac:dyDescent="0.25">
      <c r="A173" s="24"/>
      <c r="B173" s="75"/>
      <c r="C173" s="89"/>
      <c r="D173" s="26"/>
      <c r="E173" s="26"/>
      <c r="F173" s="26"/>
      <c r="G173" s="27"/>
      <c r="H173" s="27"/>
      <c r="I173" s="26"/>
      <c r="J173" s="64"/>
      <c r="K173" s="28" t="s">
        <v>161</v>
      </c>
      <c r="L173" s="66">
        <v>7800000</v>
      </c>
      <c r="M173" s="66">
        <v>0</v>
      </c>
      <c r="N173" s="67">
        <v>7684000</v>
      </c>
      <c r="O173" s="30"/>
      <c r="P173" s="30"/>
      <c r="Q173" s="68">
        <v>640000</v>
      </c>
      <c r="R173" s="29">
        <v>7040000</v>
      </c>
      <c r="S173" s="29">
        <f>Q173+R173</f>
        <v>7680000</v>
      </c>
      <c r="T173" s="20">
        <f t="shared" si="50"/>
        <v>99.947943779281616</v>
      </c>
      <c r="U173" s="43">
        <f t="shared" si="42"/>
        <v>4000</v>
      </c>
      <c r="V173" s="42">
        <f t="shared" si="41"/>
        <v>2000</v>
      </c>
      <c r="W173" s="22">
        <f t="shared" si="40"/>
        <v>8.3289953149401352</v>
      </c>
      <c r="X173" s="22">
        <f t="shared" si="47"/>
        <v>8.3289953149401352</v>
      </c>
      <c r="Z173" s="22">
        <f t="shared" si="43"/>
        <v>8.3289953149401352</v>
      </c>
    </row>
    <row r="174" spans="1:26" x14ac:dyDescent="0.25">
      <c r="A174" s="24"/>
      <c r="B174" s="75"/>
      <c r="C174" s="89"/>
      <c r="D174" s="26"/>
      <c r="E174" s="26"/>
      <c r="F174" s="26"/>
      <c r="G174" s="27"/>
      <c r="H174" s="27"/>
      <c r="I174" s="26"/>
      <c r="J174" s="64"/>
      <c r="K174" s="28"/>
      <c r="L174" s="66"/>
      <c r="M174" s="66"/>
      <c r="N174" s="67"/>
      <c r="O174" s="30"/>
      <c r="P174" s="30"/>
      <c r="Q174" s="68"/>
      <c r="R174" s="29"/>
      <c r="S174" s="29"/>
      <c r="T174" s="32"/>
      <c r="U174" s="43"/>
      <c r="V174" s="42">
        <f t="shared" si="41"/>
        <v>0</v>
      </c>
      <c r="W174" s="22"/>
      <c r="X174" s="22"/>
      <c r="Z174" s="22" t="e">
        <f t="shared" si="43"/>
        <v>#DIV/0!</v>
      </c>
    </row>
    <row r="175" spans="1:26" x14ac:dyDescent="0.25">
      <c r="A175" s="142"/>
      <c r="B175" s="143"/>
      <c r="C175" s="144"/>
      <c r="D175" s="60" t="s">
        <v>162</v>
      </c>
      <c r="E175" s="61"/>
      <c r="F175" s="61"/>
      <c r="G175" s="61"/>
      <c r="H175" s="62"/>
      <c r="I175" s="63"/>
      <c r="J175" s="90"/>
      <c r="K175" s="74" t="s">
        <v>163</v>
      </c>
      <c r="L175" s="30">
        <f>L176+L177+L178</f>
        <v>80500000</v>
      </c>
      <c r="M175" s="30">
        <f>M176+M177+M178</f>
        <v>60000000</v>
      </c>
      <c r="N175" s="31">
        <f>N176+N177+N178+N179</f>
        <v>49850000</v>
      </c>
      <c r="O175" s="66"/>
      <c r="P175" s="66"/>
      <c r="Q175" s="31">
        <f>Q176+Q177+Q178+Q179</f>
        <v>2200000</v>
      </c>
      <c r="R175" s="31">
        <v>47650000</v>
      </c>
      <c r="S175" s="31">
        <f>S176+S177+S178+S179</f>
        <v>49850000</v>
      </c>
      <c r="T175" s="20">
        <f t="shared" ref="T175:T178" si="51">S175/N175*100</f>
        <v>100</v>
      </c>
      <c r="U175" s="52">
        <f>N175-S175</f>
        <v>0</v>
      </c>
      <c r="V175" s="42">
        <f t="shared" si="41"/>
        <v>0</v>
      </c>
      <c r="W175" s="22">
        <f t="shared" si="40"/>
        <v>4.4132397191574722</v>
      </c>
      <c r="X175" s="22">
        <f t="shared" si="47"/>
        <v>4.4132397191574722</v>
      </c>
      <c r="Z175" s="22">
        <f t="shared" si="43"/>
        <v>4.4132397191574722</v>
      </c>
    </row>
    <row r="176" spans="1:26" ht="31.5" x14ac:dyDescent="0.25">
      <c r="A176" s="24"/>
      <c r="B176" s="75"/>
      <c r="C176" s="89"/>
      <c r="D176" s="26"/>
      <c r="E176" s="26"/>
      <c r="F176" s="26"/>
      <c r="G176" s="27"/>
      <c r="H176" s="27"/>
      <c r="I176" s="26"/>
      <c r="J176" s="64"/>
      <c r="K176" s="138" t="s">
        <v>164</v>
      </c>
      <c r="L176" s="66">
        <v>54500000</v>
      </c>
      <c r="M176" s="66">
        <v>50000000</v>
      </c>
      <c r="N176" s="67">
        <f t="shared" si="39"/>
        <v>4500000</v>
      </c>
      <c r="O176" s="66"/>
      <c r="P176" s="66"/>
      <c r="Q176" s="66">
        <v>0</v>
      </c>
      <c r="R176" s="66">
        <v>4500000</v>
      </c>
      <c r="S176" s="66">
        <f>Q176+R176</f>
        <v>4500000</v>
      </c>
      <c r="T176" s="20">
        <f t="shared" si="51"/>
        <v>100</v>
      </c>
      <c r="U176" s="52">
        <f t="shared" ref="U176:U179" si="52">N176-S176</f>
        <v>0</v>
      </c>
      <c r="V176" s="42">
        <f t="shared" si="41"/>
        <v>0</v>
      </c>
      <c r="W176" s="22">
        <f t="shared" si="40"/>
        <v>0</v>
      </c>
      <c r="X176" s="22">
        <f t="shared" si="47"/>
        <v>0</v>
      </c>
      <c r="Z176" s="65">
        <f t="shared" si="43"/>
        <v>0</v>
      </c>
    </row>
    <row r="177" spans="1:26" x14ac:dyDescent="0.25">
      <c r="A177" s="24"/>
      <c r="B177" s="75"/>
      <c r="C177" s="89"/>
      <c r="D177" s="26"/>
      <c r="E177" s="26"/>
      <c r="F177" s="26"/>
      <c r="G177" s="27"/>
      <c r="H177" s="27"/>
      <c r="I177" s="26"/>
      <c r="J177" s="64"/>
      <c r="K177" s="28" t="s">
        <v>165</v>
      </c>
      <c r="L177" s="66">
        <v>6800000</v>
      </c>
      <c r="M177" s="66">
        <v>3850000</v>
      </c>
      <c r="N177" s="67">
        <v>2900000</v>
      </c>
      <c r="O177" s="30"/>
      <c r="P177" s="30"/>
      <c r="Q177" s="68">
        <v>0</v>
      </c>
      <c r="R177" s="68">
        <v>2900000</v>
      </c>
      <c r="S177" s="68">
        <f>Q177+R177</f>
        <v>2900000</v>
      </c>
      <c r="T177" s="20">
        <f t="shared" si="51"/>
        <v>100</v>
      </c>
      <c r="U177" s="52">
        <f t="shared" si="52"/>
        <v>0</v>
      </c>
      <c r="V177" s="42">
        <f t="shared" si="41"/>
        <v>0</v>
      </c>
      <c r="W177" s="22">
        <f t="shared" si="40"/>
        <v>0</v>
      </c>
      <c r="X177" s="22">
        <f t="shared" si="47"/>
        <v>0</v>
      </c>
      <c r="Z177" s="65">
        <f t="shared" si="43"/>
        <v>0</v>
      </c>
    </row>
    <row r="178" spans="1:26" x14ac:dyDescent="0.25">
      <c r="A178" s="24"/>
      <c r="B178" s="75"/>
      <c r="C178" s="89"/>
      <c r="D178" s="26"/>
      <c r="E178" s="26"/>
      <c r="F178" s="26"/>
      <c r="G178" s="27"/>
      <c r="H178" s="27"/>
      <c r="I178" s="26"/>
      <c r="J178" s="64"/>
      <c r="K178" s="28" t="s">
        <v>166</v>
      </c>
      <c r="L178" s="66">
        <v>19200000</v>
      </c>
      <c r="M178" s="66">
        <v>6150000</v>
      </c>
      <c r="N178" s="67">
        <f t="shared" si="39"/>
        <v>13050000</v>
      </c>
      <c r="O178" s="66"/>
      <c r="P178" s="66"/>
      <c r="Q178" s="68">
        <v>0</v>
      </c>
      <c r="R178" s="68">
        <v>13050000</v>
      </c>
      <c r="S178" s="68">
        <f t="shared" si="45"/>
        <v>13050000</v>
      </c>
      <c r="T178" s="20">
        <f t="shared" si="51"/>
        <v>100</v>
      </c>
      <c r="U178" s="52">
        <f t="shared" si="52"/>
        <v>0</v>
      </c>
      <c r="V178" s="42">
        <f t="shared" si="41"/>
        <v>0</v>
      </c>
      <c r="W178" s="22">
        <f t="shared" si="40"/>
        <v>0</v>
      </c>
      <c r="X178" s="22">
        <f t="shared" si="47"/>
        <v>0</v>
      </c>
      <c r="Z178" s="65">
        <f t="shared" si="43"/>
        <v>0</v>
      </c>
    </row>
    <row r="179" spans="1:26" x14ac:dyDescent="0.25">
      <c r="A179" s="24"/>
      <c r="B179" s="75"/>
      <c r="C179" s="89"/>
      <c r="D179" s="26"/>
      <c r="E179" s="26"/>
      <c r="F179" s="26"/>
      <c r="G179" s="27"/>
      <c r="H179" s="27"/>
      <c r="I179" s="26"/>
      <c r="J179" s="64"/>
      <c r="K179" s="28" t="s">
        <v>167</v>
      </c>
      <c r="L179" s="66"/>
      <c r="M179" s="66"/>
      <c r="N179" s="67">
        <v>29400000</v>
      </c>
      <c r="O179" s="66"/>
      <c r="P179" s="66"/>
      <c r="Q179" s="68">
        <v>2200000</v>
      </c>
      <c r="R179" s="29">
        <v>27200000</v>
      </c>
      <c r="S179" s="68">
        <f t="shared" si="45"/>
        <v>29400000</v>
      </c>
      <c r="T179" s="32"/>
      <c r="U179" s="52">
        <f t="shared" si="52"/>
        <v>0</v>
      </c>
      <c r="V179" s="42">
        <f t="shared" si="41"/>
        <v>0</v>
      </c>
      <c r="W179" s="22">
        <f t="shared" si="40"/>
        <v>7.4829931972789119</v>
      </c>
      <c r="X179" s="22">
        <f t="shared" si="47"/>
        <v>7.4829931972789119</v>
      </c>
      <c r="Z179" s="22">
        <f t="shared" si="43"/>
        <v>7.4829931972789119</v>
      </c>
    </row>
    <row r="180" spans="1:26" x14ac:dyDescent="0.25">
      <c r="A180" s="145"/>
      <c r="B180" s="146"/>
      <c r="C180" s="147"/>
      <c r="D180" s="148"/>
      <c r="E180" s="148"/>
      <c r="F180" s="148"/>
      <c r="G180" s="149"/>
      <c r="H180" s="149"/>
      <c r="I180" s="148"/>
      <c r="J180" s="150"/>
      <c r="K180" s="151"/>
      <c r="L180" s="152">
        <f>L12+L142</f>
        <v>2522690000</v>
      </c>
      <c r="M180" s="152">
        <f>M12+M142</f>
        <v>749800000</v>
      </c>
      <c r="N180" s="152">
        <f>N142+N12</f>
        <v>1811994000</v>
      </c>
      <c r="O180" s="153"/>
      <c r="P180" s="153"/>
      <c r="Q180" s="152">
        <f>Q12+Q142</f>
        <v>140698923</v>
      </c>
      <c r="R180" s="152">
        <f>R12+R142</f>
        <v>1653490390</v>
      </c>
      <c r="S180" s="152">
        <f>S12+S142</f>
        <v>1794189313</v>
      </c>
      <c r="T180" s="154">
        <f>S180/N180*100</f>
        <v>99.017398126042352</v>
      </c>
      <c r="U180" s="152">
        <f>N180-S180</f>
        <v>17804687</v>
      </c>
      <c r="V180" s="42">
        <f t="shared" si="41"/>
        <v>8902343.5</v>
      </c>
      <c r="W180" s="22">
        <f t="shared" si="40"/>
        <v>7.7648669366454852</v>
      </c>
      <c r="X180" s="22">
        <f t="shared" si="47"/>
        <v>7.7648669366454852</v>
      </c>
    </row>
    <row r="181" spans="1:26" x14ac:dyDescent="0.25">
      <c r="A181" s="155"/>
      <c r="B181" s="156"/>
      <c r="C181" s="157"/>
      <c r="D181" s="158"/>
      <c r="E181" s="158"/>
      <c r="F181" s="158"/>
      <c r="G181" s="159"/>
      <c r="H181" s="159"/>
      <c r="I181" s="158"/>
      <c r="J181" s="160"/>
      <c r="K181" s="161"/>
      <c r="L181" s="162"/>
      <c r="M181" s="162"/>
      <c r="N181" s="162"/>
      <c r="O181" s="163"/>
      <c r="P181" s="163"/>
      <c r="Q181" s="162"/>
      <c r="R181" s="164"/>
      <c r="S181" s="165"/>
      <c r="T181" s="166"/>
      <c r="W181" s="166"/>
      <c r="X181" s="166"/>
    </row>
    <row r="182" spans="1:26" x14ac:dyDescent="0.25">
      <c r="A182" s="167"/>
      <c r="B182" s="167"/>
      <c r="C182" s="168"/>
      <c r="D182" s="169"/>
      <c r="E182" s="169"/>
      <c r="F182" s="169"/>
      <c r="G182" s="170"/>
      <c r="H182" s="170"/>
      <c r="I182" s="169"/>
      <c r="J182" s="171"/>
      <c r="K182" s="171"/>
      <c r="L182" s="172"/>
      <c r="M182" s="172"/>
      <c r="N182" s="172"/>
      <c r="O182" s="162"/>
      <c r="P182" s="162"/>
      <c r="Q182" s="173"/>
      <c r="R182" s="174"/>
      <c r="S182" s="173"/>
      <c r="T182" s="175"/>
      <c r="W182" s="175"/>
      <c r="X182" s="175"/>
    </row>
    <row r="183" spans="1:26" x14ac:dyDescent="0.25">
      <c r="A183" s="167"/>
      <c r="B183" s="167"/>
      <c r="C183" s="168"/>
      <c r="D183" s="169"/>
      <c r="E183" s="169"/>
      <c r="F183" s="169"/>
      <c r="G183" s="170"/>
      <c r="H183" s="170"/>
      <c r="I183" s="169"/>
      <c r="J183" s="171"/>
      <c r="K183" s="171"/>
      <c r="L183" s="172"/>
      <c r="M183" s="172"/>
      <c r="N183" s="172"/>
      <c r="O183" s="162"/>
      <c r="P183" s="162"/>
      <c r="Q183" s="173"/>
      <c r="R183" s="174"/>
      <c r="S183" s="173"/>
      <c r="T183" s="175"/>
      <c r="W183" s="175"/>
      <c r="X183" s="175"/>
    </row>
    <row r="184" spans="1:26" x14ac:dyDescent="0.25">
      <c r="A184" s="497"/>
      <c r="B184" s="497"/>
      <c r="C184" s="497"/>
      <c r="D184" s="497"/>
      <c r="E184" s="497"/>
      <c r="F184" s="497"/>
      <c r="G184" s="497"/>
      <c r="H184" s="497"/>
      <c r="I184" s="497"/>
      <c r="J184" s="497"/>
      <c r="K184" s="176"/>
      <c r="L184" s="176"/>
      <c r="M184" s="177"/>
      <c r="N184" s="177"/>
      <c r="O184" s="162"/>
      <c r="P184" s="162"/>
      <c r="Q184" s="178"/>
      <c r="R184" s="179"/>
      <c r="S184" s="179"/>
      <c r="T184" s="180"/>
      <c r="W184" s="180"/>
      <c r="X184" s="180"/>
    </row>
    <row r="185" spans="1:26" x14ac:dyDescent="0.25">
      <c r="A185" s="176"/>
      <c r="B185" s="176"/>
      <c r="C185" s="176"/>
      <c r="D185" s="495" t="s">
        <v>168</v>
      </c>
      <c r="E185" s="495"/>
      <c r="F185" s="495"/>
      <c r="G185" s="495"/>
      <c r="H185" s="495"/>
      <c r="I185" s="495"/>
      <c r="J185" s="495"/>
      <c r="K185" s="495"/>
      <c r="L185" s="495"/>
      <c r="M185" s="177"/>
      <c r="N185" s="177"/>
      <c r="O185" s="163"/>
      <c r="P185" s="163"/>
      <c r="Q185" s="181"/>
      <c r="R185" s="498"/>
      <c r="S185" s="498"/>
      <c r="T185" s="498"/>
    </row>
    <row r="186" spans="1:26" x14ac:dyDescent="0.25">
      <c r="A186" s="495" t="s">
        <v>169</v>
      </c>
      <c r="B186" s="495"/>
      <c r="C186" s="495"/>
      <c r="D186" s="495"/>
      <c r="E186" s="495"/>
      <c r="F186" s="495"/>
      <c r="G186" s="495"/>
      <c r="H186" s="495"/>
      <c r="I186" s="495"/>
      <c r="J186" s="495"/>
      <c r="K186" s="177" t="s">
        <v>170</v>
      </c>
      <c r="L186" s="176"/>
      <c r="N186" s="496" t="s">
        <v>171</v>
      </c>
      <c r="O186" s="496"/>
      <c r="P186" s="496"/>
      <c r="Q186" s="496"/>
      <c r="R186" s="496" t="s">
        <v>172</v>
      </c>
      <c r="S186" s="496"/>
      <c r="T186" s="496"/>
      <c r="U186" s="496"/>
      <c r="W186" s="182"/>
      <c r="X186" s="182"/>
    </row>
    <row r="187" spans="1:26" x14ac:dyDescent="0.25">
      <c r="A187" s="177"/>
      <c r="B187" s="177"/>
      <c r="C187" s="177"/>
      <c r="D187" s="495" t="s">
        <v>173</v>
      </c>
      <c r="E187" s="495"/>
      <c r="F187" s="495"/>
      <c r="G187" s="495"/>
      <c r="H187" s="495"/>
      <c r="I187" s="495"/>
      <c r="J187" s="495"/>
      <c r="K187" s="177" t="s">
        <v>174</v>
      </c>
      <c r="L187" s="176"/>
      <c r="N187" s="496" t="s">
        <v>174</v>
      </c>
      <c r="O187" s="496"/>
      <c r="P187" s="496"/>
      <c r="Q187" s="496"/>
      <c r="R187" s="495" t="s">
        <v>175</v>
      </c>
      <c r="S187" s="495"/>
      <c r="T187" s="495"/>
      <c r="U187" s="495"/>
      <c r="W187" s="176"/>
      <c r="X187" s="176"/>
    </row>
    <row r="188" spans="1:26" x14ac:dyDescent="0.25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N188" s="183"/>
      <c r="O188" s="184"/>
      <c r="P188" s="184"/>
      <c r="Q188" s="184"/>
      <c r="R188" s="185"/>
      <c r="S188" s="185"/>
      <c r="T188" s="185"/>
      <c r="W188" s="185"/>
      <c r="X188" s="185"/>
    </row>
    <row r="189" spans="1:26" x14ac:dyDescent="0.25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N189" s="183"/>
      <c r="O189" s="184"/>
      <c r="P189" s="184"/>
      <c r="Q189" s="184"/>
      <c r="R189" s="185"/>
      <c r="S189" s="185"/>
      <c r="T189" s="185"/>
      <c r="W189" s="185"/>
      <c r="X189" s="185"/>
    </row>
    <row r="190" spans="1:26" x14ac:dyDescent="0.25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7"/>
      <c r="L190" s="177"/>
      <c r="N190" s="164"/>
      <c r="O190" s="186"/>
      <c r="P190" s="186"/>
      <c r="Q190" s="186"/>
      <c r="R190" s="185"/>
      <c r="S190" s="185"/>
      <c r="T190" s="185"/>
      <c r="W190" s="185"/>
      <c r="X190" s="185"/>
    </row>
    <row r="191" spans="1:26" x14ac:dyDescent="0.25">
      <c r="A191" s="499"/>
      <c r="B191" s="499"/>
      <c r="C191" s="499"/>
      <c r="D191" s="499"/>
      <c r="E191" s="499"/>
      <c r="F191" s="499"/>
      <c r="G191" s="499"/>
      <c r="H191" s="499"/>
      <c r="I191" s="499"/>
      <c r="J191" s="499"/>
      <c r="K191" s="177"/>
      <c r="L191" s="176"/>
      <c r="N191" s="183"/>
      <c r="O191" s="187"/>
      <c r="P191" s="186"/>
      <c r="Q191" s="186"/>
      <c r="R191" s="186"/>
      <c r="S191" s="186"/>
      <c r="T191" s="186"/>
      <c r="W191" s="186"/>
      <c r="X191" s="186"/>
    </row>
    <row r="192" spans="1:26" x14ac:dyDescent="0.25">
      <c r="A192" s="499" t="s">
        <v>176</v>
      </c>
      <c r="B192" s="499"/>
      <c r="C192" s="499"/>
      <c r="D192" s="499"/>
      <c r="E192" s="499"/>
      <c r="F192" s="499"/>
      <c r="G192" s="499"/>
      <c r="H192" s="499"/>
      <c r="I192" s="499"/>
      <c r="J192" s="499"/>
      <c r="K192" s="188" t="s">
        <v>177</v>
      </c>
      <c r="L192" s="189"/>
      <c r="N192" s="500" t="s">
        <v>178</v>
      </c>
      <c r="O192" s="500"/>
      <c r="P192" s="500"/>
      <c r="Q192" s="500"/>
      <c r="R192" s="501" t="s">
        <v>179</v>
      </c>
      <c r="S192" s="501"/>
      <c r="T192" s="501"/>
      <c r="U192" s="501"/>
    </row>
    <row r="193" spans="1:24" x14ac:dyDescent="0.25">
      <c r="A193" s="502" t="s">
        <v>180</v>
      </c>
      <c r="B193" s="502"/>
      <c r="C193" s="502"/>
      <c r="D193" s="502"/>
      <c r="E193" s="502"/>
      <c r="F193" s="502"/>
      <c r="G193" s="502"/>
      <c r="H193" s="502"/>
      <c r="I193" s="502"/>
      <c r="J193" s="502"/>
      <c r="K193" s="177" t="s">
        <v>181</v>
      </c>
      <c r="L193" s="176"/>
      <c r="N193" s="503" t="s">
        <v>182</v>
      </c>
      <c r="O193" s="503"/>
      <c r="P193" s="503"/>
      <c r="Q193" s="503"/>
      <c r="R193" s="504" t="s">
        <v>183</v>
      </c>
      <c r="S193" s="504"/>
      <c r="T193" s="504"/>
      <c r="U193" s="504"/>
    </row>
    <row r="194" spans="1:24" x14ac:dyDescent="0.25">
      <c r="A194" s="190"/>
      <c r="B194" s="190"/>
      <c r="C194" s="190"/>
      <c r="D194" s="495"/>
      <c r="E194" s="495"/>
      <c r="F194" s="495"/>
      <c r="G194" s="495"/>
      <c r="H194" s="495"/>
      <c r="I194" s="190"/>
      <c r="J194" s="190"/>
      <c r="K194" s="190"/>
      <c r="L194" s="190"/>
      <c r="M194" s="190"/>
      <c r="N194" s="190"/>
      <c r="O194" s="163"/>
      <c r="P194" s="163"/>
      <c r="Q194" s="191"/>
      <c r="R194" s="191"/>
      <c r="S194" s="191"/>
      <c r="T194" s="191"/>
      <c r="W194" s="191"/>
      <c r="X194" s="191"/>
    </row>
    <row r="195" spans="1:24" x14ac:dyDescent="0.25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63"/>
      <c r="P195" s="163"/>
      <c r="Q195" s="191"/>
      <c r="R195" s="191"/>
      <c r="S195" s="191"/>
      <c r="T195" s="191"/>
      <c r="W195" s="191"/>
      <c r="X195" s="191"/>
    </row>
    <row r="196" spans="1:24" x14ac:dyDescent="0.25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62"/>
      <c r="P196" s="162"/>
      <c r="Q196" s="191"/>
      <c r="R196" s="191"/>
      <c r="S196" s="191"/>
      <c r="T196" s="191"/>
      <c r="W196" s="191"/>
      <c r="X196" s="191"/>
    </row>
    <row r="197" spans="1:24" x14ac:dyDescent="0.25">
      <c r="A197" s="190"/>
      <c r="B197" s="190"/>
      <c r="C197" s="190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90"/>
      <c r="O197" s="163"/>
      <c r="P197" s="163"/>
      <c r="Q197" s="191"/>
      <c r="R197" s="191"/>
      <c r="S197" s="191"/>
      <c r="T197" s="191"/>
      <c r="W197" s="191"/>
      <c r="X197" s="191"/>
    </row>
    <row r="198" spans="1:24" x14ac:dyDescent="0.25">
      <c r="A198" s="190"/>
      <c r="B198" s="190"/>
      <c r="C198" s="190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0"/>
      <c r="O198" s="163"/>
      <c r="P198" s="163"/>
      <c r="Q198" s="191"/>
      <c r="R198" s="191"/>
      <c r="S198" s="191"/>
      <c r="T198" s="191"/>
      <c r="W198" s="191"/>
      <c r="X198" s="191"/>
    </row>
    <row r="199" spans="1:24" x14ac:dyDescent="0.25">
      <c r="A199" s="190"/>
      <c r="B199" s="190"/>
      <c r="C199" s="190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90"/>
      <c r="O199" s="163"/>
      <c r="P199" s="163"/>
      <c r="Q199" s="191"/>
      <c r="R199" s="191"/>
      <c r="S199" s="191"/>
      <c r="T199" s="191"/>
      <c r="U199" s="1"/>
      <c r="W199" s="191"/>
      <c r="X199" s="191"/>
    </row>
    <row r="200" spans="1:24" x14ac:dyDescent="0.25">
      <c r="A200" s="190"/>
      <c r="B200" s="190"/>
      <c r="C200" s="190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90"/>
      <c r="O200" s="162"/>
      <c r="P200" s="162"/>
      <c r="Q200" s="191"/>
      <c r="R200" s="191"/>
      <c r="S200" s="191"/>
      <c r="T200" s="191"/>
      <c r="U200" s="1"/>
      <c r="W200" s="191"/>
      <c r="X200" s="191"/>
    </row>
    <row r="201" spans="1:24" x14ac:dyDescent="0.25">
      <c r="A201" s="190"/>
      <c r="B201" s="190"/>
      <c r="C201" s="190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90"/>
      <c r="O201" s="163"/>
      <c r="P201" s="163"/>
      <c r="Q201" s="191"/>
      <c r="R201" s="191"/>
      <c r="S201" s="191"/>
      <c r="T201" s="191"/>
      <c r="U201" s="1"/>
      <c r="W201" s="191"/>
      <c r="X201" s="191"/>
    </row>
    <row r="202" spans="1:24" x14ac:dyDescent="0.25">
      <c r="A202" s="190"/>
      <c r="B202" s="190"/>
      <c r="C202" s="190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90"/>
      <c r="O202" s="163"/>
      <c r="P202" s="163"/>
      <c r="Q202" s="191"/>
      <c r="R202" s="191"/>
      <c r="S202" s="191"/>
      <c r="T202" s="191"/>
      <c r="U202" s="1"/>
      <c r="W202" s="191"/>
      <c r="X202" s="191"/>
    </row>
    <row r="203" spans="1:24" x14ac:dyDescent="0.25">
      <c r="A203" s="190"/>
      <c r="B203" s="190"/>
      <c r="C203" s="190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90"/>
      <c r="O203" s="162"/>
      <c r="P203" s="162"/>
      <c r="Q203" s="191"/>
      <c r="R203" s="191"/>
      <c r="S203" s="191"/>
      <c r="T203" s="191"/>
      <c r="U203" s="1"/>
      <c r="W203" s="191"/>
      <c r="X203" s="191"/>
    </row>
    <row r="204" spans="1:24" x14ac:dyDescent="0.25">
      <c r="A204" s="190"/>
      <c r="B204" s="190"/>
      <c r="C204" s="190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90"/>
      <c r="O204" s="172"/>
      <c r="P204" s="172"/>
      <c r="Q204" s="191"/>
      <c r="R204" s="191"/>
      <c r="S204" s="191"/>
      <c r="T204" s="191"/>
      <c r="U204" s="1"/>
      <c r="W204" s="191"/>
      <c r="X204" s="191"/>
    </row>
    <row r="205" spans="1:24" x14ac:dyDescent="0.25">
      <c r="A205" s="193"/>
      <c r="B205" s="193"/>
      <c r="C205" s="193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O205" s="194"/>
      <c r="P205" s="194"/>
      <c r="Q205" s="195"/>
      <c r="R205" s="195"/>
      <c r="S205" s="195"/>
      <c r="T205" s="195"/>
      <c r="U205" s="1"/>
      <c r="W205" s="195"/>
      <c r="X205" s="195"/>
    </row>
    <row r="206" spans="1:24" x14ac:dyDescent="0.25"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O206" s="177"/>
      <c r="P206" s="177"/>
      <c r="Q206" s="195"/>
      <c r="R206" s="195"/>
      <c r="S206" s="195"/>
      <c r="T206" s="195"/>
      <c r="U206" s="1"/>
      <c r="W206" s="195"/>
      <c r="X206" s="195"/>
    </row>
    <row r="207" spans="1:24" x14ac:dyDescent="0.25">
      <c r="O207" s="177"/>
      <c r="P207" s="177"/>
      <c r="Q207" s="195"/>
      <c r="R207" s="195"/>
      <c r="S207" s="195"/>
      <c r="T207" s="195"/>
      <c r="U207" s="1"/>
      <c r="W207" s="195"/>
      <c r="X207" s="195"/>
    </row>
    <row r="208" spans="1:24" x14ac:dyDescent="0.25">
      <c r="O208" s="177"/>
      <c r="P208" s="177"/>
      <c r="Q208" s="195"/>
      <c r="R208" s="195"/>
      <c r="S208" s="195"/>
      <c r="T208" s="195"/>
      <c r="U208" s="1"/>
      <c r="W208" s="195"/>
      <c r="X208" s="195"/>
    </row>
    <row r="209" spans="15:24" x14ac:dyDescent="0.25">
      <c r="O209" s="177"/>
      <c r="P209" s="177"/>
      <c r="Q209" s="195"/>
      <c r="R209" s="195"/>
      <c r="S209" s="195"/>
      <c r="T209" s="195"/>
      <c r="U209" s="1"/>
      <c r="W209" s="195"/>
      <c r="X209" s="195"/>
    </row>
    <row r="210" spans="15:24" x14ac:dyDescent="0.25">
      <c r="O210" s="177"/>
      <c r="P210" s="177"/>
      <c r="Q210" s="195"/>
      <c r="R210" s="195"/>
      <c r="S210" s="195"/>
      <c r="T210" s="195"/>
      <c r="U210" s="1"/>
      <c r="W210" s="195"/>
      <c r="X210" s="195"/>
    </row>
    <row r="211" spans="15:24" x14ac:dyDescent="0.25">
      <c r="O211" s="177"/>
      <c r="P211" s="177"/>
      <c r="Q211" s="195"/>
      <c r="R211" s="195"/>
      <c r="S211" s="195"/>
      <c r="T211" s="195"/>
      <c r="U211" s="1"/>
      <c r="W211" s="195"/>
      <c r="X211" s="195"/>
    </row>
    <row r="212" spans="15:24" x14ac:dyDescent="0.25">
      <c r="O212" s="188"/>
      <c r="P212" s="188"/>
      <c r="Q212" s="195"/>
      <c r="R212" s="195"/>
      <c r="S212" s="195"/>
      <c r="T212" s="195"/>
      <c r="U212" s="1"/>
      <c r="W212" s="195"/>
      <c r="X212" s="195"/>
    </row>
    <row r="213" spans="15:24" x14ac:dyDescent="0.25">
      <c r="O213" s="177"/>
      <c r="P213" s="177"/>
      <c r="Q213" s="195"/>
      <c r="R213" s="195"/>
      <c r="S213" s="195"/>
      <c r="T213" s="195"/>
      <c r="U213" s="1"/>
      <c r="W213" s="195"/>
      <c r="X213" s="195"/>
    </row>
    <row r="214" spans="15:24" x14ac:dyDescent="0.25">
      <c r="O214" s="190"/>
      <c r="P214" s="190"/>
      <c r="Q214" s="195"/>
      <c r="R214" s="195"/>
      <c r="S214" s="195"/>
      <c r="T214" s="195"/>
      <c r="U214" s="1"/>
      <c r="W214" s="195"/>
      <c r="X214" s="195"/>
    </row>
    <row r="215" spans="15:24" x14ac:dyDescent="0.25">
      <c r="O215" s="190"/>
      <c r="P215" s="190"/>
      <c r="Q215" s="195"/>
      <c r="R215" s="195"/>
      <c r="S215" s="195"/>
      <c r="T215" s="195"/>
      <c r="U215" s="1"/>
      <c r="W215" s="195"/>
      <c r="X215" s="195"/>
    </row>
    <row r="216" spans="15:24" x14ac:dyDescent="0.25">
      <c r="O216" s="190"/>
      <c r="P216" s="190"/>
      <c r="Q216" s="195"/>
      <c r="R216" s="195"/>
      <c r="S216" s="195"/>
      <c r="T216" s="195"/>
      <c r="U216" s="1"/>
      <c r="W216" s="195"/>
      <c r="X216" s="195"/>
    </row>
    <row r="217" spans="15:24" x14ac:dyDescent="0.25">
      <c r="O217" s="190"/>
      <c r="P217" s="190"/>
      <c r="Q217" s="195"/>
      <c r="R217" s="195"/>
      <c r="S217" s="195"/>
      <c r="T217" s="195"/>
      <c r="U217" s="1"/>
      <c r="W217" s="195"/>
      <c r="X217" s="195"/>
    </row>
    <row r="218" spans="15:24" x14ac:dyDescent="0.25">
      <c r="O218" s="190"/>
      <c r="P218" s="190"/>
      <c r="Q218" s="195"/>
      <c r="R218" s="195"/>
      <c r="S218" s="195"/>
      <c r="T218" s="195"/>
      <c r="U218" s="1"/>
      <c r="W218" s="195"/>
      <c r="X218" s="195"/>
    </row>
    <row r="219" spans="15:24" x14ac:dyDescent="0.25">
      <c r="O219" s="190"/>
      <c r="P219" s="190"/>
      <c r="Q219" s="195"/>
      <c r="R219" s="195"/>
      <c r="S219" s="195"/>
      <c r="T219" s="195"/>
      <c r="U219" s="1"/>
      <c r="W219" s="195"/>
      <c r="X219" s="195"/>
    </row>
    <row r="220" spans="15:24" x14ac:dyDescent="0.25">
      <c r="O220" s="190"/>
      <c r="P220" s="190"/>
      <c r="Q220" s="195"/>
      <c r="R220" s="195"/>
      <c r="S220" s="195"/>
      <c r="T220" s="195"/>
      <c r="U220" s="1"/>
      <c r="W220" s="195"/>
      <c r="X220" s="195"/>
    </row>
    <row r="221" spans="15:24" x14ac:dyDescent="0.25">
      <c r="O221" s="190"/>
      <c r="P221" s="190"/>
      <c r="Q221" s="195"/>
      <c r="R221" s="195"/>
      <c r="S221" s="195"/>
      <c r="T221" s="195"/>
      <c r="U221" s="1"/>
      <c r="W221" s="195"/>
      <c r="X221" s="195"/>
    </row>
    <row r="222" spans="15:24" x14ac:dyDescent="0.25">
      <c r="O222" s="190"/>
      <c r="P222" s="190"/>
      <c r="Q222" s="195"/>
      <c r="R222" s="195"/>
      <c r="S222" s="195"/>
      <c r="T222" s="195"/>
      <c r="U222" s="1"/>
      <c r="W222" s="195"/>
      <c r="X222" s="195"/>
    </row>
    <row r="223" spans="15:24" x14ac:dyDescent="0.25">
      <c r="O223" s="190"/>
      <c r="P223" s="190"/>
      <c r="Q223" s="195"/>
      <c r="R223" s="195"/>
      <c r="S223" s="195"/>
      <c r="T223" s="195"/>
      <c r="U223" s="1"/>
      <c r="W223" s="195"/>
      <c r="X223" s="195"/>
    </row>
    <row r="224" spans="15:24" x14ac:dyDescent="0.25">
      <c r="O224" s="190"/>
      <c r="P224" s="190"/>
      <c r="Q224" s="195"/>
      <c r="R224" s="195"/>
      <c r="S224" s="195"/>
      <c r="T224" s="195"/>
      <c r="U224" s="1"/>
      <c r="W224" s="195"/>
      <c r="X224" s="195"/>
    </row>
    <row r="225" spans="15:24" x14ac:dyDescent="0.25">
      <c r="O225" s="190"/>
      <c r="P225" s="190"/>
      <c r="Q225" s="195"/>
      <c r="R225" s="195"/>
      <c r="S225" s="195"/>
      <c r="T225" s="195"/>
      <c r="U225" s="1"/>
      <c r="W225" s="195"/>
      <c r="X225" s="195"/>
    </row>
    <row r="226" spans="15:24" x14ac:dyDescent="0.25">
      <c r="Q226" s="195"/>
      <c r="R226" s="195"/>
      <c r="S226" s="195"/>
      <c r="T226" s="195"/>
      <c r="U226" s="1"/>
      <c r="W226" s="195"/>
      <c r="X226" s="195"/>
    </row>
    <row r="227" spans="15:24" x14ac:dyDescent="0.25">
      <c r="Q227" s="195"/>
      <c r="R227" s="195"/>
      <c r="S227" s="195"/>
      <c r="T227" s="195"/>
      <c r="U227" s="1"/>
      <c r="W227" s="195"/>
      <c r="X227" s="195"/>
    </row>
    <row r="228" spans="15:24" x14ac:dyDescent="0.25">
      <c r="Q228" s="195"/>
      <c r="R228" s="195"/>
      <c r="S228" s="195"/>
      <c r="T228" s="195"/>
      <c r="U228" s="1"/>
      <c r="W228" s="195"/>
      <c r="X228" s="195"/>
    </row>
    <row r="229" spans="15:24" x14ac:dyDescent="0.25">
      <c r="Q229" s="195"/>
      <c r="R229" s="195"/>
      <c r="S229" s="195"/>
      <c r="T229" s="195"/>
      <c r="U229" s="1"/>
      <c r="W229" s="195"/>
      <c r="X229" s="195"/>
    </row>
    <row r="230" spans="15:24" x14ac:dyDescent="0.25">
      <c r="Q230" s="195"/>
      <c r="R230" s="195"/>
      <c r="S230" s="195"/>
      <c r="T230" s="195"/>
      <c r="U230" s="1"/>
      <c r="W230" s="195"/>
      <c r="X230" s="195"/>
    </row>
    <row r="231" spans="15:24" x14ac:dyDescent="0.25">
      <c r="Q231" s="195"/>
      <c r="R231" s="195"/>
      <c r="S231" s="195"/>
      <c r="T231" s="195"/>
      <c r="U231" s="1"/>
      <c r="W231" s="195"/>
      <c r="X231" s="195"/>
    </row>
    <row r="232" spans="15:24" x14ac:dyDescent="0.25">
      <c r="Q232" s="195"/>
      <c r="R232" s="195"/>
      <c r="S232" s="195"/>
      <c r="T232" s="195"/>
      <c r="U232" s="1"/>
      <c r="W232" s="195"/>
      <c r="X232" s="195"/>
    </row>
    <row r="233" spans="15:24" x14ac:dyDescent="0.25">
      <c r="Q233" s="195"/>
      <c r="R233" s="195"/>
      <c r="S233" s="195"/>
      <c r="T233" s="195"/>
      <c r="U233" s="1"/>
      <c r="W233" s="195"/>
      <c r="X233" s="195"/>
    </row>
    <row r="234" spans="15:24" x14ac:dyDescent="0.25">
      <c r="Q234" s="195"/>
      <c r="R234" s="195"/>
      <c r="S234" s="195"/>
      <c r="T234" s="195"/>
      <c r="U234" s="1"/>
      <c r="W234" s="195"/>
      <c r="X234" s="195"/>
    </row>
    <row r="235" spans="15:24" x14ac:dyDescent="0.25">
      <c r="Q235" s="195"/>
      <c r="R235" s="195"/>
      <c r="S235" s="195"/>
      <c r="T235" s="195"/>
      <c r="U235" s="1"/>
      <c r="W235" s="195"/>
      <c r="X235" s="195"/>
    </row>
    <row r="236" spans="15:24" x14ac:dyDescent="0.25">
      <c r="Q236" s="195"/>
      <c r="R236" s="195"/>
      <c r="S236" s="195"/>
      <c r="T236" s="195"/>
      <c r="U236" s="1"/>
      <c r="W236" s="195"/>
      <c r="X236" s="195"/>
    </row>
    <row r="237" spans="15:24" x14ac:dyDescent="0.25">
      <c r="Q237" s="195"/>
      <c r="R237" s="195"/>
      <c r="S237" s="195"/>
      <c r="T237" s="195"/>
      <c r="U237" s="1"/>
      <c r="W237" s="195"/>
      <c r="X237" s="195"/>
    </row>
    <row r="238" spans="15:24" x14ac:dyDescent="0.25">
      <c r="Q238" s="195"/>
      <c r="R238" s="195"/>
      <c r="S238" s="195"/>
      <c r="T238" s="195"/>
      <c r="U238" s="1"/>
      <c r="W238" s="195"/>
      <c r="X238" s="195"/>
    </row>
    <row r="239" spans="15:24" x14ac:dyDescent="0.25">
      <c r="Q239" s="195"/>
      <c r="R239" s="195"/>
      <c r="S239" s="195"/>
      <c r="T239" s="195"/>
      <c r="U239" s="1"/>
      <c r="W239" s="195"/>
      <c r="X239" s="195"/>
    </row>
    <row r="240" spans="15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  <row r="1672" spans="17:24" x14ac:dyDescent="0.25">
      <c r="Q1672" s="195"/>
      <c r="R1672" s="195"/>
      <c r="S1672" s="195"/>
      <c r="T1672" s="195"/>
      <c r="U1672" s="1"/>
      <c r="W1672" s="195"/>
      <c r="X1672" s="195"/>
    </row>
    <row r="1673" spans="17:24" x14ac:dyDescent="0.25">
      <c r="Q1673" s="195"/>
      <c r="R1673" s="195"/>
      <c r="S1673" s="195"/>
      <c r="T1673" s="195"/>
      <c r="U1673" s="1"/>
      <c r="W1673" s="195"/>
      <c r="X1673" s="195"/>
    </row>
    <row r="1674" spans="17:24" x14ac:dyDescent="0.25">
      <c r="Q1674" s="195"/>
      <c r="R1674" s="195"/>
      <c r="S1674" s="195"/>
      <c r="T1674" s="195"/>
      <c r="U1674" s="1"/>
      <c r="W1674" s="195"/>
      <c r="X1674" s="195"/>
    </row>
    <row r="1675" spans="17:24" x14ac:dyDescent="0.25">
      <c r="Q1675" s="195"/>
      <c r="R1675" s="195"/>
      <c r="S1675" s="195"/>
      <c r="T1675" s="195"/>
      <c r="U1675" s="1"/>
      <c r="W1675" s="195"/>
      <c r="X1675" s="195"/>
    </row>
    <row r="1676" spans="17:24" x14ac:dyDescent="0.25">
      <c r="Q1676" s="195"/>
      <c r="R1676" s="195"/>
      <c r="S1676" s="195"/>
      <c r="T1676" s="195"/>
      <c r="U1676" s="1"/>
      <c r="W1676" s="195"/>
      <c r="X1676" s="195"/>
    </row>
    <row r="1677" spans="17:24" x14ac:dyDescent="0.25">
      <c r="Q1677" s="195"/>
      <c r="R1677" s="195"/>
      <c r="S1677" s="195"/>
      <c r="T1677" s="195"/>
      <c r="U1677" s="1"/>
      <c r="W1677" s="195"/>
      <c r="X1677" s="195"/>
    </row>
    <row r="1678" spans="17:24" x14ac:dyDescent="0.25">
      <c r="Q1678" s="195"/>
      <c r="R1678" s="195"/>
      <c r="S1678" s="195"/>
      <c r="T1678" s="195"/>
      <c r="U1678" s="1"/>
      <c r="W1678" s="195"/>
      <c r="X1678" s="195"/>
    </row>
    <row r="1679" spans="17:24" x14ac:dyDescent="0.25">
      <c r="Q1679" s="195"/>
      <c r="R1679" s="195"/>
      <c r="S1679" s="195"/>
      <c r="T1679" s="195"/>
      <c r="U1679" s="1"/>
      <c r="W1679" s="195"/>
      <c r="X1679" s="195"/>
    </row>
    <row r="1680" spans="17:24" x14ac:dyDescent="0.25">
      <c r="Q1680" s="195"/>
      <c r="R1680" s="195"/>
      <c r="S1680" s="195"/>
      <c r="T1680" s="195"/>
      <c r="U1680" s="1"/>
      <c r="W1680" s="195"/>
      <c r="X1680" s="195"/>
    </row>
    <row r="1681" spans="17:24" x14ac:dyDescent="0.25">
      <c r="Q1681" s="195"/>
      <c r="R1681" s="195"/>
      <c r="S1681" s="195"/>
      <c r="T1681" s="195"/>
      <c r="U1681" s="1"/>
      <c r="W1681" s="195"/>
      <c r="X1681" s="195"/>
    </row>
    <row r="1682" spans="17:24" x14ac:dyDescent="0.25">
      <c r="Q1682" s="195"/>
      <c r="R1682" s="195"/>
      <c r="S1682" s="195"/>
      <c r="T1682" s="195"/>
      <c r="U1682" s="1"/>
      <c r="W1682" s="195"/>
      <c r="X1682" s="195"/>
    </row>
    <row r="1683" spans="17:24" x14ac:dyDescent="0.25">
      <c r="Q1683" s="195"/>
      <c r="R1683" s="195"/>
      <c r="S1683" s="195"/>
      <c r="T1683" s="195"/>
      <c r="U1683" s="1"/>
      <c r="W1683" s="195"/>
      <c r="X1683" s="195"/>
    </row>
    <row r="1684" spans="17:24" x14ac:dyDescent="0.25">
      <c r="Q1684" s="195"/>
      <c r="R1684" s="195"/>
      <c r="S1684" s="195"/>
      <c r="T1684" s="195"/>
      <c r="U1684" s="1"/>
      <c r="W1684" s="195"/>
      <c r="X1684" s="195"/>
    </row>
    <row r="1685" spans="17:24" x14ac:dyDescent="0.25">
      <c r="Q1685" s="195"/>
      <c r="R1685" s="195"/>
      <c r="S1685" s="195"/>
      <c r="T1685" s="195"/>
      <c r="U1685" s="1"/>
      <c r="W1685" s="195"/>
      <c r="X1685" s="195"/>
    </row>
    <row r="1686" spans="17:24" x14ac:dyDescent="0.25">
      <c r="Q1686" s="195"/>
      <c r="R1686" s="195"/>
      <c r="S1686" s="195"/>
      <c r="T1686" s="195"/>
      <c r="U1686" s="1"/>
      <c r="W1686" s="195"/>
      <c r="X1686" s="195"/>
    </row>
    <row r="1687" spans="17:24" x14ac:dyDescent="0.25">
      <c r="Q1687" s="195"/>
      <c r="R1687" s="195"/>
      <c r="S1687" s="195"/>
      <c r="T1687" s="195"/>
      <c r="U1687" s="1"/>
      <c r="W1687" s="195"/>
      <c r="X1687" s="195"/>
    </row>
    <row r="1688" spans="17:24" x14ac:dyDescent="0.25">
      <c r="Q1688" s="195"/>
      <c r="R1688" s="195"/>
      <c r="S1688" s="195"/>
      <c r="T1688" s="195"/>
      <c r="U1688" s="1"/>
      <c r="W1688" s="195"/>
      <c r="X1688" s="195"/>
    </row>
    <row r="1689" spans="17:24" x14ac:dyDescent="0.25">
      <c r="Q1689" s="195"/>
      <c r="R1689" s="195"/>
      <c r="S1689" s="195"/>
      <c r="T1689" s="195"/>
      <c r="U1689" s="1"/>
      <c r="W1689" s="195"/>
      <c r="X1689" s="195"/>
    </row>
    <row r="1690" spans="17:24" x14ac:dyDescent="0.25">
      <c r="Q1690" s="195"/>
      <c r="R1690" s="195"/>
      <c r="S1690" s="195"/>
      <c r="T1690" s="195"/>
      <c r="U1690" s="1"/>
      <c r="W1690" s="195"/>
      <c r="X1690" s="195"/>
    </row>
    <row r="1691" spans="17:24" x14ac:dyDescent="0.25">
      <c r="Q1691" s="195"/>
      <c r="R1691" s="195"/>
      <c r="S1691" s="195"/>
      <c r="T1691" s="195"/>
      <c r="U1691" s="1"/>
      <c r="W1691" s="195"/>
      <c r="X1691" s="195"/>
    </row>
    <row r="1692" spans="17:24" x14ac:dyDescent="0.25">
      <c r="Q1692" s="195"/>
      <c r="R1692" s="195"/>
      <c r="S1692" s="195"/>
      <c r="T1692" s="195"/>
      <c r="U1692" s="1"/>
      <c r="W1692" s="195"/>
      <c r="X1692" s="195"/>
    </row>
    <row r="1693" spans="17:24" x14ac:dyDescent="0.25">
      <c r="Q1693" s="195"/>
      <c r="R1693" s="195"/>
      <c r="S1693" s="195"/>
      <c r="T1693" s="195"/>
      <c r="U1693" s="1"/>
      <c r="W1693" s="195"/>
      <c r="X1693" s="195"/>
    </row>
    <row r="1694" spans="17:24" x14ac:dyDescent="0.25">
      <c r="Q1694" s="195"/>
      <c r="R1694" s="195"/>
      <c r="S1694" s="195"/>
      <c r="T1694" s="195"/>
      <c r="U1694" s="1"/>
      <c r="W1694" s="195"/>
      <c r="X1694" s="195"/>
    </row>
    <row r="1695" spans="17:24" x14ac:dyDescent="0.25">
      <c r="Q1695" s="195"/>
      <c r="R1695" s="195"/>
      <c r="S1695" s="195"/>
      <c r="T1695" s="195"/>
      <c r="U1695" s="1"/>
      <c r="W1695" s="195"/>
      <c r="X1695" s="195"/>
    </row>
    <row r="1696" spans="17:24" x14ac:dyDescent="0.25">
      <c r="Q1696" s="195"/>
      <c r="R1696" s="195"/>
      <c r="S1696" s="195"/>
      <c r="T1696" s="195"/>
      <c r="U1696" s="1"/>
      <c r="W1696" s="195"/>
      <c r="X1696" s="195"/>
    </row>
    <row r="1697" spans="17:24" x14ac:dyDescent="0.25">
      <c r="Q1697" s="195"/>
      <c r="R1697" s="195"/>
      <c r="S1697" s="195"/>
      <c r="T1697" s="195"/>
      <c r="U1697" s="1"/>
      <c r="W1697" s="195"/>
      <c r="X1697" s="195"/>
    </row>
    <row r="1698" spans="17:24" x14ac:dyDescent="0.25">
      <c r="Q1698" s="195"/>
      <c r="R1698" s="195"/>
      <c r="S1698" s="195"/>
      <c r="T1698" s="195"/>
      <c r="U1698" s="1"/>
      <c r="W1698" s="195"/>
      <c r="X1698" s="195"/>
    </row>
    <row r="1699" spans="17:24" x14ac:dyDescent="0.25">
      <c r="Q1699" s="195"/>
      <c r="R1699" s="195"/>
      <c r="S1699" s="195"/>
      <c r="T1699" s="195"/>
      <c r="U1699" s="1"/>
      <c r="W1699" s="195"/>
      <c r="X1699" s="195"/>
    </row>
    <row r="1700" spans="17:24" x14ac:dyDescent="0.25">
      <c r="Q1700" s="195"/>
      <c r="R1700" s="195"/>
      <c r="S1700" s="195"/>
      <c r="T1700" s="195"/>
      <c r="U1700" s="1"/>
      <c r="W1700" s="195"/>
      <c r="X1700" s="195"/>
    </row>
    <row r="1701" spans="17:24" x14ac:dyDescent="0.25">
      <c r="Q1701" s="195"/>
      <c r="R1701" s="195"/>
      <c r="S1701" s="195"/>
      <c r="T1701" s="195"/>
      <c r="U1701" s="1"/>
      <c r="W1701" s="195"/>
      <c r="X1701" s="195"/>
    </row>
    <row r="1702" spans="17:24" x14ac:dyDescent="0.25">
      <c r="Q1702" s="195"/>
      <c r="R1702" s="195"/>
      <c r="S1702" s="195"/>
      <c r="T1702" s="195"/>
      <c r="U1702" s="1"/>
      <c r="W1702" s="195"/>
      <c r="X1702" s="195"/>
    </row>
    <row r="1703" spans="17:24" x14ac:dyDescent="0.25">
      <c r="Q1703" s="195"/>
      <c r="R1703" s="195"/>
      <c r="S1703" s="195"/>
      <c r="T1703" s="195"/>
      <c r="U1703" s="1"/>
      <c r="W1703" s="195"/>
      <c r="X1703" s="195"/>
    </row>
    <row r="1704" spans="17:24" x14ac:dyDescent="0.25">
      <c r="Q1704" s="195"/>
      <c r="R1704" s="195"/>
      <c r="S1704" s="195"/>
      <c r="T1704" s="195"/>
      <c r="U1704" s="1"/>
      <c r="W1704" s="195"/>
      <c r="X1704" s="195"/>
    </row>
    <row r="1705" spans="17:24" x14ac:dyDescent="0.25">
      <c r="Q1705" s="195"/>
      <c r="R1705" s="195"/>
      <c r="S1705" s="195"/>
      <c r="T1705" s="195"/>
      <c r="U1705" s="1"/>
      <c r="W1705" s="195"/>
      <c r="X1705" s="195"/>
    </row>
    <row r="1706" spans="17:24" x14ac:dyDescent="0.25">
      <c r="Q1706" s="195"/>
      <c r="R1706" s="195"/>
      <c r="S1706" s="195"/>
      <c r="T1706" s="195"/>
      <c r="U1706" s="1"/>
      <c r="W1706" s="195"/>
      <c r="X1706" s="195"/>
    </row>
    <row r="1707" spans="17:24" x14ac:dyDescent="0.25">
      <c r="Q1707" s="195"/>
      <c r="R1707" s="195"/>
      <c r="S1707" s="195"/>
      <c r="T1707" s="195"/>
      <c r="U1707" s="1"/>
      <c r="W1707" s="195"/>
      <c r="X1707" s="195"/>
    </row>
    <row r="1708" spans="17:24" x14ac:dyDescent="0.25">
      <c r="Q1708" s="195"/>
      <c r="R1708" s="195"/>
      <c r="S1708" s="195"/>
      <c r="T1708" s="195"/>
      <c r="U1708" s="1"/>
      <c r="W1708" s="195"/>
      <c r="X1708" s="195"/>
    </row>
    <row r="1709" spans="17:24" x14ac:dyDescent="0.25">
      <c r="Q1709" s="195"/>
      <c r="R1709" s="195"/>
      <c r="S1709" s="195"/>
      <c r="T1709" s="195"/>
      <c r="U1709" s="1"/>
      <c r="W1709" s="195"/>
      <c r="X1709" s="195"/>
    </row>
    <row r="1710" spans="17:24" x14ac:dyDescent="0.25">
      <c r="Q1710" s="195"/>
      <c r="R1710" s="195"/>
      <c r="S1710" s="195"/>
      <c r="T1710" s="195"/>
      <c r="U1710" s="1"/>
      <c r="W1710" s="195"/>
      <c r="X1710" s="195"/>
    </row>
    <row r="1711" spans="17:24" x14ac:dyDescent="0.25">
      <c r="Q1711" s="195"/>
      <c r="R1711" s="195"/>
      <c r="S1711" s="195"/>
      <c r="T1711" s="195"/>
      <c r="U1711" s="1"/>
      <c r="W1711" s="195"/>
      <c r="X1711" s="195"/>
    </row>
    <row r="1712" spans="17:24" x14ac:dyDescent="0.25">
      <c r="Q1712" s="195"/>
      <c r="R1712" s="195"/>
      <c r="S1712" s="195"/>
      <c r="T1712" s="195"/>
      <c r="U1712" s="1"/>
      <c r="W1712" s="195"/>
      <c r="X1712" s="195"/>
    </row>
    <row r="1713" spans="17:24" x14ac:dyDescent="0.25">
      <c r="Q1713" s="195"/>
      <c r="R1713" s="195"/>
      <c r="S1713" s="195"/>
      <c r="T1713" s="195"/>
      <c r="U1713" s="1"/>
      <c r="W1713" s="195"/>
      <c r="X1713" s="195"/>
    </row>
    <row r="1714" spans="17:24" x14ac:dyDescent="0.25">
      <c r="Q1714" s="195"/>
      <c r="R1714" s="195"/>
      <c r="S1714" s="195"/>
      <c r="T1714" s="195"/>
      <c r="U1714" s="1"/>
      <c r="W1714" s="195"/>
      <c r="X1714" s="195"/>
    </row>
    <row r="1715" spans="17:24" x14ac:dyDescent="0.25">
      <c r="Q1715" s="195"/>
      <c r="R1715" s="195"/>
      <c r="S1715" s="195"/>
      <c r="T1715" s="195"/>
      <c r="U1715" s="1"/>
      <c r="W1715" s="195"/>
      <c r="X1715" s="195"/>
    </row>
    <row r="1716" spans="17:24" x14ac:dyDescent="0.25">
      <c r="Q1716" s="195"/>
      <c r="R1716" s="195"/>
      <c r="S1716" s="195"/>
      <c r="T1716" s="195"/>
      <c r="U1716" s="1"/>
      <c r="W1716" s="195"/>
      <c r="X1716" s="195"/>
    </row>
    <row r="1717" spans="17:24" x14ac:dyDescent="0.25">
      <c r="Q1717" s="195"/>
      <c r="R1717" s="195"/>
      <c r="S1717" s="195"/>
      <c r="T1717" s="195"/>
      <c r="U1717" s="1"/>
      <c r="W1717" s="195"/>
      <c r="X1717" s="195"/>
    </row>
    <row r="1718" spans="17:24" x14ac:dyDescent="0.25">
      <c r="Q1718" s="195"/>
      <c r="R1718" s="195"/>
      <c r="S1718" s="195"/>
      <c r="T1718" s="195"/>
      <c r="U1718" s="1"/>
      <c r="W1718" s="195"/>
      <c r="X1718" s="195"/>
    </row>
    <row r="1719" spans="17:24" x14ac:dyDescent="0.25">
      <c r="Q1719" s="195"/>
      <c r="R1719" s="195"/>
      <c r="S1719" s="195"/>
      <c r="T1719" s="195"/>
      <c r="U1719" s="1"/>
      <c r="W1719" s="195"/>
      <c r="X1719" s="195"/>
    </row>
    <row r="1720" spans="17:24" x14ac:dyDescent="0.25">
      <c r="Q1720" s="195"/>
      <c r="R1720" s="195"/>
      <c r="S1720" s="195"/>
      <c r="T1720" s="195"/>
      <c r="U1720" s="1"/>
      <c r="W1720" s="195"/>
      <c r="X1720" s="195"/>
    </row>
    <row r="1721" spans="17:24" x14ac:dyDescent="0.25">
      <c r="Q1721" s="195"/>
      <c r="R1721" s="195"/>
      <c r="S1721" s="195"/>
      <c r="T1721" s="195"/>
      <c r="U1721" s="1"/>
      <c r="W1721" s="195"/>
      <c r="X1721" s="195"/>
    </row>
  </sheetData>
  <mergeCells count="38">
    <mergeCell ref="N186:Q186"/>
    <mergeCell ref="R186:U186"/>
    <mergeCell ref="D194:H194"/>
    <mergeCell ref="A191:J191"/>
    <mergeCell ref="A192:J192"/>
    <mergeCell ref="N192:Q192"/>
    <mergeCell ref="R192:U192"/>
    <mergeCell ref="A193:J193"/>
    <mergeCell ref="N193:Q193"/>
    <mergeCell ref="R193:U193"/>
    <mergeCell ref="V7:V8"/>
    <mergeCell ref="A9:I9"/>
    <mergeCell ref="J9:K9"/>
    <mergeCell ref="D14:G14"/>
    <mergeCell ref="D187:J187"/>
    <mergeCell ref="N187:Q187"/>
    <mergeCell ref="R187:U187"/>
    <mergeCell ref="D45:G45"/>
    <mergeCell ref="D60:G60"/>
    <mergeCell ref="D68:G68"/>
    <mergeCell ref="D155:G155"/>
    <mergeCell ref="A184:J184"/>
    <mergeCell ref="D185:J185"/>
    <mergeCell ref="K185:L185"/>
    <mergeCell ref="R185:T185"/>
    <mergeCell ref="A186:J186"/>
    <mergeCell ref="D24:G24"/>
    <mergeCell ref="A3:U3"/>
    <mergeCell ref="A4:U4"/>
    <mergeCell ref="A5:U5"/>
    <mergeCell ref="A7:I8"/>
    <mergeCell ref="J7:K8"/>
    <mergeCell ref="L7:L8"/>
    <mergeCell ref="M7:M8"/>
    <mergeCell ref="N7:N8"/>
    <mergeCell ref="O7:P7"/>
    <mergeCell ref="Q7:S7"/>
    <mergeCell ref="U7:U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71"/>
  <sheetViews>
    <sheetView topLeftCell="J102" zoomScale="70" zoomScaleNormal="70" workbookViewId="0">
      <selection activeCell="R109" sqref="R109"/>
    </sheetView>
  </sheetViews>
  <sheetFormatPr defaultRowHeight="15.75" x14ac:dyDescent="0.25"/>
  <cols>
    <col min="1" max="1" width="5.28515625" style="1" hidden="1" customWidth="1"/>
    <col min="2" max="2" width="3.85546875" style="1" hidden="1" customWidth="1"/>
    <col min="3" max="3" width="2" style="1" hidden="1" customWidth="1"/>
    <col min="4" max="6" width="8.7109375" style="1" hidden="1" customWidth="1"/>
    <col min="7" max="7" width="8.5703125" style="1" hidden="1" customWidth="1"/>
    <col min="8" max="8" width="0.28515625" style="1" hidden="1" customWidth="1"/>
    <col min="9" max="9" width="1.42578125" style="1" hidden="1" customWidth="1"/>
    <col min="10" max="10" width="7" style="1" customWidth="1"/>
    <col min="11" max="11" width="77.5703125" style="1" customWidth="1"/>
    <col min="12" max="12" width="16.140625" style="1" customWidth="1"/>
    <col min="13" max="13" width="20.42578125" style="1" hidden="1" customWidth="1"/>
    <col min="14" max="14" width="20.42578125" style="1" customWidth="1"/>
    <col min="15" max="15" width="14.140625" style="1" hidden="1" customWidth="1"/>
    <col min="16" max="16" width="14.5703125" style="1" hidden="1" customWidth="1"/>
    <col min="17" max="17" width="17.42578125" style="1" customWidth="1"/>
    <col min="18" max="18" width="17.140625" style="196" customWidth="1"/>
    <col min="19" max="19" width="15.85546875" style="1" customWidth="1"/>
    <col min="20" max="20" width="14.42578125" style="1" hidden="1" customWidth="1"/>
    <col min="21" max="21" width="18.5703125" style="4" customWidth="1"/>
    <col min="22" max="22" width="18.140625" style="1" hidden="1" customWidth="1"/>
    <col min="23" max="24" width="13.85546875" style="1" hidden="1" customWidth="1"/>
    <col min="25" max="16384" width="9.140625" style="1"/>
  </cols>
  <sheetData>
    <row r="1" spans="1:26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6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6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5"/>
    </row>
    <row r="4" spans="1:26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5"/>
    </row>
    <row r="5" spans="1:26" ht="18" x14ac:dyDescent="0.25">
      <c r="A5" s="482" t="s">
        <v>258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5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6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6</v>
      </c>
      <c r="M7" s="488" t="s">
        <v>7</v>
      </c>
      <c r="N7" s="488" t="s">
        <v>8</v>
      </c>
      <c r="O7" s="490" t="s">
        <v>9</v>
      </c>
      <c r="P7" s="490"/>
      <c r="Q7" s="491" t="s">
        <v>10</v>
      </c>
      <c r="R7" s="492"/>
      <c r="S7" s="492"/>
      <c r="T7" s="11"/>
      <c r="U7" s="493" t="s">
        <v>11</v>
      </c>
      <c r="V7" s="490" t="s">
        <v>12</v>
      </c>
      <c r="W7" s="11"/>
      <c r="X7" s="11"/>
    </row>
    <row r="8" spans="1:26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228" t="s">
        <v>14</v>
      </c>
      <c r="Q8" s="228" t="s">
        <v>13</v>
      </c>
      <c r="R8" s="14" t="s">
        <v>14</v>
      </c>
      <c r="S8" s="228" t="s">
        <v>15</v>
      </c>
      <c r="T8" s="228" t="s">
        <v>16</v>
      </c>
      <c r="U8" s="493"/>
      <c r="V8" s="490"/>
      <c r="W8" s="228" t="s">
        <v>17</v>
      </c>
      <c r="X8" s="228" t="s">
        <v>17</v>
      </c>
    </row>
    <row r="9" spans="1:26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 t="s">
        <v>19</v>
      </c>
      <c r="K9" s="494"/>
      <c r="L9" s="228" t="s">
        <v>20</v>
      </c>
      <c r="M9" s="228" t="s">
        <v>21</v>
      </c>
      <c r="N9" s="228" t="s">
        <v>22</v>
      </c>
      <c r="O9" s="228" t="s">
        <v>22</v>
      </c>
      <c r="P9" s="228" t="s">
        <v>23</v>
      </c>
      <c r="Q9" s="228" t="s">
        <v>24</v>
      </c>
      <c r="R9" s="14" t="s">
        <v>25</v>
      </c>
      <c r="S9" s="228" t="s">
        <v>26</v>
      </c>
      <c r="T9" s="228" t="s">
        <v>27</v>
      </c>
      <c r="U9" s="228" t="s">
        <v>28</v>
      </c>
      <c r="V9" s="15"/>
      <c r="W9" s="228" t="s">
        <v>27</v>
      </c>
      <c r="X9" s="228" t="s">
        <v>27</v>
      </c>
    </row>
    <row r="10" spans="1:26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f>L12+L94</f>
        <v>2184252000</v>
      </c>
      <c r="M10" s="19">
        <f>M12+M94</f>
        <v>0</v>
      </c>
      <c r="N10" s="19">
        <f>N12+N94</f>
        <v>2184252000</v>
      </c>
      <c r="O10" s="19" t="e">
        <f>O12</f>
        <v>#REF!</v>
      </c>
      <c r="P10" s="19"/>
      <c r="Q10" s="19">
        <f>Q12+Q94</f>
        <v>145581465</v>
      </c>
      <c r="R10" s="19">
        <v>144885166</v>
      </c>
      <c r="S10" s="19">
        <f>Q10+R10</f>
        <v>290466631</v>
      </c>
      <c r="T10" s="20">
        <f>S10/N10*100</f>
        <v>13.29821975669474</v>
      </c>
      <c r="U10" s="21">
        <f>N10-S10</f>
        <v>1893785369</v>
      </c>
      <c r="V10" s="21">
        <f>U10/2</f>
        <v>946892684.5</v>
      </c>
      <c r="W10" s="22">
        <f>Q10/N10*100</f>
        <v>6.6650489503958337</v>
      </c>
      <c r="X10" s="22">
        <f>Q10/N10*100</f>
        <v>6.6650489503958337</v>
      </c>
    </row>
    <row r="11" spans="1:26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</row>
    <row r="12" spans="1:26" x14ac:dyDescent="0.25">
      <c r="A12" s="34"/>
      <c r="B12" s="35" t="s">
        <v>31</v>
      </c>
      <c r="C12" s="36"/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L14+L16+L18+L20+L22+L24+L26+L28+L30+L36+L38+L40+L42+L50+L62+L74+L76+L82+L84+L90+L92</f>
        <v>1528107000</v>
      </c>
      <c r="M12" s="41">
        <f>M14+M16+M18+M20+M22+M24+M26+M28+M30+M36+M38+M40+M42+M50+M62+M74+M76+M82+M84+M90+M92</f>
        <v>0</v>
      </c>
      <c r="N12" s="41">
        <f>L12-M12</f>
        <v>1528107000</v>
      </c>
      <c r="O12" s="41" t="e">
        <f>#REF!</f>
        <v>#REF!</v>
      </c>
      <c r="P12" s="41"/>
      <c r="Q12" s="41">
        <f>Q14+Q16+Q18+Q20+Q22+Q24+Q26+Q28+Q30+Q36+Q38+Q40+Q42+Q50+Q62+Q74+Q76+Q82+Q84+Q90+Q92</f>
        <v>123741465</v>
      </c>
      <c r="R12" s="41">
        <v>126745166</v>
      </c>
      <c r="S12" s="41">
        <f>Q12+R12</f>
        <v>250486631</v>
      </c>
      <c r="T12" s="20">
        <f>S12/N12*100</f>
        <v>16.391956256989857</v>
      </c>
      <c r="U12" s="42">
        <f>N12-S12</f>
        <v>1277620369</v>
      </c>
      <c r="V12" s="42">
        <f>U12/2</f>
        <v>638810184.5</v>
      </c>
      <c r="W12" s="22">
        <f t="shared" ref="W12:W26" si="0">Q12/N12*100</f>
        <v>8.0976963655032019</v>
      </c>
      <c r="X12" s="22">
        <f t="shared" ref="X12:X74" si="1">Q12/N12*100</f>
        <v>8.0976963655032019</v>
      </c>
    </row>
    <row r="13" spans="1:26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76" si="2">U13/2</f>
        <v>0</v>
      </c>
      <c r="W13" s="22"/>
      <c r="X13" s="22"/>
    </row>
    <row r="14" spans="1:26" ht="17.25" x14ac:dyDescent="0.3">
      <c r="A14" s="232"/>
      <c r="B14" s="233" t="s">
        <v>236</v>
      </c>
      <c r="C14" s="234"/>
      <c r="D14" s="235"/>
      <c r="E14" s="236"/>
      <c r="F14" s="236"/>
      <c r="G14" s="237"/>
      <c r="H14" s="238"/>
      <c r="I14" s="239"/>
      <c r="J14" s="49"/>
      <c r="K14" s="197" t="s">
        <v>184</v>
      </c>
      <c r="L14" s="52">
        <v>42000000</v>
      </c>
      <c r="M14" s="52">
        <v>0</v>
      </c>
      <c r="N14" s="52">
        <f>L14-M14</f>
        <v>42000000</v>
      </c>
      <c r="O14" s="53"/>
      <c r="P14" s="53"/>
      <c r="Q14" s="52">
        <v>3500000</v>
      </c>
      <c r="R14" s="52">
        <v>3500000</v>
      </c>
      <c r="S14" s="52">
        <f t="shared" ref="S14:S16" si="3">Q14+R14</f>
        <v>7000000</v>
      </c>
      <c r="T14" s="54">
        <f>S14/N14*100</f>
        <v>16.666666666666664</v>
      </c>
      <c r="U14" s="52">
        <f>N14-S14</f>
        <v>35000000</v>
      </c>
      <c r="V14" s="42">
        <f t="shared" si="2"/>
        <v>17500000</v>
      </c>
      <c r="W14" s="22">
        <f>Q14/N14*100</f>
        <v>8.3333333333333321</v>
      </c>
      <c r="X14" s="22">
        <f t="shared" si="1"/>
        <v>8.3333333333333321</v>
      </c>
      <c r="Z14" s="22">
        <f>Q14/N14*100</f>
        <v>8.3333333333333321</v>
      </c>
    </row>
    <row r="15" spans="1:26" x14ac:dyDescent="0.25">
      <c r="A15" s="240"/>
      <c r="B15" s="241"/>
      <c r="C15" s="241"/>
      <c r="D15" s="241"/>
      <c r="E15" s="242"/>
      <c r="F15" s="242"/>
      <c r="G15" s="242"/>
      <c r="H15" s="242"/>
      <c r="I15" s="242"/>
      <c r="J15" s="64"/>
      <c r="K15" s="68"/>
      <c r="L15" s="30"/>
      <c r="M15" s="30"/>
      <c r="N15" s="31"/>
      <c r="O15" s="30"/>
      <c r="P15" s="30"/>
      <c r="Q15" s="68"/>
      <c r="R15" s="29"/>
      <c r="S15" s="29"/>
      <c r="T15" s="32"/>
      <c r="U15" s="43"/>
      <c r="V15" s="42">
        <f t="shared" si="2"/>
        <v>0</v>
      </c>
      <c r="W15" s="22"/>
      <c r="X15" s="22"/>
      <c r="Z15" s="22" t="e">
        <f t="shared" ref="Z15:Z78" si="4">Q15/N15*100</f>
        <v>#DIV/0!</v>
      </c>
    </row>
    <row r="16" spans="1:26" ht="17.25" x14ac:dyDescent="0.3">
      <c r="A16" s="232"/>
      <c r="B16" s="233" t="s">
        <v>237</v>
      </c>
      <c r="C16" s="243"/>
      <c r="D16" s="235"/>
      <c r="E16" s="236"/>
      <c r="F16" s="236"/>
      <c r="G16" s="237"/>
      <c r="H16" s="238"/>
      <c r="I16" s="239"/>
      <c r="J16" s="49"/>
      <c r="K16" s="197" t="s">
        <v>185</v>
      </c>
      <c r="L16" s="52">
        <v>4740000</v>
      </c>
      <c r="M16" s="52">
        <v>0</v>
      </c>
      <c r="N16" s="52">
        <f>L16-M16</f>
        <v>4740000</v>
      </c>
      <c r="O16" s="53"/>
      <c r="P16" s="53"/>
      <c r="Q16" s="52">
        <v>1620000</v>
      </c>
      <c r="R16" s="52">
        <v>0</v>
      </c>
      <c r="S16" s="52">
        <f t="shared" si="3"/>
        <v>1620000</v>
      </c>
      <c r="T16" s="54">
        <f>S16/N16*100</f>
        <v>34.177215189873415</v>
      </c>
      <c r="U16" s="52">
        <f t="shared" ref="U16:U26" si="5">N16-S16</f>
        <v>3120000</v>
      </c>
      <c r="V16" s="42">
        <f t="shared" si="2"/>
        <v>1560000</v>
      </c>
      <c r="W16" s="22">
        <f t="shared" si="0"/>
        <v>34.177215189873415</v>
      </c>
      <c r="X16" s="22">
        <f t="shared" si="1"/>
        <v>34.177215189873415</v>
      </c>
      <c r="Z16" s="65">
        <f t="shared" si="4"/>
        <v>34.177215189873415</v>
      </c>
    </row>
    <row r="17" spans="1:26" x14ac:dyDescent="0.25">
      <c r="A17" s="240"/>
      <c r="B17" s="244"/>
      <c r="C17" s="244"/>
      <c r="D17" s="241"/>
      <c r="E17" s="242"/>
      <c r="F17" s="242"/>
      <c r="G17" s="242"/>
      <c r="H17" s="242"/>
      <c r="I17" s="242"/>
      <c r="J17" s="64"/>
      <c r="K17" s="77"/>
      <c r="L17" s="30"/>
      <c r="M17" s="30"/>
      <c r="N17" s="31"/>
      <c r="O17" s="30"/>
      <c r="P17" s="30"/>
      <c r="Q17" s="68"/>
      <c r="R17" s="29"/>
      <c r="S17" s="29"/>
      <c r="T17" s="32"/>
      <c r="U17" s="43"/>
      <c r="V17" s="42">
        <f t="shared" si="2"/>
        <v>0</v>
      </c>
      <c r="W17" s="22"/>
      <c r="X17" s="22"/>
      <c r="Z17" s="22" t="e">
        <f t="shared" si="4"/>
        <v>#DIV/0!</v>
      </c>
    </row>
    <row r="18" spans="1:26" ht="17.25" x14ac:dyDescent="0.3">
      <c r="A18" s="240"/>
      <c r="B18" s="505" t="s">
        <v>43</v>
      </c>
      <c r="C18" s="506"/>
      <c r="D18" s="506"/>
      <c r="E18" s="506"/>
      <c r="F18" s="507"/>
      <c r="G18" s="242"/>
      <c r="H18" s="242"/>
      <c r="I18" s="242"/>
      <c r="J18" s="81"/>
      <c r="K18" s="197" t="s">
        <v>186</v>
      </c>
      <c r="L18" s="52">
        <v>19754000</v>
      </c>
      <c r="M18" s="52">
        <v>0</v>
      </c>
      <c r="N18" s="52">
        <f>L18-M18</f>
        <v>19754000</v>
      </c>
      <c r="O18" s="83"/>
      <c r="P18" s="83"/>
      <c r="Q18" s="84">
        <v>0</v>
      </c>
      <c r="R18" s="84">
        <v>19693400</v>
      </c>
      <c r="S18" s="84">
        <f>Q18+R18</f>
        <v>19693400</v>
      </c>
      <c r="T18" s="54">
        <f>S18/N18*100</f>
        <v>99.693226688265668</v>
      </c>
      <c r="U18" s="52">
        <f t="shared" si="5"/>
        <v>60600</v>
      </c>
      <c r="V18" s="42">
        <f t="shared" si="2"/>
        <v>30300</v>
      </c>
      <c r="W18" s="22">
        <f t="shared" si="0"/>
        <v>0</v>
      </c>
      <c r="X18" s="22">
        <f t="shared" si="1"/>
        <v>0</v>
      </c>
      <c r="Z18" s="65">
        <f t="shared" si="4"/>
        <v>0</v>
      </c>
    </row>
    <row r="19" spans="1:26" x14ac:dyDescent="0.25">
      <c r="A19" s="240"/>
      <c r="B19" s="244"/>
      <c r="C19" s="244"/>
      <c r="D19" s="241"/>
      <c r="E19" s="242"/>
      <c r="F19" s="242"/>
      <c r="G19" s="242"/>
      <c r="H19" s="242"/>
      <c r="I19" s="242"/>
      <c r="J19" s="64"/>
      <c r="K19" s="77"/>
      <c r="L19" s="30"/>
      <c r="M19" s="30"/>
      <c r="N19" s="31"/>
      <c r="O19" s="30"/>
      <c r="P19" s="30"/>
      <c r="Q19" s="68"/>
      <c r="R19" s="29"/>
      <c r="S19" s="29"/>
      <c r="T19" s="32"/>
      <c r="U19" s="43"/>
      <c r="V19" s="42">
        <f t="shared" si="2"/>
        <v>0</v>
      </c>
      <c r="W19" s="22"/>
      <c r="X19" s="22"/>
      <c r="Z19" s="22" t="e">
        <f t="shared" si="4"/>
        <v>#DIV/0!</v>
      </c>
    </row>
    <row r="20" spans="1:26" ht="17.25" x14ac:dyDescent="0.3">
      <c r="A20" s="240"/>
      <c r="B20" s="505" t="s">
        <v>238</v>
      </c>
      <c r="C20" s="506"/>
      <c r="D20" s="506"/>
      <c r="E20" s="506"/>
      <c r="F20" s="507"/>
      <c r="G20" s="245"/>
      <c r="H20" s="245"/>
      <c r="I20" s="246"/>
      <c r="J20" s="97"/>
      <c r="K20" s="197" t="s">
        <v>92</v>
      </c>
      <c r="L20" s="52">
        <v>4468000</v>
      </c>
      <c r="M20" s="52">
        <v>0</v>
      </c>
      <c r="N20" s="52">
        <f>L20-M20</f>
        <v>4468000</v>
      </c>
      <c r="O20" s="53"/>
      <c r="P20" s="53"/>
      <c r="Q20" s="84">
        <v>490000</v>
      </c>
      <c r="R20" s="84">
        <v>0</v>
      </c>
      <c r="S20" s="84">
        <f>Q20+R20</f>
        <v>490000</v>
      </c>
      <c r="T20" s="54">
        <f>S20/N20*100</f>
        <v>10.966875559534467</v>
      </c>
      <c r="U20" s="52">
        <f t="shared" si="5"/>
        <v>3978000</v>
      </c>
      <c r="V20" s="42">
        <f t="shared" si="2"/>
        <v>1989000</v>
      </c>
      <c r="W20" s="22">
        <f t="shared" si="0"/>
        <v>10.966875559534467</v>
      </c>
      <c r="X20" s="22">
        <f t="shared" si="1"/>
        <v>10.966875559534467</v>
      </c>
      <c r="Z20" s="65">
        <f t="shared" si="4"/>
        <v>10.966875559534467</v>
      </c>
    </row>
    <row r="21" spans="1:26" x14ac:dyDescent="0.25">
      <c r="A21" s="240"/>
      <c r="B21" s="244"/>
      <c r="C21" s="247"/>
      <c r="D21" s="242"/>
      <c r="E21" s="242"/>
      <c r="F21" s="242"/>
      <c r="G21" s="241"/>
      <c r="H21" s="241"/>
      <c r="I21" s="242"/>
      <c r="J21" s="64"/>
      <c r="K21" s="92"/>
      <c r="L21" s="30"/>
      <c r="M21" s="30"/>
      <c r="N21" s="31"/>
      <c r="O21" s="66"/>
      <c r="P21" s="66"/>
      <c r="Q21" s="68"/>
      <c r="R21" s="29"/>
      <c r="S21" s="29"/>
      <c r="T21" s="32"/>
      <c r="U21" s="43"/>
      <c r="V21" s="42">
        <f t="shared" si="2"/>
        <v>0</v>
      </c>
      <c r="W21" s="22"/>
      <c r="X21" s="22"/>
      <c r="Z21" s="22" t="e">
        <f t="shared" si="4"/>
        <v>#DIV/0!</v>
      </c>
    </row>
    <row r="22" spans="1:26" ht="17.25" x14ac:dyDescent="0.3">
      <c r="A22" s="232"/>
      <c r="B22" s="233" t="s">
        <v>239</v>
      </c>
      <c r="C22" s="243"/>
      <c r="D22" s="235"/>
      <c r="E22" s="236"/>
      <c r="F22" s="236"/>
      <c r="G22" s="237"/>
      <c r="H22" s="239"/>
      <c r="I22" s="239"/>
      <c r="J22" s="106"/>
      <c r="K22" s="197" t="s">
        <v>187</v>
      </c>
      <c r="L22" s="108">
        <v>3020000</v>
      </c>
      <c r="M22" s="108">
        <v>0</v>
      </c>
      <c r="N22" s="52">
        <f>L22-M22</f>
        <v>3020000</v>
      </c>
      <c r="O22" s="108"/>
      <c r="P22" s="108"/>
      <c r="Q22" s="108">
        <v>0</v>
      </c>
      <c r="R22" s="108">
        <v>350000</v>
      </c>
      <c r="S22" s="108">
        <f t="shared" ref="S22" si="6">Q22+R22</f>
        <v>350000</v>
      </c>
      <c r="T22" s="54">
        <f>S22/N22*100</f>
        <v>11.589403973509933</v>
      </c>
      <c r="U22" s="52">
        <f t="shared" si="5"/>
        <v>2670000</v>
      </c>
      <c r="V22" s="42">
        <f t="shared" si="2"/>
        <v>1335000</v>
      </c>
      <c r="W22" s="22">
        <f t="shared" si="0"/>
        <v>0</v>
      </c>
      <c r="X22" s="22">
        <f t="shared" si="1"/>
        <v>0</v>
      </c>
      <c r="Z22" s="65">
        <f t="shared" si="4"/>
        <v>0</v>
      </c>
    </row>
    <row r="23" spans="1:26" x14ac:dyDescent="0.25">
      <c r="A23" s="240"/>
      <c r="B23" s="244"/>
      <c r="C23" s="247"/>
      <c r="D23" s="242"/>
      <c r="E23" s="242"/>
      <c r="F23" s="242"/>
      <c r="G23" s="241"/>
      <c r="H23" s="241"/>
      <c r="I23" s="242"/>
      <c r="J23" s="64"/>
      <c r="K23" s="28"/>
      <c r="L23" s="66"/>
      <c r="M23" s="66"/>
      <c r="N23" s="31"/>
      <c r="O23" s="66"/>
      <c r="P23" s="66"/>
      <c r="Q23" s="68"/>
      <c r="R23" s="29"/>
      <c r="S23" s="29"/>
      <c r="T23" s="32"/>
      <c r="U23" s="43"/>
      <c r="V23" s="42">
        <f t="shared" si="2"/>
        <v>0</v>
      </c>
      <c r="W23" s="22"/>
      <c r="X23" s="22"/>
      <c r="Z23" s="22" t="e">
        <f t="shared" si="4"/>
        <v>#DIV/0!</v>
      </c>
    </row>
    <row r="24" spans="1:26" ht="17.25" x14ac:dyDescent="0.3">
      <c r="A24" s="232"/>
      <c r="B24" s="505" t="s">
        <v>240</v>
      </c>
      <c r="C24" s="506"/>
      <c r="D24" s="506"/>
      <c r="E24" s="506"/>
      <c r="F24" s="506"/>
      <c r="G24" s="507"/>
      <c r="H24" s="238"/>
      <c r="I24" s="239"/>
      <c r="J24" s="106"/>
      <c r="K24" s="197" t="s">
        <v>88</v>
      </c>
      <c r="L24" s="52">
        <v>12200000</v>
      </c>
      <c r="M24" s="52">
        <v>0</v>
      </c>
      <c r="N24" s="52">
        <f>L24-M24</f>
        <v>12200000</v>
      </c>
      <c r="O24" s="52"/>
      <c r="P24" s="52"/>
      <c r="Q24" s="52">
        <v>0</v>
      </c>
      <c r="R24" s="52">
        <v>772000</v>
      </c>
      <c r="S24" s="52">
        <f t="shared" ref="S24" si="7">Q24+R24</f>
        <v>772000</v>
      </c>
      <c r="T24" s="54">
        <f>S24/N24*100</f>
        <v>6.3278688524590159</v>
      </c>
      <c r="U24" s="52">
        <f t="shared" si="5"/>
        <v>11428000</v>
      </c>
      <c r="V24" s="42">
        <f t="shared" si="2"/>
        <v>5714000</v>
      </c>
      <c r="W24" s="22">
        <f t="shared" si="0"/>
        <v>0</v>
      </c>
      <c r="X24" s="22">
        <f>Q24/N24*100</f>
        <v>0</v>
      </c>
      <c r="Z24" s="65">
        <f t="shared" si="4"/>
        <v>0</v>
      </c>
    </row>
    <row r="25" spans="1:26" x14ac:dyDescent="0.25">
      <c r="A25" s="240"/>
      <c r="B25" s="244"/>
      <c r="C25" s="247"/>
      <c r="D25" s="242"/>
      <c r="E25" s="242"/>
      <c r="F25" s="242"/>
      <c r="G25" s="241"/>
      <c r="H25" s="241"/>
      <c r="I25" s="242"/>
      <c r="J25" s="64"/>
      <c r="K25" s="28"/>
      <c r="L25" s="66"/>
      <c r="M25" s="66"/>
      <c r="N25" s="67"/>
      <c r="O25" s="66"/>
      <c r="P25" s="66"/>
      <c r="Q25" s="68"/>
      <c r="R25" s="29"/>
      <c r="S25" s="29"/>
      <c r="T25" s="32"/>
      <c r="U25" s="43"/>
      <c r="V25" s="42">
        <f t="shared" si="2"/>
        <v>0</v>
      </c>
      <c r="W25" s="22"/>
      <c r="X25" s="22"/>
      <c r="Z25" s="22" t="e">
        <f t="shared" si="4"/>
        <v>#DIV/0!</v>
      </c>
    </row>
    <row r="26" spans="1:26" ht="17.25" x14ac:dyDescent="0.3">
      <c r="A26" s="240"/>
      <c r="B26" s="505" t="s">
        <v>241</v>
      </c>
      <c r="C26" s="506"/>
      <c r="D26" s="506"/>
      <c r="E26" s="506"/>
      <c r="F26" s="507"/>
      <c r="G26" s="241"/>
      <c r="H26" s="241"/>
      <c r="I26" s="242"/>
      <c r="J26" s="81"/>
      <c r="K26" s="197" t="s">
        <v>188</v>
      </c>
      <c r="L26" s="52">
        <v>3600000</v>
      </c>
      <c r="M26" s="52">
        <v>0</v>
      </c>
      <c r="N26" s="52">
        <f t="shared" ref="N26:N82" si="8">L26-M26</f>
        <v>3600000</v>
      </c>
      <c r="O26" s="116"/>
      <c r="P26" s="116"/>
      <c r="Q26" s="84">
        <v>300000</v>
      </c>
      <c r="R26" s="84">
        <v>300000</v>
      </c>
      <c r="S26" s="84">
        <f>Q26+R26</f>
        <v>600000</v>
      </c>
      <c r="T26" s="54">
        <f>S26/N26*100</f>
        <v>16.666666666666664</v>
      </c>
      <c r="U26" s="52">
        <f t="shared" si="5"/>
        <v>3000000</v>
      </c>
      <c r="V26" s="42">
        <f t="shared" si="2"/>
        <v>1500000</v>
      </c>
      <c r="W26" s="22">
        <f t="shared" si="0"/>
        <v>8.3333333333333321</v>
      </c>
      <c r="X26" s="22">
        <f t="shared" si="1"/>
        <v>8.3333333333333321</v>
      </c>
      <c r="Z26" s="65">
        <f t="shared" si="4"/>
        <v>8.3333333333333321</v>
      </c>
    </row>
    <row r="27" spans="1:26" x14ac:dyDescent="0.25">
      <c r="A27" s="240"/>
      <c r="B27" s="244"/>
      <c r="C27" s="247"/>
      <c r="D27" s="242"/>
      <c r="E27" s="242"/>
      <c r="F27" s="242"/>
      <c r="G27" s="241"/>
      <c r="H27" s="241"/>
      <c r="I27" s="242"/>
      <c r="J27" s="64"/>
      <c r="K27" s="28"/>
      <c r="L27" s="66"/>
      <c r="M27" s="66"/>
      <c r="N27" s="31"/>
      <c r="O27" s="66"/>
      <c r="P27" s="66"/>
      <c r="Q27" s="29"/>
      <c r="R27" s="29"/>
      <c r="S27" s="29"/>
      <c r="T27" s="32"/>
      <c r="U27" s="43"/>
      <c r="V27" s="42">
        <f t="shared" si="2"/>
        <v>0</v>
      </c>
      <c r="W27" s="22"/>
      <c r="X27" s="22"/>
      <c r="Z27" s="22" t="e">
        <f t="shared" si="4"/>
        <v>#DIV/0!</v>
      </c>
    </row>
    <row r="28" spans="1:26" ht="17.25" x14ac:dyDescent="0.3">
      <c r="A28" s="240"/>
      <c r="B28" s="505" t="s">
        <v>242</v>
      </c>
      <c r="C28" s="506"/>
      <c r="D28" s="506"/>
      <c r="E28" s="506"/>
      <c r="F28" s="507"/>
      <c r="G28" s="241"/>
      <c r="H28" s="241"/>
      <c r="I28" s="242"/>
      <c r="J28" s="81"/>
      <c r="K28" s="197" t="s">
        <v>189</v>
      </c>
      <c r="L28" s="52">
        <v>50388000</v>
      </c>
      <c r="M28" s="52">
        <v>0</v>
      </c>
      <c r="N28" s="52">
        <f t="shared" si="8"/>
        <v>50388000</v>
      </c>
      <c r="O28" s="116"/>
      <c r="P28" s="116"/>
      <c r="Q28" s="84">
        <v>4564000</v>
      </c>
      <c r="R28" s="84">
        <v>6434000</v>
      </c>
      <c r="S28" s="84">
        <f>Q28+R28</f>
        <v>10998000</v>
      </c>
      <c r="T28" s="54">
        <f>S28/N28*100</f>
        <v>21.826625386996902</v>
      </c>
      <c r="U28" s="52">
        <f t="shared" ref="U28:U88" si="9">N28-S28</f>
        <v>39390000</v>
      </c>
      <c r="V28" s="42">
        <f t="shared" si="2"/>
        <v>19695000</v>
      </c>
      <c r="W28" s="22">
        <f t="shared" ref="W28:W82" si="10">Q28/N28*100</f>
        <v>9.0577121536873868</v>
      </c>
      <c r="X28" s="22">
        <f t="shared" si="1"/>
        <v>9.0577121536873868</v>
      </c>
      <c r="Z28" s="65">
        <f t="shared" si="4"/>
        <v>9.0577121536873868</v>
      </c>
    </row>
    <row r="29" spans="1:26" x14ac:dyDescent="0.25">
      <c r="A29" s="240"/>
      <c r="B29" s="248"/>
      <c r="C29" s="249"/>
      <c r="D29" s="242"/>
      <c r="E29" s="242"/>
      <c r="F29" s="242"/>
      <c r="G29" s="241"/>
      <c r="H29" s="241"/>
      <c r="I29" s="242"/>
      <c r="J29" s="64"/>
      <c r="K29" s="28"/>
      <c r="L29" s="66"/>
      <c r="M29" s="66"/>
      <c r="N29" s="67"/>
      <c r="O29" s="66"/>
      <c r="P29" s="66"/>
      <c r="Q29" s="68"/>
      <c r="R29" s="29"/>
      <c r="S29" s="29"/>
      <c r="T29" s="32"/>
      <c r="U29" s="43"/>
      <c r="V29" s="42">
        <f t="shared" si="2"/>
        <v>0</v>
      </c>
      <c r="W29" s="22"/>
      <c r="X29" s="22"/>
      <c r="Z29" s="22" t="e">
        <f t="shared" si="4"/>
        <v>#DIV/0!</v>
      </c>
    </row>
    <row r="30" spans="1:26" ht="17.25" x14ac:dyDescent="0.3">
      <c r="A30" s="240"/>
      <c r="B30" s="505" t="s">
        <v>243</v>
      </c>
      <c r="C30" s="506"/>
      <c r="D30" s="506"/>
      <c r="E30" s="506"/>
      <c r="F30" s="507"/>
      <c r="G30" s="241"/>
      <c r="H30" s="241"/>
      <c r="I30" s="242"/>
      <c r="J30" s="81"/>
      <c r="K30" s="197" t="s">
        <v>190</v>
      </c>
      <c r="L30" s="52">
        <f>L34+L32</f>
        <v>33005000</v>
      </c>
      <c r="M30" s="52">
        <v>0</v>
      </c>
      <c r="N30" s="52">
        <f t="shared" si="8"/>
        <v>33005000</v>
      </c>
      <c r="O30" s="116"/>
      <c r="P30" s="116"/>
      <c r="Q30" s="52">
        <f>Q34+Q32</f>
        <v>955000</v>
      </c>
      <c r="R30" s="84">
        <v>3204350</v>
      </c>
      <c r="S30" s="84">
        <f>Q30+R30</f>
        <v>4159350</v>
      </c>
      <c r="T30" s="54">
        <f>S30/N30*100</f>
        <v>12.602181487653386</v>
      </c>
      <c r="U30" s="117">
        <f t="shared" si="9"/>
        <v>28845650</v>
      </c>
      <c r="V30" s="42">
        <f t="shared" si="2"/>
        <v>14422825</v>
      </c>
      <c r="W30" s="22"/>
      <c r="X30" s="22">
        <f t="shared" si="1"/>
        <v>2.8935009846992878</v>
      </c>
      <c r="Z30" s="22">
        <f t="shared" si="4"/>
        <v>2.8935009846992878</v>
      </c>
    </row>
    <row r="31" spans="1:26" x14ac:dyDescent="0.25">
      <c r="A31" s="240"/>
      <c r="B31" s="244"/>
      <c r="C31" s="247"/>
      <c r="D31" s="242"/>
      <c r="E31" s="242"/>
      <c r="F31" s="242"/>
      <c r="G31" s="241"/>
      <c r="H31" s="241"/>
      <c r="I31" s="242"/>
      <c r="J31" s="64"/>
      <c r="K31" s="28"/>
      <c r="L31" s="66"/>
      <c r="M31" s="66"/>
      <c r="N31" s="67"/>
      <c r="O31" s="66"/>
      <c r="P31" s="66"/>
      <c r="Q31" s="68"/>
      <c r="R31" s="29"/>
      <c r="S31" s="29"/>
      <c r="T31" s="32"/>
      <c r="U31" s="43"/>
      <c r="V31" s="42">
        <f t="shared" si="2"/>
        <v>0</v>
      </c>
      <c r="W31" s="22"/>
      <c r="X31" s="22"/>
      <c r="Z31" s="22" t="e">
        <f t="shared" si="4"/>
        <v>#DIV/0!</v>
      </c>
    </row>
    <row r="32" spans="1:26" hidden="1" x14ac:dyDescent="0.25">
      <c r="A32" s="240"/>
      <c r="B32" s="244"/>
      <c r="C32" s="247"/>
      <c r="D32" s="242"/>
      <c r="E32" s="242"/>
      <c r="F32" s="242"/>
      <c r="G32" s="241"/>
      <c r="H32" s="241"/>
      <c r="I32" s="242"/>
      <c r="J32" s="64"/>
      <c r="K32" s="56" t="s">
        <v>191</v>
      </c>
      <c r="L32" s="66">
        <v>15750000</v>
      </c>
      <c r="M32" s="66">
        <v>0</v>
      </c>
      <c r="N32" s="126">
        <f t="shared" si="8"/>
        <v>15750000</v>
      </c>
      <c r="O32" s="66"/>
      <c r="P32" s="66"/>
      <c r="Q32" s="68">
        <v>0</v>
      </c>
      <c r="R32" s="84">
        <v>2385000</v>
      </c>
      <c r="S32" s="84">
        <f>Q32+R32</f>
        <v>2385000</v>
      </c>
      <c r="T32" s="54">
        <f>S32/N32*100</f>
        <v>15.142857142857144</v>
      </c>
      <c r="U32" s="43">
        <f t="shared" si="9"/>
        <v>13365000</v>
      </c>
      <c r="V32" s="42"/>
      <c r="W32" s="22"/>
      <c r="X32" s="22">
        <f t="shared" si="1"/>
        <v>0</v>
      </c>
      <c r="Z32" s="22"/>
    </row>
    <row r="33" spans="1:26" hidden="1" x14ac:dyDescent="0.25">
      <c r="A33" s="240"/>
      <c r="B33" s="244"/>
      <c r="C33" s="247"/>
      <c r="D33" s="242"/>
      <c r="E33" s="242"/>
      <c r="F33" s="242"/>
      <c r="G33" s="241"/>
      <c r="H33" s="241"/>
      <c r="I33" s="242"/>
      <c r="J33" s="64"/>
      <c r="K33" s="28"/>
      <c r="L33" s="66"/>
      <c r="M33" s="66"/>
      <c r="N33" s="127"/>
      <c r="O33" s="66"/>
      <c r="P33" s="66"/>
      <c r="Q33" s="68"/>
      <c r="R33" s="29"/>
      <c r="S33" s="29"/>
      <c r="T33" s="32"/>
      <c r="U33" s="43"/>
      <c r="V33" s="42"/>
      <c r="W33" s="22"/>
      <c r="X33" s="22"/>
      <c r="Z33" s="22"/>
    </row>
    <row r="34" spans="1:26" hidden="1" x14ac:dyDescent="0.25">
      <c r="A34" s="240"/>
      <c r="B34" s="244"/>
      <c r="C34" s="247"/>
      <c r="D34" s="242"/>
      <c r="E34" s="242"/>
      <c r="F34" s="242"/>
      <c r="G34" s="241"/>
      <c r="H34" s="241"/>
      <c r="I34" s="242"/>
      <c r="J34" s="64"/>
      <c r="K34" s="56" t="s">
        <v>192</v>
      </c>
      <c r="L34" s="30">
        <v>17255000</v>
      </c>
      <c r="M34" s="30">
        <v>0</v>
      </c>
      <c r="N34" s="126">
        <f t="shared" si="8"/>
        <v>17255000</v>
      </c>
      <c r="O34" s="66"/>
      <c r="P34" s="66"/>
      <c r="Q34" s="68">
        <v>955000</v>
      </c>
      <c r="R34" s="84">
        <v>819350</v>
      </c>
      <c r="S34" s="84">
        <f>Q34+R34</f>
        <v>1774350</v>
      </c>
      <c r="T34" s="20">
        <f>S34/N34*100</f>
        <v>10.283106345986671</v>
      </c>
      <c r="U34" s="43">
        <f t="shared" si="9"/>
        <v>15480650</v>
      </c>
      <c r="V34" s="42">
        <f t="shared" si="2"/>
        <v>7740325</v>
      </c>
      <c r="W34" s="22"/>
      <c r="X34" s="22">
        <f t="shared" si="1"/>
        <v>5.5346276441611133</v>
      </c>
      <c r="Z34" s="22">
        <f t="shared" si="4"/>
        <v>5.5346276441611133</v>
      </c>
    </row>
    <row r="35" spans="1:26" hidden="1" x14ac:dyDescent="0.25">
      <c r="A35" s="240"/>
      <c r="B35" s="244"/>
      <c r="C35" s="247"/>
      <c r="D35" s="242"/>
      <c r="E35" s="242"/>
      <c r="F35" s="242"/>
      <c r="G35" s="241"/>
      <c r="H35" s="241"/>
      <c r="I35" s="242"/>
      <c r="J35" s="64"/>
      <c r="K35" s="28"/>
      <c r="L35" s="66"/>
      <c r="M35" s="66"/>
      <c r="N35" s="67"/>
      <c r="O35" s="66"/>
      <c r="P35" s="66"/>
      <c r="Q35" s="68"/>
      <c r="R35" s="29"/>
      <c r="S35" s="29"/>
      <c r="T35" s="32"/>
      <c r="U35" s="43"/>
      <c r="V35" s="42">
        <f t="shared" si="2"/>
        <v>0</v>
      </c>
      <c r="W35" s="22"/>
      <c r="X35" s="22"/>
      <c r="Z35" s="22" t="e">
        <f t="shared" si="4"/>
        <v>#DIV/0!</v>
      </c>
    </row>
    <row r="36" spans="1:26" ht="17.25" x14ac:dyDescent="0.3">
      <c r="A36" s="240"/>
      <c r="B36" s="505" t="s">
        <v>244</v>
      </c>
      <c r="C36" s="506"/>
      <c r="D36" s="506"/>
      <c r="E36" s="506"/>
      <c r="F36" s="507"/>
      <c r="G36" s="248"/>
      <c r="H36" s="248"/>
      <c r="I36" s="250"/>
      <c r="J36" s="122"/>
      <c r="K36" s="197" t="s">
        <v>193</v>
      </c>
      <c r="L36" s="52">
        <v>136360000</v>
      </c>
      <c r="M36" s="52">
        <v>0</v>
      </c>
      <c r="N36" s="52">
        <f t="shared" si="8"/>
        <v>136360000</v>
      </c>
      <c r="O36" s="116"/>
      <c r="P36" s="116"/>
      <c r="Q36" s="84">
        <v>19952500</v>
      </c>
      <c r="R36" s="84">
        <v>6140000</v>
      </c>
      <c r="S36" s="84">
        <f>Q36+R36</f>
        <v>26092500</v>
      </c>
      <c r="T36" s="54">
        <f>S36/N36*100</f>
        <v>19.135010266940451</v>
      </c>
      <c r="U36" s="52">
        <f t="shared" si="9"/>
        <v>110267500</v>
      </c>
      <c r="V36" s="42">
        <f t="shared" si="2"/>
        <v>55133750</v>
      </c>
      <c r="W36" s="22">
        <f t="shared" si="10"/>
        <v>14.632223525960692</v>
      </c>
      <c r="X36" s="22">
        <f t="shared" si="1"/>
        <v>14.632223525960692</v>
      </c>
      <c r="Z36" s="65">
        <f t="shared" si="4"/>
        <v>14.632223525960692</v>
      </c>
    </row>
    <row r="37" spans="1:26" x14ac:dyDescent="0.25">
      <c r="A37" s="240"/>
      <c r="B37" s="244"/>
      <c r="C37" s="247"/>
      <c r="D37" s="242"/>
      <c r="E37" s="242"/>
      <c r="F37" s="242"/>
      <c r="G37" s="241"/>
      <c r="H37" s="241"/>
      <c r="I37" s="242"/>
      <c r="J37" s="64"/>
      <c r="K37" s="28"/>
      <c r="L37" s="66"/>
      <c r="M37" s="66"/>
      <c r="N37" s="67"/>
      <c r="O37" s="66"/>
      <c r="P37" s="66"/>
      <c r="Q37" s="68"/>
      <c r="R37" s="29"/>
      <c r="S37" s="29"/>
      <c r="T37" s="32"/>
      <c r="U37" s="43"/>
      <c r="V37" s="42">
        <f t="shared" si="2"/>
        <v>0</v>
      </c>
      <c r="W37" s="22"/>
      <c r="X37" s="22"/>
      <c r="Z37" s="22" t="e">
        <f t="shared" si="4"/>
        <v>#DIV/0!</v>
      </c>
    </row>
    <row r="38" spans="1:26" ht="17.25" x14ac:dyDescent="0.3">
      <c r="A38" s="240"/>
      <c r="B38" s="505" t="s">
        <v>245</v>
      </c>
      <c r="C38" s="506"/>
      <c r="D38" s="506"/>
      <c r="E38" s="506"/>
      <c r="F38" s="507"/>
      <c r="G38" s="248"/>
      <c r="H38" s="248"/>
      <c r="I38" s="250"/>
      <c r="J38" s="122"/>
      <c r="K38" s="197" t="s">
        <v>194</v>
      </c>
      <c r="L38" s="52">
        <v>1980000</v>
      </c>
      <c r="M38" s="52">
        <v>0</v>
      </c>
      <c r="N38" s="52">
        <f t="shared" si="8"/>
        <v>1980000</v>
      </c>
      <c r="O38" s="116"/>
      <c r="P38" s="116"/>
      <c r="Q38" s="84">
        <v>0</v>
      </c>
      <c r="R38" s="84">
        <v>0</v>
      </c>
      <c r="S38" s="84">
        <f>Q38+R38</f>
        <v>0</v>
      </c>
      <c r="T38" s="54">
        <f>S38/N38*100</f>
        <v>0</v>
      </c>
      <c r="U38" s="52">
        <f t="shared" si="9"/>
        <v>1980000</v>
      </c>
      <c r="V38" s="42">
        <f t="shared" si="2"/>
        <v>990000</v>
      </c>
      <c r="W38" s="22">
        <f t="shared" si="10"/>
        <v>0</v>
      </c>
      <c r="X38" s="22">
        <f t="shared" si="1"/>
        <v>0</v>
      </c>
      <c r="Z38" s="65">
        <f t="shared" si="4"/>
        <v>0</v>
      </c>
    </row>
    <row r="39" spans="1:26" x14ac:dyDescent="0.25">
      <c r="A39" s="240"/>
      <c r="B39" s="244"/>
      <c r="C39" s="247"/>
      <c r="D39" s="242"/>
      <c r="E39" s="242"/>
      <c r="F39" s="242"/>
      <c r="G39" s="241"/>
      <c r="H39" s="241"/>
      <c r="I39" s="242"/>
      <c r="J39" s="64"/>
      <c r="K39" s="28"/>
      <c r="L39" s="66"/>
      <c r="M39" s="66"/>
      <c r="N39" s="67"/>
      <c r="O39" s="66"/>
      <c r="P39" s="66"/>
      <c r="Q39" s="68"/>
      <c r="R39" s="29"/>
      <c r="S39" s="29"/>
      <c r="T39" s="32"/>
      <c r="U39" s="43"/>
      <c r="V39" s="42">
        <f t="shared" si="2"/>
        <v>0</v>
      </c>
      <c r="W39" s="22"/>
      <c r="X39" s="22"/>
      <c r="Z39" s="22" t="e">
        <f t="shared" si="4"/>
        <v>#DIV/0!</v>
      </c>
    </row>
    <row r="40" spans="1:26" ht="17.25" x14ac:dyDescent="0.3">
      <c r="A40" s="240"/>
      <c r="B40" s="505" t="s">
        <v>246</v>
      </c>
      <c r="C40" s="506"/>
      <c r="D40" s="506"/>
      <c r="E40" s="506"/>
      <c r="F40" s="507"/>
      <c r="G40" s="248"/>
      <c r="H40" s="248"/>
      <c r="I40" s="250"/>
      <c r="J40" s="122"/>
      <c r="K40" s="197" t="s">
        <v>195</v>
      </c>
      <c r="L40" s="52">
        <v>1700000</v>
      </c>
      <c r="M40" s="52">
        <v>0</v>
      </c>
      <c r="N40" s="52">
        <f t="shared" si="8"/>
        <v>1700000</v>
      </c>
      <c r="O40" s="116"/>
      <c r="P40" s="116"/>
      <c r="Q40" s="84">
        <v>0</v>
      </c>
      <c r="R40" s="84">
        <v>500000</v>
      </c>
      <c r="S40" s="84">
        <f>Q40+R40</f>
        <v>500000</v>
      </c>
      <c r="T40" s="54">
        <f>S40/N40*100</f>
        <v>29.411764705882355</v>
      </c>
      <c r="U40" s="52">
        <f t="shared" si="9"/>
        <v>1200000</v>
      </c>
      <c r="V40" s="42">
        <f t="shared" si="2"/>
        <v>600000</v>
      </c>
      <c r="W40" s="22">
        <f t="shared" si="10"/>
        <v>0</v>
      </c>
      <c r="X40" s="22">
        <f t="shared" si="1"/>
        <v>0</v>
      </c>
      <c r="Z40" s="65">
        <f t="shared" si="4"/>
        <v>0</v>
      </c>
    </row>
    <row r="41" spans="1:26" x14ac:dyDescent="0.25">
      <c r="A41" s="240"/>
      <c r="B41" s="244"/>
      <c r="C41" s="247"/>
      <c r="D41" s="242"/>
      <c r="E41" s="242"/>
      <c r="F41" s="242"/>
      <c r="G41" s="241"/>
      <c r="H41" s="241"/>
      <c r="I41" s="242"/>
      <c r="J41" s="64"/>
      <c r="K41" s="28"/>
      <c r="L41" s="66"/>
      <c r="M41" s="66"/>
      <c r="N41" s="67"/>
      <c r="O41" s="66"/>
      <c r="P41" s="66"/>
      <c r="Q41" s="68"/>
      <c r="R41" s="29"/>
      <c r="S41" s="29"/>
      <c r="T41" s="32"/>
      <c r="U41" s="43"/>
      <c r="V41" s="42">
        <f t="shared" si="2"/>
        <v>0</v>
      </c>
      <c r="W41" s="22"/>
      <c r="X41" s="22"/>
      <c r="Z41" s="22" t="e">
        <f t="shared" si="4"/>
        <v>#DIV/0!</v>
      </c>
    </row>
    <row r="42" spans="1:26" ht="17.25" x14ac:dyDescent="0.3">
      <c r="A42" s="240"/>
      <c r="B42" s="505" t="s">
        <v>246</v>
      </c>
      <c r="C42" s="506"/>
      <c r="D42" s="506"/>
      <c r="E42" s="506"/>
      <c r="F42" s="507"/>
      <c r="G42" s="251"/>
      <c r="H42" s="251"/>
      <c r="I42" s="251"/>
      <c r="J42" s="98"/>
      <c r="K42" s="197" t="s">
        <v>196</v>
      </c>
      <c r="L42" s="131">
        <f>L44+L46+L48</f>
        <v>231900000</v>
      </c>
      <c r="M42" s="131">
        <f>M44+M46+M48</f>
        <v>0</v>
      </c>
      <c r="N42" s="52">
        <f t="shared" si="8"/>
        <v>231900000</v>
      </c>
      <c r="O42" s="116"/>
      <c r="P42" s="116"/>
      <c r="Q42" s="84">
        <f>Q44+Q46+Q48</f>
        <v>18221022</v>
      </c>
      <c r="R42" s="84">
        <v>18407127</v>
      </c>
      <c r="S42" s="84">
        <f>Q42+R42</f>
        <v>36628149</v>
      </c>
      <c r="T42" s="54">
        <f>S42/N42*100</f>
        <v>15.794803363518758</v>
      </c>
      <c r="U42" s="52">
        <f t="shared" si="9"/>
        <v>195271851</v>
      </c>
      <c r="V42" s="42">
        <f t="shared" si="2"/>
        <v>97635925.5</v>
      </c>
      <c r="W42" s="22">
        <f t="shared" si="10"/>
        <v>7.8572755498059506</v>
      </c>
      <c r="X42" s="22">
        <f t="shared" si="1"/>
        <v>7.8572755498059506</v>
      </c>
      <c r="Z42" s="22">
        <f t="shared" si="4"/>
        <v>7.8572755498059506</v>
      </c>
    </row>
    <row r="43" spans="1:26" x14ac:dyDescent="0.25">
      <c r="A43" s="240"/>
      <c r="B43" s="244"/>
      <c r="C43" s="247"/>
      <c r="D43" s="242"/>
      <c r="E43" s="242"/>
      <c r="F43" s="242"/>
      <c r="G43" s="241"/>
      <c r="H43" s="241"/>
      <c r="I43" s="242"/>
      <c r="J43" s="64"/>
      <c r="K43" s="28"/>
      <c r="L43" s="66"/>
      <c r="M43" s="66"/>
      <c r="N43" s="67"/>
      <c r="O43" s="66"/>
      <c r="P43" s="66"/>
      <c r="Q43" s="68"/>
      <c r="R43" s="29"/>
      <c r="S43" s="29"/>
      <c r="T43" s="32"/>
      <c r="U43" s="43"/>
      <c r="V43" s="42">
        <f t="shared" si="2"/>
        <v>0</v>
      </c>
      <c r="W43" s="22"/>
      <c r="X43" s="22"/>
      <c r="Z43" s="22" t="e">
        <f t="shared" si="4"/>
        <v>#DIV/0!</v>
      </c>
    </row>
    <row r="44" spans="1:26" hidden="1" x14ac:dyDescent="0.25">
      <c r="A44" s="240"/>
      <c r="B44" s="244"/>
      <c r="C44" s="247"/>
      <c r="D44" s="242"/>
      <c r="E44" s="242"/>
      <c r="F44" s="242"/>
      <c r="G44" s="241"/>
      <c r="H44" s="241"/>
      <c r="I44" s="242"/>
      <c r="J44" s="64"/>
      <c r="K44" s="28" t="s">
        <v>197</v>
      </c>
      <c r="L44" s="66">
        <v>27000000</v>
      </c>
      <c r="M44" s="66">
        <v>0</v>
      </c>
      <c r="N44" s="126">
        <f t="shared" si="8"/>
        <v>27000000</v>
      </c>
      <c r="O44" s="66"/>
      <c r="P44" s="66"/>
      <c r="Q44" s="68">
        <v>1623403</v>
      </c>
      <c r="R44" s="84">
        <v>1703568</v>
      </c>
      <c r="S44" s="84">
        <f>Q44+R44</f>
        <v>3326971</v>
      </c>
      <c r="T44" s="54">
        <f>S44/N44*100</f>
        <v>12.322114814814816</v>
      </c>
      <c r="U44" s="43">
        <f t="shared" si="9"/>
        <v>23673029</v>
      </c>
      <c r="V44" s="42"/>
      <c r="W44" s="22"/>
      <c r="X44" s="22">
        <f t="shared" si="1"/>
        <v>6.0126037037037037</v>
      </c>
      <c r="Z44" s="22"/>
    </row>
    <row r="45" spans="1:26" hidden="1" x14ac:dyDescent="0.25">
      <c r="A45" s="240"/>
      <c r="B45" s="244"/>
      <c r="C45" s="247"/>
      <c r="D45" s="242"/>
      <c r="E45" s="242"/>
      <c r="F45" s="242"/>
      <c r="G45" s="241"/>
      <c r="H45" s="241"/>
      <c r="I45" s="242"/>
      <c r="J45" s="64"/>
      <c r="K45" s="28"/>
      <c r="L45" s="66"/>
      <c r="M45" s="66"/>
      <c r="N45" s="67"/>
      <c r="O45" s="66"/>
      <c r="P45" s="66"/>
      <c r="Q45" s="68"/>
      <c r="R45" s="29"/>
      <c r="S45" s="29"/>
      <c r="T45" s="32"/>
      <c r="U45" s="43"/>
      <c r="V45" s="42"/>
      <c r="W45" s="22"/>
      <c r="X45" s="22"/>
      <c r="Z45" s="22"/>
    </row>
    <row r="46" spans="1:26" hidden="1" x14ac:dyDescent="0.25">
      <c r="A46" s="240"/>
      <c r="B46" s="244"/>
      <c r="C46" s="247"/>
      <c r="D46" s="242"/>
      <c r="E46" s="242"/>
      <c r="F46" s="242"/>
      <c r="G46" s="241"/>
      <c r="H46" s="241"/>
      <c r="I46" s="242"/>
      <c r="J46" s="64"/>
      <c r="K46" s="28" t="s">
        <v>198</v>
      </c>
      <c r="L46" s="66">
        <v>900000</v>
      </c>
      <c r="M46" s="66">
        <v>0</v>
      </c>
      <c r="N46" s="126">
        <f t="shared" si="8"/>
        <v>900000</v>
      </c>
      <c r="O46" s="66"/>
      <c r="P46" s="66"/>
      <c r="Q46" s="68">
        <v>45950</v>
      </c>
      <c r="R46" s="84">
        <v>45950</v>
      </c>
      <c r="S46" s="84">
        <f>Q46+R46</f>
        <v>91900</v>
      </c>
      <c r="T46" s="54">
        <f>S46/N46*100</f>
        <v>10.21111111111111</v>
      </c>
      <c r="U46" s="43">
        <f t="shared" si="9"/>
        <v>808100</v>
      </c>
      <c r="V46" s="42"/>
      <c r="W46" s="22"/>
      <c r="X46" s="22">
        <f t="shared" si="1"/>
        <v>5.1055555555555552</v>
      </c>
      <c r="Z46" s="22"/>
    </row>
    <row r="47" spans="1:26" hidden="1" x14ac:dyDescent="0.25">
      <c r="A47" s="240"/>
      <c r="B47" s="244"/>
      <c r="C47" s="247"/>
      <c r="D47" s="242"/>
      <c r="E47" s="242"/>
      <c r="F47" s="242"/>
      <c r="G47" s="241"/>
      <c r="H47" s="241"/>
      <c r="I47" s="242"/>
      <c r="J47" s="64"/>
      <c r="K47" s="28"/>
      <c r="L47" s="66"/>
      <c r="M47" s="66"/>
      <c r="N47" s="67"/>
      <c r="O47" s="66"/>
      <c r="P47" s="66"/>
      <c r="Q47" s="68"/>
      <c r="R47" s="29"/>
      <c r="S47" s="29"/>
      <c r="T47" s="32"/>
      <c r="U47" s="43"/>
      <c r="V47" s="42"/>
      <c r="W47" s="22"/>
      <c r="X47" s="22"/>
      <c r="Z47" s="22"/>
    </row>
    <row r="48" spans="1:26" hidden="1" x14ac:dyDescent="0.25">
      <c r="A48" s="240"/>
      <c r="B48" s="244"/>
      <c r="C48" s="247"/>
      <c r="D48" s="242"/>
      <c r="E48" s="242"/>
      <c r="F48" s="242"/>
      <c r="G48" s="241"/>
      <c r="H48" s="241"/>
      <c r="I48" s="242"/>
      <c r="J48" s="64"/>
      <c r="K48" s="56" t="s">
        <v>199</v>
      </c>
      <c r="L48" s="30">
        <v>204000000</v>
      </c>
      <c r="M48" s="30">
        <v>0</v>
      </c>
      <c r="N48" s="31">
        <v>204000000</v>
      </c>
      <c r="O48" s="66"/>
      <c r="P48" s="66"/>
      <c r="Q48" s="225">
        <v>16551669</v>
      </c>
      <c r="R48" s="84">
        <v>16657609</v>
      </c>
      <c r="S48" s="84">
        <f>Q48+R48</f>
        <v>33209278</v>
      </c>
      <c r="T48" s="54">
        <f>S48/N48*100</f>
        <v>16.279057843137252</v>
      </c>
      <c r="U48" s="43">
        <f>N48-S48</f>
        <v>170790722</v>
      </c>
      <c r="V48" s="42">
        <f t="shared" si="2"/>
        <v>85395361</v>
      </c>
      <c r="W48" s="22">
        <f t="shared" si="10"/>
        <v>8.1135632352941176</v>
      </c>
      <c r="X48" s="22">
        <f t="shared" si="1"/>
        <v>8.1135632352941176</v>
      </c>
      <c r="Z48" s="22">
        <f t="shared" si="4"/>
        <v>8.1135632352941176</v>
      </c>
    </row>
    <row r="49" spans="1:27" hidden="1" x14ac:dyDescent="0.25">
      <c r="A49" s="240"/>
      <c r="B49" s="244"/>
      <c r="C49" s="247"/>
      <c r="D49" s="242"/>
      <c r="E49" s="242"/>
      <c r="F49" s="242"/>
      <c r="G49" s="241"/>
      <c r="H49" s="241"/>
      <c r="I49" s="242"/>
      <c r="J49" s="64"/>
      <c r="K49" s="28"/>
      <c r="L49" s="66"/>
      <c r="M49" s="66"/>
      <c r="N49" s="67"/>
      <c r="O49" s="66"/>
      <c r="P49" s="66"/>
      <c r="Q49" s="68"/>
      <c r="R49" s="29"/>
      <c r="S49" s="29"/>
      <c r="T49" s="32"/>
      <c r="U49" s="43"/>
      <c r="V49" s="42">
        <f t="shared" si="2"/>
        <v>0</v>
      </c>
      <c r="W49" s="22"/>
      <c r="X49" s="22"/>
      <c r="Z49" s="22" t="e">
        <f t="shared" si="4"/>
        <v>#DIV/0!</v>
      </c>
    </row>
    <row r="50" spans="1:27" ht="17.25" x14ac:dyDescent="0.3">
      <c r="A50" s="240"/>
      <c r="B50" s="505" t="s">
        <v>247</v>
      </c>
      <c r="C50" s="506"/>
      <c r="D50" s="506"/>
      <c r="E50" s="506"/>
      <c r="F50" s="507"/>
      <c r="G50" s="251"/>
      <c r="H50" s="251"/>
      <c r="I50" s="251"/>
      <c r="J50" s="98"/>
      <c r="K50" s="197" t="s">
        <v>200</v>
      </c>
      <c r="L50" s="131">
        <f>L52+L54+L56+L58+L60</f>
        <v>727622000</v>
      </c>
      <c r="M50" s="131">
        <f>M52+M54+M56+M58+M60</f>
        <v>0</v>
      </c>
      <c r="N50" s="52">
        <f t="shared" si="8"/>
        <v>727622000</v>
      </c>
      <c r="O50" s="116"/>
      <c r="P50" s="116"/>
      <c r="Q50" s="120">
        <f>Q52+Q54+Q56+Q58+Q60</f>
        <v>61999849</v>
      </c>
      <c r="R50" s="121">
        <v>54618753</v>
      </c>
      <c r="S50" s="121">
        <f>Q50+R50</f>
        <v>116618602</v>
      </c>
      <c r="T50" s="54">
        <f>S50/N50*100</f>
        <v>16.027360635055015</v>
      </c>
      <c r="U50" s="117">
        <f t="shared" si="9"/>
        <v>611003398</v>
      </c>
      <c r="V50" s="42">
        <f t="shared" si="2"/>
        <v>305501699</v>
      </c>
      <c r="W50" s="22">
        <f t="shared" si="10"/>
        <v>8.5208870814791204</v>
      </c>
      <c r="X50" s="22">
        <f t="shared" si="1"/>
        <v>8.5208870814791204</v>
      </c>
      <c r="Z50" s="65">
        <f t="shared" si="4"/>
        <v>8.5208870814791204</v>
      </c>
    </row>
    <row r="51" spans="1:27" x14ac:dyDescent="0.25">
      <c r="A51" s="240"/>
      <c r="B51" s="244"/>
      <c r="C51" s="247"/>
      <c r="D51" s="242"/>
      <c r="E51" s="242"/>
      <c r="F51" s="242"/>
      <c r="G51" s="241"/>
      <c r="H51" s="241"/>
      <c r="I51" s="242"/>
      <c r="J51" s="64"/>
      <c r="K51" s="28"/>
      <c r="L51" s="66"/>
      <c r="M51" s="30"/>
      <c r="N51" s="67"/>
      <c r="O51" s="66"/>
      <c r="P51" s="66"/>
      <c r="Q51" s="68"/>
      <c r="R51" s="29"/>
      <c r="S51" s="29"/>
      <c r="T51" s="32"/>
      <c r="U51" s="43"/>
      <c r="V51" s="42">
        <f t="shared" si="2"/>
        <v>0</v>
      </c>
      <c r="W51" s="22"/>
      <c r="X51" s="22"/>
      <c r="Z51" s="22" t="e">
        <f t="shared" si="4"/>
        <v>#DIV/0!</v>
      </c>
    </row>
    <row r="52" spans="1:27" hidden="1" x14ac:dyDescent="0.25">
      <c r="A52" s="240"/>
      <c r="B52" s="244"/>
      <c r="C52" s="247"/>
      <c r="D52" s="242"/>
      <c r="E52" s="242"/>
      <c r="F52" s="242"/>
      <c r="G52" s="241"/>
      <c r="H52" s="241"/>
      <c r="I52" s="242"/>
      <c r="J52" s="64"/>
      <c r="K52" s="56" t="s">
        <v>201</v>
      </c>
      <c r="L52" s="66">
        <v>3300000</v>
      </c>
      <c r="M52" s="30">
        <v>0</v>
      </c>
      <c r="N52" s="126">
        <f t="shared" si="8"/>
        <v>3300000</v>
      </c>
      <c r="O52" s="66"/>
      <c r="P52" s="66"/>
      <c r="Q52" s="68">
        <v>0</v>
      </c>
      <c r="R52" s="84">
        <v>275000</v>
      </c>
      <c r="S52" s="84">
        <f>Q52+R52</f>
        <v>275000</v>
      </c>
      <c r="T52" s="54">
        <f>S52/N52*100</f>
        <v>8.3333333333333321</v>
      </c>
      <c r="U52" s="43">
        <f t="shared" si="9"/>
        <v>3025000</v>
      </c>
      <c r="V52" s="42"/>
      <c r="W52" s="22"/>
      <c r="X52" s="22">
        <f t="shared" si="1"/>
        <v>0</v>
      </c>
      <c r="Z52" s="22"/>
    </row>
    <row r="53" spans="1:27" hidden="1" x14ac:dyDescent="0.25">
      <c r="A53" s="240"/>
      <c r="B53" s="244"/>
      <c r="C53" s="247"/>
      <c r="D53" s="242"/>
      <c r="E53" s="242"/>
      <c r="F53" s="242"/>
      <c r="G53" s="241"/>
      <c r="H53" s="241"/>
      <c r="I53" s="242"/>
      <c r="J53" s="64"/>
      <c r="K53" s="56"/>
      <c r="L53" s="66"/>
      <c r="M53" s="30"/>
      <c r="N53" s="67"/>
      <c r="O53" s="66"/>
      <c r="P53" s="66"/>
      <c r="Q53" s="68"/>
      <c r="R53" s="29"/>
      <c r="S53" s="29"/>
      <c r="T53" s="32"/>
      <c r="U53" s="43"/>
      <c r="V53" s="42"/>
      <c r="W53" s="22"/>
      <c r="X53" s="22"/>
      <c r="Z53" s="22"/>
    </row>
    <row r="54" spans="1:27" hidden="1" x14ac:dyDescent="0.25">
      <c r="A54" s="240"/>
      <c r="B54" s="244"/>
      <c r="C54" s="247"/>
      <c r="D54" s="242"/>
      <c r="E54" s="242"/>
      <c r="F54" s="242"/>
      <c r="G54" s="241"/>
      <c r="H54" s="241"/>
      <c r="I54" s="242"/>
      <c r="J54" s="64"/>
      <c r="K54" s="56" t="s">
        <v>202</v>
      </c>
      <c r="L54" s="66">
        <v>314472000</v>
      </c>
      <c r="M54" s="30">
        <v>0</v>
      </c>
      <c r="N54" s="126">
        <f t="shared" si="8"/>
        <v>314472000</v>
      </c>
      <c r="O54" s="66"/>
      <c r="P54" s="66"/>
      <c r="Q54" s="76">
        <v>27483733</v>
      </c>
      <c r="R54" s="84">
        <v>24018733</v>
      </c>
      <c r="S54" s="84">
        <f>Q54+R54</f>
        <v>51502466</v>
      </c>
      <c r="T54" s="54">
        <f>S54/N54*100</f>
        <v>16.377440916838385</v>
      </c>
      <c r="U54" s="43">
        <f t="shared" si="9"/>
        <v>262969534</v>
      </c>
      <c r="V54" s="42"/>
      <c r="W54" s="22"/>
      <c r="X54" s="22">
        <f t="shared" si="1"/>
        <v>8.7396439110636237</v>
      </c>
      <c r="Z54" s="22"/>
    </row>
    <row r="55" spans="1:27" hidden="1" x14ac:dyDescent="0.25">
      <c r="A55" s="240"/>
      <c r="B55" s="244"/>
      <c r="C55" s="247"/>
      <c r="D55" s="242"/>
      <c r="E55" s="242"/>
      <c r="F55" s="242"/>
      <c r="G55" s="241"/>
      <c r="H55" s="241"/>
      <c r="I55" s="242"/>
      <c r="J55" s="64"/>
      <c r="K55" s="56"/>
      <c r="L55" s="66"/>
      <c r="M55" s="30"/>
      <c r="N55" s="67"/>
      <c r="O55" s="66"/>
      <c r="P55" s="66"/>
      <c r="Q55" s="68"/>
      <c r="R55" s="29"/>
      <c r="S55" s="29"/>
      <c r="T55" s="32"/>
      <c r="U55" s="43"/>
      <c r="V55" s="42"/>
      <c r="W55" s="22"/>
      <c r="X55" s="22"/>
      <c r="Z55" s="22"/>
    </row>
    <row r="56" spans="1:27" hidden="1" x14ac:dyDescent="0.25">
      <c r="A56" s="240"/>
      <c r="B56" s="244"/>
      <c r="C56" s="247"/>
      <c r="D56" s="242"/>
      <c r="E56" s="242"/>
      <c r="F56" s="242"/>
      <c r="G56" s="241"/>
      <c r="H56" s="241"/>
      <c r="I56" s="242"/>
      <c r="J56" s="64"/>
      <c r="K56" s="56" t="s">
        <v>203</v>
      </c>
      <c r="L56" s="66">
        <v>357430000</v>
      </c>
      <c r="M56" s="30">
        <v>0</v>
      </c>
      <c r="N56" s="126">
        <f t="shared" si="8"/>
        <v>357430000</v>
      </c>
      <c r="O56" s="66"/>
      <c r="P56" s="66"/>
      <c r="Q56" s="76">
        <v>30269468</v>
      </c>
      <c r="R56" s="84">
        <v>26309478</v>
      </c>
      <c r="S56" s="84">
        <f>Q56+R56</f>
        <v>56578946</v>
      </c>
      <c r="T56" s="54">
        <f>S56/N56*100</f>
        <v>15.829378060039728</v>
      </c>
      <c r="U56" s="43">
        <f t="shared" si="9"/>
        <v>300851054</v>
      </c>
      <c r="V56" s="42"/>
      <c r="W56" s="22"/>
      <c r="X56" s="22">
        <f t="shared" si="1"/>
        <v>8.4686422516296886</v>
      </c>
      <c r="Z56" s="22"/>
    </row>
    <row r="57" spans="1:27" hidden="1" x14ac:dyDescent="0.25">
      <c r="A57" s="240"/>
      <c r="B57" s="244"/>
      <c r="C57" s="247"/>
      <c r="D57" s="242"/>
      <c r="E57" s="242"/>
      <c r="F57" s="242"/>
      <c r="G57" s="241"/>
      <c r="H57" s="241"/>
      <c r="I57" s="242"/>
      <c r="J57" s="64"/>
      <c r="K57" s="56"/>
      <c r="L57" s="66"/>
      <c r="M57" s="30"/>
      <c r="N57" s="67"/>
      <c r="O57" s="66"/>
      <c r="P57" s="66"/>
      <c r="Q57" s="68"/>
      <c r="R57" s="29"/>
      <c r="S57" s="29"/>
      <c r="T57" s="32"/>
      <c r="U57" s="43"/>
      <c r="V57" s="42"/>
      <c r="W57" s="22"/>
      <c r="X57" s="22"/>
      <c r="Z57" s="22"/>
    </row>
    <row r="58" spans="1:27" hidden="1" x14ac:dyDescent="0.25">
      <c r="A58" s="240"/>
      <c r="B58" s="244"/>
      <c r="C58" s="247"/>
      <c r="D58" s="242"/>
      <c r="E58" s="242"/>
      <c r="F58" s="242"/>
      <c r="G58" s="241"/>
      <c r="H58" s="241"/>
      <c r="I58" s="242"/>
      <c r="J58" s="64"/>
      <c r="K58" s="56" t="s">
        <v>204</v>
      </c>
      <c r="L58" s="66">
        <v>10800000</v>
      </c>
      <c r="M58" s="30">
        <v>0</v>
      </c>
      <c r="N58" s="126">
        <f t="shared" si="8"/>
        <v>10800000</v>
      </c>
      <c r="O58" s="66"/>
      <c r="P58" s="66"/>
      <c r="Q58" s="68">
        <v>900000</v>
      </c>
      <c r="R58" s="84">
        <v>900000</v>
      </c>
      <c r="S58" s="84">
        <f>Q58+R58</f>
        <v>1800000</v>
      </c>
      <c r="T58" s="54">
        <f>S58/N58*100</f>
        <v>16.666666666666664</v>
      </c>
      <c r="U58" s="43">
        <f t="shared" si="9"/>
        <v>9000000</v>
      </c>
      <c r="V58" s="42"/>
      <c r="W58" s="22"/>
      <c r="X58" s="22">
        <f t="shared" si="1"/>
        <v>8.3333333333333321</v>
      </c>
      <c r="Z58" s="22"/>
    </row>
    <row r="59" spans="1:27" hidden="1" x14ac:dyDescent="0.25">
      <c r="A59" s="240"/>
      <c r="B59" s="244"/>
      <c r="C59" s="247"/>
      <c r="D59" s="242"/>
      <c r="E59" s="242"/>
      <c r="F59" s="242"/>
      <c r="G59" s="241"/>
      <c r="H59" s="241"/>
      <c r="I59" s="242"/>
      <c r="J59" s="64"/>
      <c r="K59" s="28"/>
      <c r="L59" s="66"/>
      <c r="M59" s="30"/>
      <c r="N59" s="67"/>
      <c r="O59" s="66"/>
      <c r="P59" s="66"/>
      <c r="Q59" s="68"/>
      <c r="R59" s="29"/>
      <c r="S59" s="29"/>
      <c r="T59" s="32"/>
      <c r="U59" s="43"/>
      <c r="V59" s="42"/>
      <c r="W59" s="22"/>
      <c r="X59" s="22"/>
      <c r="Z59" s="22"/>
    </row>
    <row r="60" spans="1:27" hidden="1" x14ac:dyDescent="0.25">
      <c r="A60" s="240"/>
      <c r="B60" s="244"/>
      <c r="C60" s="247"/>
      <c r="D60" s="242"/>
      <c r="E60" s="242"/>
      <c r="F60" s="242"/>
      <c r="G60" s="241"/>
      <c r="H60" s="241"/>
      <c r="I60" s="242"/>
      <c r="J60" s="64"/>
      <c r="K60" s="56" t="s">
        <v>205</v>
      </c>
      <c r="L60" s="30">
        <v>41620000</v>
      </c>
      <c r="M60" s="30">
        <v>0</v>
      </c>
      <c r="N60" s="126">
        <f t="shared" si="8"/>
        <v>41620000</v>
      </c>
      <c r="O60" s="66"/>
      <c r="P60" s="66"/>
      <c r="Q60" s="226">
        <v>3346648</v>
      </c>
      <c r="R60" s="84">
        <v>3115542</v>
      </c>
      <c r="S60" s="84">
        <f>Q60+R60</f>
        <v>6462190</v>
      </c>
      <c r="T60" s="54">
        <f>S60/N60*100</f>
        <v>15.526645843344546</v>
      </c>
      <c r="U60" s="117">
        <f t="shared" si="9"/>
        <v>35157810</v>
      </c>
      <c r="V60" s="42">
        <f t="shared" si="2"/>
        <v>17578905</v>
      </c>
      <c r="W60" s="22">
        <f t="shared" si="10"/>
        <v>8.0409610764055746</v>
      </c>
      <c r="X60" s="22">
        <f t="shared" si="1"/>
        <v>8.0409610764055746</v>
      </c>
      <c r="Z60" s="22">
        <f t="shared" si="4"/>
        <v>8.0409610764055746</v>
      </c>
    </row>
    <row r="61" spans="1:27" hidden="1" x14ac:dyDescent="0.25">
      <c r="A61" s="240"/>
      <c r="B61" s="244"/>
      <c r="C61" s="247"/>
      <c r="D61" s="242"/>
      <c r="E61" s="242"/>
      <c r="F61" s="242"/>
      <c r="G61" s="241"/>
      <c r="H61" s="241"/>
      <c r="I61" s="242"/>
      <c r="J61" s="64"/>
      <c r="K61" s="28"/>
      <c r="L61" s="66"/>
      <c r="M61" s="66"/>
      <c r="N61" s="67"/>
      <c r="O61" s="66"/>
      <c r="P61" s="66"/>
      <c r="Q61" s="68"/>
      <c r="R61" s="29"/>
      <c r="S61" s="29"/>
      <c r="T61" s="32"/>
      <c r="U61" s="43"/>
      <c r="V61" s="42">
        <f t="shared" si="2"/>
        <v>0</v>
      </c>
      <c r="W61" s="22"/>
      <c r="X61" s="22"/>
      <c r="Z61" s="22" t="e">
        <f t="shared" si="4"/>
        <v>#DIV/0!</v>
      </c>
    </row>
    <row r="62" spans="1:27" ht="17.25" x14ac:dyDescent="0.3">
      <c r="A62" s="240"/>
      <c r="B62" s="505" t="s">
        <v>248</v>
      </c>
      <c r="C62" s="506"/>
      <c r="D62" s="506"/>
      <c r="E62" s="506"/>
      <c r="F62" s="507"/>
      <c r="G62" s="248"/>
      <c r="H62" s="248"/>
      <c r="I62" s="250"/>
      <c r="J62" s="122"/>
      <c r="K62" s="198" t="s">
        <v>206</v>
      </c>
      <c r="L62" s="52">
        <f>L64+L66+L68+L70+L72</f>
        <v>108870000</v>
      </c>
      <c r="M62" s="52">
        <f>M70+M72</f>
        <v>0</v>
      </c>
      <c r="N62" s="52">
        <f t="shared" si="8"/>
        <v>108870000</v>
      </c>
      <c r="O62" s="116"/>
      <c r="P62" s="116"/>
      <c r="Q62" s="84">
        <f>Q64+Q66+Q68+Q70+Q72</f>
        <v>9569094</v>
      </c>
      <c r="R62" s="84">
        <v>11365536</v>
      </c>
      <c r="S62" s="84">
        <f>Q62+R62</f>
        <v>20934630</v>
      </c>
      <c r="T62" s="54">
        <f>S62/N62*100</f>
        <v>19.229016257922293</v>
      </c>
      <c r="U62" s="52">
        <f t="shared" si="9"/>
        <v>87935370</v>
      </c>
      <c r="V62" s="42">
        <f t="shared" si="2"/>
        <v>43967685</v>
      </c>
      <c r="W62" s="22">
        <f t="shared" si="10"/>
        <v>8.7894681730504267</v>
      </c>
      <c r="X62" s="22">
        <f t="shared" si="1"/>
        <v>8.7894681730504267</v>
      </c>
      <c r="Z62" s="65">
        <f t="shared" si="4"/>
        <v>8.7894681730504267</v>
      </c>
      <c r="AA62" s="1" t="s">
        <v>114</v>
      </c>
    </row>
    <row r="63" spans="1:27" x14ac:dyDescent="0.25">
      <c r="A63" s="240"/>
      <c r="B63" s="244"/>
      <c r="C63" s="247"/>
      <c r="D63" s="242"/>
      <c r="E63" s="242"/>
      <c r="F63" s="242"/>
      <c r="G63" s="241"/>
      <c r="H63" s="241"/>
      <c r="I63" s="242"/>
      <c r="J63" s="64"/>
      <c r="K63" s="28"/>
      <c r="L63" s="66"/>
      <c r="M63" s="66"/>
      <c r="N63" s="67"/>
      <c r="O63" s="66"/>
      <c r="P63" s="66"/>
      <c r="Q63" s="68"/>
      <c r="R63" s="29"/>
      <c r="S63" s="29"/>
      <c r="T63" s="32"/>
      <c r="U63" s="43"/>
      <c r="V63" s="42">
        <f t="shared" si="2"/>
        <v>0</v>
      </c>
      <c r="W63" s="22"/>
      <c r="X63" s="22"/>
      <c r="Z63" s="22" t="e">
        <f t="shared" si="4"/>
        <v>#DIV/0!</v>
      </c>
    </row>
    <row r="64" spans="1:27" hidden="1" x14ac:dyDescent="0.25">
      <c r="A64" s="240"/>
      <c r="B64" s="244"/>
      <c r="C64" s="247"/>
      <c r="D64" s="242"/>
      <c r="E64" s="242"/>
      <c r="F64" s="242"/>
      <c r="G64" s="241"/>
      <c r="H64" s="241"/>
      <c r="I64" s="242"/>
      <c r="J64" s="64"/>
      <c r="K64" s="28" t="s">
        <v>207</v>
      </c>
      <c r="L64" s="66">
        <v>60090000</v>
      </c>
      <c r="M64" s="66">
        <v>0</v>
      </c>
      <c r="N64" s="126">
        <f t="shared" si="8"/>
        <v>60090000</v>
      </c>
      <c r="O64" s="66"/>
      <c r="P64" s="66"/>
      <c r="Q64" s="68">
        <v>5000000</v>
      </c>
      <c r="R64" s="84">
        <v>5000000</v>
      </c>
      <c r="S64" s="84">
        <f>Q64+R64</f>
        <v>10000000</v>
      </c>
      <c r="T64" s="54">
        <f>S64/N64*100</f>
        <v>16.641704110500914</v>
      </c>
      <c r="U64" s="43">
        <f t="shared" si="9"/>
        <v>50090000</v>
      </c>
      <c r="V64" s="42"/>
      <c r="W64" s="22"/>
      <c r="X64" s="22">
        <f t="shared" si="1"/>
        <v>8.320852055250457</v>
      </c>
      <c r="Z64" s="22"/>
    </row>
    <row r="65" spans="1:26" hidden="1" x14ac:dyDescent="0.25">
      <c r="A65" s="240"/>
      <c r="B65" s="244"/>
      <c r="C65" s="247"/>
      <c r="D65" s="242"/>
      <c r="E65" s="242"/>
      <c r="F65" s="242"/>
      <c r="G65" s="241"/>
      <c r="H65" s="241"/>
      <c r="I65" s="242"/>
      <c r="J65" s="64"/>
      <c r="K65" s="28"/>
      <c r="L65" s="66"/>
      <c r="M65" s="66"/>
      <c r="N65" s="67"/>
      <c r="O65" s="66"/>
      <c r="P65" s="66"/>
      <c r="Q65" s="68"/>
      <c r="R65" s="29"/>
      <c r="S65" s="29"/>
      <c r="T65" s="32"/>
      <c r="U65" s="43"/>
      <c r="V65" s="42"/>
      <c r="W65" s="22"/>
      <c r="X65" s="22"/>
      <c r="Z65" s="22"/>
    </row>
    <row r="66" spans="1:26" hidden="1" x14ac:dyDescent="0.25">
      <c r="A66" s="240"/>
      <c r="B66" s="244"/>
      <c r="C66" s="247"/>
      <c r="D66" s="242"/>
      <c r="E66" s="242"/>
      <c r="F66" s="242"/>
      <c r="G66" s="241"/>
      <c r="H66" s="241"/>
      <c r="I66" s="242"/>
      <c r="J66" s="64"/>
      <c r="K66" s="28" t="s">
        <v>208</v>
      </c>
      <c r="L66" s="66">
        <v>25700000</v>
      </c>
      <c r="M66" s="66">
        <v>0</v>
      </c>
      <c r="N66" s="126">
        <f t="shared" si="8"/>
        <v>25700000</v>
      </c>
      <c r="O66" s="66"/>
      <c r="P66" s="66"/>
      <c r="Q66" s="76">
        <v>2204046</v>
      </c>
      <c r="R66" s="84">
        <v>4461698</v>
      </c>
      <c r="S66" s="84">
        <f>Q66+R66</f>
        <v>6665744</v>
      </c>
      <c r="T66" s="54">
        <f>S66/N66*100</f>
        <v>25.936747081712063</v>
      </c>
      <c r="U66" s="43">
        <f t="shared" si="9"/>
        <v>19034256</v>
      </c>
      <c r="V66" s="42"/>
      <c r="W66" s="22"/>
      <c r="X66" s="22">
        <f t="shared" si="1"/>
        <v>8.5760544747081706</v>
      </c>
      <c r="Z66" s="22"/>
    </row>
    <row r="67" spans="1:26" hidden="1" x14ac:dyDescent="0.25">
      <c r="A67" s="240"/>
      <c r="B67" s="244"/>
      <c r="C67" s="247"/>
      <c r="D67" s="242"/>
      <c r="E67" s="242"/>
      <c r="F67" s="242"/>
      <c r="G67" s="241"/>
      <c r="H67" s="241"/>
      <c r="I67" s="242"/>
      <c r="J67" s="64"/>
      <c r="K67" s="28"/>
      <c r="L67" s="66"/>
      <c r="M67" s="66"/>
      <c r="N67" s="67"/>
      <c r="O67" s="66"/>
      <c r="P67" s="66"/>
      <c r="Q67" s="68"/>
      <c r="R67" s="29"/>
      <c r="S67" s="29"/>
      <c r="T67" s="32"/>
      <c r="U67" s="43"/>
      <c r="V67" s="42"/>
      <c r="W67" s="22"/>
      <c r="X67" s="22"/>
      <c r="Z67" s="22"/>
    </row>
    <row r="68" spans="1:26" hidden="1" x14ac:dyDescent="0.25">
      <c r="A68" s="240"/>
      <c r="B68" s="244"/>
      <c r="C68" s="247"/>
      <c r="D68" s="242"/>
      <c r="E68" s="242"/>
      <c r="F68" s="242"/>
      <c r="G68" s="241"/>
      <c r="H68" s="241"/>
      <c r="I68" s="242"/>
      <c r="J68" s="64"/>
      <c r="K68" s="28" t="s">
        <v>209</v>
      </c>
      <c r="L68" s="66">
        <v>11180000</v>
      </c>
      <c r="M68" s="66">
        <v>0</v>
      </c>
      <c r="N68" s="126">
        <f t="shared" si="8"/>
        <v>11180000</v>
      </c>
      <c r="O68" s="66"/>
      <c r="P68" s="66"/>
      <c r="Q68" s="227">
        <v>2365048</v>
      </c>
      <c r="R68" s="84">
        <v>1903838</v>
      </c>
      <c r="S68" s="84">
        <f>Q68+R68</f>
        <v>4268886</v>
      </c>
      <c r="T68" s="54">
        <f>S68/N68*100</f>
        <v>38.183237924865828</v>
      </c>
      <c r="U68" s="43">
        <f t="shared" si="9"/>
        <v>6911114</v>
      </c>
      <c r="V68" s="42"/>
      <c r="W68" s="22"/>
      <c r="X68" s="22">
        <f t="shared" si="1"/>
        <v>21.15427549194991</v>
      </c>
      <c r="Z68" s="22"/>
    </row>
    <row r="69" spans="1:26" hidden="1" x14ac:dyDescent="0.25">
      <c r="A69" s="240"/>
      <c r="B69" s="244"/>
      <c r="C69" s="247"/>
      <c r="D69" s="242"/>
      <c r="E69" s="242"/>
      <c r="F69" s="242"/>
      <c r="G69" s="241"/>
      <c r="H69" s="241"/>
      <c r="I69" s="242"/>
      <c r="J69" s="64"/>
      <c r="K69" s="28"/>
      <c r="L69" s="66"/>
      <c r="M69" s="66"/>
      <c r="N69" s="67"/>
      <c r="O69" s="66"/>
      <c r="P69" s="66"/>
      <c r="Q69" s="68"/>
      <c r="R69" s="29"/>
      <c r="S69" s="29"/>
      <c r="T69" s="32"/>
      <c r="U69" s="43"/>
      <c r="V69" s="42"/>
      <c r="W69" s="22"/>
      <c r="X69" s="22"/>
      <c r="Z69" s="22"/>
    </row>
    <row r="70" spans="1:26" hidden="1" x14ac:dyDescent="0.25">
      <c r="A70" s="240"/>
      <c r="B70" s="244"/>
      <c r="C70" s="247"/>
      <c r="D70" s="242"/>
      <c r="E70" s="242"/>
      <c r="F70" s="242"/>
      <c r="G70" s="241"/>
      <c r="H70" s="241"/>
      <c r="I70" s="242"/>
      <c r="J70" s="64"/>
      <c r="K70" s="56" t="s">
        <v>210</v>
      </c>
      <c r="L70" s="30">
        <v>11500000</v>
      </c>
      <c r="M70" s="30">
        <v>0</v>
      </c>
      <c r="N70" s="126">
        <f t="shared" si="8"/>
        <v>11500000</v>
      </c>
      <c r="O70" s="66"/>
      <c r="P70" s="66"/>
      <c r="Q70" s="76">
        <v>0</v>
      </c>
      <c r="R70" s="84">
        <v>0</v>
      </c>
      <c r="S70" s="84">
        <f>Q70+R70</f>
        <v>0</v>
      </c>
      <c r="T70" s="20">
        <f>S70/N70*100</f>
        <v>0</v>
      </c>
      <c r="U70" s="117">
        <f t="shared" si="9"/>
        <v>11500000</v>
      </c>
      <c r="V70" s="42">
        <f t="shared" si="2"/>
        <v>5750000</v>
      </c>
      <c r="W70" s="22">
        <f t="shared" si="10"/>
        <v>0</v>
      </c>
      <c r="X70" s="22">
        <f t="shared" si="1"/>
        <v>0</v>
      </c>
      <c r="Z70" s="22">
        <f t="shared" si="4"/>
        <v>0</v>
      </c>
    </row>
    <row r="71" spans="1:26" hidden="1" x14ac:dyDescent="0.25">
      <c r="A71" s="240"/>
      <c r="B71" s="244"/>
      <c r="C71" s="247"/>
      <c r="D71" s="242"/>
      <c r="E71" s="242"/>
      <c r="F71" s="242"/>
      <c r="G71" s="241"/>
      <c r="H71" s="241"/>
      <c r="I71" s="242"/>
      <c r="J71" s="64"/>
      <c r="K71" s="56"/>
      <c r="L71" s="30" t="s">
        <v>212</v>
      </c>
      <c r="M71" s="30"/>
      <c r="N71" s="67"/>
      <c r="O71" s="66"/>
      <c r="P71" s="66"/>
      <c r="Q71" s="29"/>
      <c r="R71" s="29"/>
      <c r="S71" s="29"/>
      <c r="T71" s="32"/>
      <c r="U71" s="43"/>
      <c r="V71" s="42">
        <f t="shared" si="2"/>
        <v>0</v>
      </c>
      <c r="W71" s="22"/>
      <c r="X71" s="22"/>
      <c r="Z71" s="22" t="e">
        <f t="shared" si="4"/>
        <v>#DIV/0!</v>
      </c>
    </row>
    <row r="72" spans="1:26" hidden="1" x14ac:dyDescent="0.25">
      <c r="A72" s="240"/>
      <c r="B72" s="244"/>
      <c r="C72" s="247"/>
      <c r="D72" s="242"/>
      <c r="E72" s="242"/>
      <c r="F72" s="242"/>
      <c r="G72" s="241"/>
      <c r="H72" s="241"/>
      <c r="I72" s="242"/>
      <c r="J72" s="64"/>
      <c r="K72" s="56" t="s">
        <v>211</v>
      </c>
      <c r="L72" s="30">
        <v>400000</v>
      </c>
      <c r="M72" s="30">
        <v>0</v>
      </c>
      <c r="N72" s="126">
        <f t="shared" si="8"/>
        <v>400000</v>
      </c>
      <c r="O72" s="66"/>
      <c r="P72" s="66"/>
      <c r="Q72" s="29">
        <v>0</v>
      </c>
      <c r="R72" s="84">
        <v>0</v>
      </c>
      <c r="S72" s="84">
        <f>Q72+R72</f>
        <v>0</v>
      </c>
      <c r="T72" s="20">
        <f>S72/N72*100</f>
        <v>0</v>
      </c>
      <c r="U72" s="43">
        <f t="shared" si="9"/>
        <v>400000</v>
      </c>
      <c r="V72" s="42">
        <f t="shared" si="2"/>
        <v>200000</v>
      </c>
      <c r="W72" s="22">
        <f t="shared" si="10"/>
        <v>0</v>
      </c>
      <c r="X72" s="22">
        <f t="shared" si="1"/>
        <v>0</v>
      </c>
      <c r="Z72" s="22">
        <f t="shared" si="4"/>
        <v>0</v>
      </c>
    </row>
    <row r="73" spans="1:26" hidden="1" x14ac:dyDescent="0.25">
      <c r="A73" s="240"/>
      <c r="B73" s="244"/>
      <c r="C73" s="247"/>
      <c r="D73" s="242"/>
      <c r="E73" s="242"/>
      <c r="F73" s="242"/>
      <c r="G73" s="241"/>
      <c r="H73" s="241"/>
      <c r="I73" s="242"/>
      <c r="J73" s="64"/>
      <c r="K73" s="28"/>
      <c r="L73" s="66"/>
      <c r="M73" s="66"/>
      <c r="N73" s="67"/>
      <c r="O73" s="66"/>
      <c r="P73" s="66"/>
      <c r="Q73" s="68"/>
      <c r="R73" s="29"/>
      <c r="S73" s="29"/>
      <c r="T73" s="32"/>
      <c r="U73" s="43"/>
      <c r="V73" s="42">
        <f t="shared" si="2"/>
        <v>0</v>
      </c>
      <c r="W73" s="22"/>
      <c r="X73" s="22"/>
      <c r="Z73" s="22" t="e">
        <f t="shared" si="4"/>
        <v>#DIV/0!</v>
      </c>
    </row>
    <row r="74" spans="1:26" ht="17.25" x14ac:dyDescent="0.3">
      <c r="A74" s="240"/>
      <c r="B74" s="505" t="s">
        <v>249</v>
      </c>
      <c r="C74" s="506"/>
      <c r="D74" s="506"/>
      <c r="E74" s="506"/>
      <c r="F74" s="507"/>
      <c r="G74" s="248"/>
      <c r="H74" s="248"/>
      <c r="I74" s="250"/>
      <c r="J74" s="122"/>
      <c r="K74" s="197" t="s">
        <v>213</v>
      </c>
      <c r="L74" s="52">
        <v>1000000</v>
      </c>
      <c r="M74" s="52">
        <v>0</v>
      </c>
      <c r="N74" s="52">
        <f t="shared" si="8"/>
        <v>1000000</v>
      </c>
      <c r="O74" s="116"/>
      <c r="P74" s="116"/>
      <c r="Q74" s="84">
        <v>0</v>
      </c>
      <c r="R74" s="84">
        <v>500000</v>
      </c>
      <c r="S74" s="84">
        <f>Q74+R74</f>
        <v>500000</v>
      </c>
      <c r="T74" s="54">
        <f>S74/N74*100</f>
        <v>50</v>
      </c>
      <c r="U74" s="52">
        <f t="shared" si="9"/>
        <v>500000</v>
      </c>
      <c r="V74" s="42">
        <f t="shared" si="2"/>
        <v>250000</v>
      </c>
      <c r="W74" s="22">
        <f t="shared" si="10"/>
        <v>0</v>
      </c>
      <c r="X74" s="22">
        <f t="shared" si="1"/>
        <v>0</v>
      </c>
      <c r="Z74" s="65">
        <f t="shared" si="4"/>
        <v>0</v>
      </c>
    </row>
    <row r="75" spans="1:26" x14ac:dyDescent="0.25">
      <c r="A75" s="240"/>
      <c r="B75" s="244"/>
      <c r="C75" s="247"/>
      <c r="D75" s="242"/>
      <c r="E75" s="242"/>
      <c r="F75" s="242"/>
      <c r="G75" s="241"/>
      <c r="H75" s="241"/>
      <c r="I75" s="242"/>
      <c r="J75" s="64"/>
      <c r="K75" s="28"/>
      <c r="L75" s="66"/>
      <c r="M75" s="66"/>
      <c r="N75" s="67"/>
      <c r="O75" s="66"/>
      <c r="P75" s="66"/>
      <c r="Q75" s="68"/>
      <c r="R75" s="29"/>
      <c r="S75" s="29"/>
      <c r="T75" s="32"/>
      <c r="U75" s="43"/>
      <c r="V75" s="42">
        <f t="shared" si="2"/>
        <v>0</v>
      </c>
      <c r="W75" s="22"/>
      <c r="X75" s="22"/>
      <c r="Z75" s="22" t="e">
        <f t="shared" si="4"/>
        <v>#DIV/0!</v>
      </c>
    </row>
    <row r="76" spans="1:26" x14ac:dyDescent="0.25">
      <c r="A76" s="240"/>
      <c r="B76" s="505" t="s">
        <v>250</v>
      </c>
      <c r="C76" s="506"/>
      <c r="D76" s="506"/>
      <c r="E76" s="506"/>
      <c r="F76" s="507"/>
      <c r="G76" s="248"/>
      <c r="H76" s="248"/>
      <c r="I76" s="250"/>
      <c r="J76" s="122"/>
      <c r="K76" s="115" t="s">
        <v>214</v>
      </c>
      <c r="L76" s="52">
        <f>L78+L80</f>
        <v>60000000</v>
      </c>
      <c r="M76" s="52">
        <f>M78+M80</f>
        <v>0</v>
      </c>
      <c r="N76" s="52">
        <f t="shared" si="8"/>
        <v>60000000</v>
      </c>
      <c r="O76" s="116"/>
      <c r="P76" s="116"/>
      <c r="Q76" s="84">
        <f>Q78+Q80</f>
        <v>850000</v>
      </c>
      <c r="R76" s="84">
        <v>960000</v>
      </c>
      <c r="S76" s="84">
        <f>Q76+R76</f>
        <v>1810000</v>
      </c>
      <c r="T76" s="54">
        <f>S76/N76*100</f>
        <v>3.0166666666666666</v>
      </c>
      <c r="U76" s="52">
        <f t="shared" si="9"/>
        <v>58190000</v>
      </c>
      <c r="V76" s="42">
        <f t="shared" si="2"/>
        <v>29095000</v>
      </c>
      <c r="W76" s="22">
        <f t="shared" si="10"/>
        <v>1.4166666666666665</v>
      </c>
      <c r="X76" s="22">
        <f t="shared" ref="X76:X130" si="11">Q76/N76*100</f>
        <v>1.4166666666666665</v>
      </c>
      <c r="Z76" s="65">
        <f t="shared" si="4"/>
        <v>1.4166666666666665</v>
      </c>
    </row>
    <row r="77" spans="1:26" x14ac:dyDescent="0.25">
      <c r="A77" s="240"/>
      <c r="B77" s="244"/>
      <c r="C77" s="247"/>
      <c r="D77" s="242"/>
      <c r="E77" s="242"/>
      <c r="F77" s="242"/>
      <c r="G77" s="241"/>
      <c r="H77" s="241"/>
      <c r="I77" s="242"/>
      <c r="J77" s="64"/>
      <c r="K77" s="28"/>
      <c r="L77" s="66"/>
      <c r="M77" s="66"/>
      <c r="N77" s="67"/>
      <c r="O77" s="66"/>
      <c r="P77" s="66"/>
      <c r="Q77" s="68"/>
      <c r="R77" s="29"/>
      <c r="S77" s="29"/>
      <c r="T77" s="32"/>
      <c r="U77" s="43"/>
      <c r="V77" s="42">
        <f t="shared" ref="V77:V130" si="12">U77/2</f>
        <v>0</v>
      </c>
      <c r="W77" s="22"/>
      <c r="X77" s="22"/>
      <c r="Z77" s="22" t="e">
        <f t="shared" si="4"/>
        <v>#DIV/0!</v>
      </c>
    </row>
    <row r="78" spans="1:26" hidden="1" x14ac:dyDescent="0.25">
      <c r="A78" s="240"/>
      <c r="B78" s="244"/>
      <c r="C78" s="247"/>
      <c r="D78" s="242"/>
      <c r="E78" s="242"/>
      <c r="F78" s="242"/>
      <c r="G78" s="241"/>
      <c r="H78" s="241"/>
      <c r="I78" s="242"/>
      <c r="J78" s="64"/>
      <c r="K78" s="56" t="s">
        <v>128</v>
      </c>
      <c r="L78" s="30">
        <v>28000000</v>
      </c>
      <c r="M78" s="30">
        <v>0</v>
      </c>
      <c r="N78" s="126">
        <f t="shared" si="8"/>
        <v>28000000</v>
      </c>
      <c r="O78" s="66"/>
      <c r="P78" s="66"/>
      <c r="Q78" s="76">
        <v>850000</v>
      </c>
      <c r="R78" s="29">
        <v>960000</v>
      </c>
      <c r="S78" s="29">
        <f>Q78+R78</f>
        <v>1810000</v>
      </c>
      <c r="T78" s="20">
        <f>S78/N78*100</f>
        <v>6.4642857142857144</v>
      </c>
      <c r="U78" s="43">
        <f t="shared" si="9"/>
        <v>26190000</v>
      </c>
      <c r="V78" s="42">
        <f t="shared" si="12"/>
        <v>13095000</v>
      </c>
      <c r="W78" s="22">
        <f t="shared" si="10"/>
        <v>3.0357142857142856</v>
      </c>
      <c r="X78" s="22">
        <f t="shared" si="11"/>
        <v>3.0357142857142856</v>
      </c>
      <c r="Z78" s="22">
        <f t="shared" si="4"/>
        <v>3.0357142857142856</v>
      </c>
    </row>
    <row r="79" spans="1:26" hidden="1" x14ac:dyDescent="0.25">
      <c r="A79" s="240"/>
      <c r="B79" s="244"/>
      <c r="C79" s="247"/>
      <c r="D79" s="242"/>
      <c r="E79" s="242"/>
      <c r="F79" s="242"/>
      <c r="G79" s="241"/>
      <c r="H79" s="241"/>
      <c r="I79" s="242"/>
      <c r="J79" s="64"/>
      <c r="K79" s="56"/>
      <c r="L79" s="30"/>
      <c r="M79" s="30"/>
      <c r="N79" s="67"/>
      <c r="O79" s="66"/>
      <c r="P79" s="66"/>
      <c r="Q79" s="29"/>
      <c r="R79" s="29"/>
      <c r="S79" s="29"/>
      <c r="T79" s="32"/>
      <c r="U79" s="43"/>
      <c r="V79" s="42">
        <f t="shared" si="12"/>
        <v>0</v>
      </c>
      <c r="W79" s="22"/>
      <c r="X79" s="22"/>
      <c r="Z79" s="22" t="e">
        <f t="shared" ref="Z79:Z129" si="13">Q79/N79*100</f>
        <v>#DIV/0!</v>
      </c>
    </row>
    <row r="80" spans="1:26" hidden="1" x14ac:dyDescent="0.25">
      <c r="A80" s="240"/>
      <c r="B80" s="244"/>
      <c r="C80" s="247"/>
      <c r="D80" s="242"/>
      <c r="E80" s="242"/>
      <c r="F80" s="242"/>
      <c r="G80" s="241"/>
      <c r="H80" s="241"/>
      <c r="I80" s="242"/>
      <c r="J80" s="64"/>
      <c r="K80" s="56" t="s">
        <v>129</v>
      </c>
      <c r="L80" s="30">
        <v>32000000</v>
      </c>
      <c r="M80" s="30">
        <v>0</v>
      </c>
      <c r="N80" s="126">
        <f t="shared" si="8"/>
        <v>32000000</v>
      </c>
      <c r="O80" s="66"/>
      <c r="P80" s="66"/>
      <c r="Q80" s="29">
        <v>0</v>
      </c>
      <c r="R80" s="29">
        <v>0</v>
      </c>
      <c r="S80" s="29">
        <f>Q80+R80</f>
        <v>0</v>
      </c>
      <c r="T80" s="20">
        <f>S80/N80*100</f>
        <v>0</v>
      </c>
      <c r="U80" s="43">
        <f t="shared" si="9"/>
        <v>32000000</v>
      </c>
      <c r="V80" s="42">
        <f t="shared" si="12"/>
        <v>16000000</v>
      </c>
      <c r="W80" s="22">
        <f t="shared" si="10"/>
        <v>0</v>
      </c>
      <c r="X80" s="22">
        <f t="shared" si="11"/>
        <v>0</v>
      </c>
      <c r="Z80" s="22">
        <f t="shared" si="13"/>
        <v>0</v>
      </c>
    </row>
    <row r="81" spans="1:26" hidden="1" x14ac:dyDescent="0.25">
      <c r="A81" s="240"/>
      <c r="B81" s="244"/>
      <c r="C81" s="247"/>
      <c r="D81" s="242"/>
      <c r="E81" s="242"/>
      <c r="F81" s="242"/>
      <c r="G81" s="241"/>
      <c r="H81" s="241"/>
      <c r="I81" s="242"/>
      <c r="J81" s="64"/>
      <c r="K81" s="28"/>
      <c r="L81" s="66"/>
      <c r="M81" s="66"/>
      <c r="N81" s="67"/>
      <c r="O81" s="66"/>
      <c r="P81" s="66"/>
      <c r="Q81" s="68"/>
      <c r="R81" s="29"/>
      <c r="S81" s="29"/>
      <c r="T81" s="32"/>
      <c r="U81" s="43"/>
      <c r="V81" s="42">
        <f t="shared" si="12"/>
        <v>0</v>
      </c>
      <c r="W81" s="22"/>
      <c r="X81" s="22"/>
      <c r="Z81" s="22" t="e">
        <f t="shared" si="13"/>
        <v>#DIV/0!</v>
      </c>
    </row>
    <row r="82" spans="1:26" x14ac:dyDescent="0.25">
      <c r="A82" s="240"/>
      <c r="B82" s="505" t="s">
        <v>251</v>
      </c>
      <c r="C82" s="506"/>
      <c r="D82" s="506"/>
      <c r="E82" s="506"/>
      <c r="F82" s="507"/>
      <c r="G82" s="248"/>
      <c r="H82" s="248"/>
      <c r="I82" s="250"/>
      <c r="J82" s="122"/>
      <c r="K82" s="115" t="s">
        <v>215</v>
      </c>
      <c r="L82" s="52">
        <v>10000000</v>
      </c>
      <c r="M82" s="52">
        <v>0</v>
      </c>
      <c r="N82" s="52">
        <f t="shared" si="8"/>
        <v>10000000</v>
      </c>
      <c r="O82" s="116"/>
      <c r="P82" s="116"/>
      <c r="Q82" s="84">
        <v>200000</v>
      </c>
      <c r="R82" s="84">
        <v>0</v>
      </c>
      <c r="S82" s="84">
        <f>Q82+R82</f>
        <v>200000</v>
      </c>
      <c r="T82" s="54">
        <f>S82/N82*100</f>
        <v>2</v>
      </c>
      <c r="U82" s="52">
        <f t="shared" si="9"/>
        <v>9800000</v>
      </c>
      <c r="V82" s="42">
        <f t="shared" si="12"/>
        <v>4900000</v>
      </c>
      <c r="W82" s="22">
        <f t="shared" si="10"/>
        <v>2</v>
      </c>
      <c r="X82" s="22">
        <f t="shared" si="11"/>
        <v>2</v>
      </c>
      <c r="Z82" s="65">
        <f t="shared" si="13"/>
        <v>2</v>
      </c>
    </row>
    <row r="83" spans="1:26" x14ac:dyDescent="0.25">
      <c r="A83" s="240"/>
      <c r="B83" s="244"/>
      <c r="C83" s="247"/>
      <c r="D83" s="242"/>
      <c r="E83" s="242"/>
      <c r="F83" s="242"/>
      <c r="G83" s="241"/>
      <c r="H83" s="241"/>
      <c r="I83" s="242"/>
      <c r="J83" s="64"/>
      <c r="K83" s="28"/>
      <c r="L83" s="66"/>
      <c r="M83" s="66"/>
      <c r="N83" s="67"/>
      <c r="O83" s="66"/>
      <c r="P83" s="66"/>
      <c r="Q83" s="68"/>
      <c r="R83" s="29"/>
      <c r="S83" s="29"/>
      <c r="T83" s="32"/>
      <c r="U83" s="43"/>
      <c r="V83" s="42">
        <f t="shared" si="12"/>
        <v>0</v>
      </c>
      <c r="W83" s="22"/>
      <c r="X83" s="22"/>
      <c r="Z83" s="22" t="e">
        <f t="shared" si="13"/>
        <v>#DIV/0!</v>
      </c>
    </row>
    <row r="84" spans="1:26" x14ac:dyDescent="0.25">
      <c r="A84" s="240"/>
      <c r="B84" s="505" t="s">
        <v>252</v>
      </c>
      <c r="C84" s="506"/>
      <c r="D84" s="506"/>
      <c r="E84" s="506"/>
      <c r="F84" s="507"/>
      <c r="G84" s="241"/>
      <c r="H84" s="241"/>
      <c r="I84" s="242"/>
      <c r="J84" s="204"/>
      <c r="K84" s="199" t="s">
        <v>216</v>
      </c>
      <c r="L84" s="205">
        <f>L86+L88</f>
        <v>48000000</v>
      </c>
      <c r="M84" s="205">
        <v>0</v>
      </c>
      <c r="N84" s="205">
        <f>L84-M84</f>
        <v>48000000</v>
      </c>
      <c r="O84" s="205"/>
      <c r="P84" s="205"/>
      <c r="Q84" s="206">
        <f>Q86+Q88</f>
        <v>0</v>
      </c>
      <c r="R84" s="84">
        <v>0</v>
      </c>
      <c r="S84" s="84">
        <f>Q84+R84</f>
        <v>0</v>
      </c>
      <c r="T84" s="54">
        <f>S84/N84*100</f>
        <v>0</v>
      </c>
      <c r="U84" s="52">
        <f t="shared" si="9"/>
        <v>48000000</v>
      </c>
      <c r="V84" s="42"/>
      <c r="W84" s="22"/>
      <c r="X84" s="22">
        <f t="shared" si="11"/>
        <v>0</v>
      </c>
      <c r="Z84" s="22"/>
    </row>
    <row r="85" spans="1:26" x14ac:dyDescent="0.25">
      <c r="A85" s="240"/>
      <c r="B85" s="244"/>
      <c r="C85" s="247"/>
      <c r="D85" s="242"/>
      <c r="E85" s="242"/>
      <c r="F85" s="242"/>
      <c r="G85" s="241"/>
      <c r="H85" s="241"/>
      <c r="I85" s="242"/>
      <c r="J85" s="64"/>
      <c r="K85" s="28"/>
      <c r="L85" s="66"/>
      <c r="M85" s="66"/>
      <c r="N85" s="67"/>
      <c r="O85" s="66"/>
      <c r="P85" s="66"/>
      <c r="Q85" s="68"/>
      <c r="R85" s="29"/>
      <c r="S85" s="29"/>
      <c r="T85" s="32"/>
      <c r="U85" s="43"/>
      <c r="V85" s="42"/>
      <c r="W85" s="22"/>
      <c r="X85" s="22"/>
      <c r="Z85" s="22"/>
    </row>
    <row r="86" spans="1:26" hidden="1" x14ac:dyDescent="0.25">
      <c r="A86" s="240"/>
      <c r="B86" s="244"/>
      <c r="C86" s="247"/>
      <c r="D86" s="242"/>
      <c r="E86" s="242"/>
      <c r="F86" s="242"/>
      <c r="G86" s="241"/>
      <c r="H86" s="241"/>
      <c r="I86" s="242"/>
      <c r="J86" s="64"/>
      <c r="K86" s="28" t="s">
        <v>217</v>
      </c>
      <c r="L86" s="66">
        <v>43000000</v>
      </c>
      <c r="M86" s="66">
        <v>0</v>
      </c>
      <c r="N86" s="126">
        <f t="shared" ref="N86" si="14">L86-M86</f>
        <v>43000000</v>
      </c>
      <c r="O86" s="66"/>
      <c r="P86" s="66"/>
      <c r="Q86" s="68"/>
      <c r="R86" s="29"/>
      <c r="S86" s="29"/>
      <c r="T86" s="32"/>
      <c r="U86" s="52">
        <f t="shared" si="9"/>
        <v>43000000</v>
      </c>
      <c r="V86" s="42"/>
      <c r="W86" s="22"/>
      <c r="X86" s="22">
        <f t="shared" si="11"/>
        <v>0</v>
      </c>
      <c r="Z86" s="22"/>
    </row>
    <row r="87" spans="1:26" hidden="1" x14ac:dyDescent="0.25">
      <c r="A87" s="240"/>
      <c r="B87" s="244"/>
      <c r="C87" s="247"/>
      <c r="D87" s="242"/>
      <c r="E87" s="242"/>
      <c r="F87" s="242"/>
      <c r="G87" s="241"/>
      <c r="H87" s="241"/>
      <c r="I87" s="242"/>
      <c r="J87" s="64"/>
      <c r="K87" s="28"/>
      <c r="L87" s="66"/>
      <c r="M87" s="66"/>
      <c r="N87" s="67"/>
      <c r="O87" s="66"/>
      <c r="P87" s="66"/>
      <c r="Q87" s="68"/>
      <c r="R87" s="29"/>
      <c r="S87" s="29"/>
      <c r="T87" s="32"/>
      <c r="U87" s="43"/>
      <c r="V87" s="42"/>
      <c r="W87" s="22"/>
      <c r="X87" s="22"/>
      <c r="Z87" s="22"/>
    </row>
    <row r="88" spans="1:26" hidden="1" x14ac:dyDescent="0.25">
      <c r="A88" s="240"/>
      <c r="B88" s="244"/>
      <c r="C88" s="247"/>
      <c r="D88" s="242"/>
      <c r="E88" s="242"/>
      <c r="F88" s="242"/>
      <c r="G88" s="241"/>
      <c r="H88" s="241"/>
      <c r="I88" s="242"/>
      <c r="J88" s="64"/>
      <c r="K88" s="28" t="s">
        <v>218</v>
      </c>
      <c r="L88" s="66">
        <v>5000000</v>
      </c>
      <c r="M88" s="66">
        <v>0</v>
      </c>
      <c r="N88" s="126">
        <f t="shared" ref="N88" si="15">L88-M88</f>
        <v>5000000</v>
      </c>
      <c r="O88" s="66"/>
      <c r="P88" s="66"/>
      <c r="Q88" s="68"/>
      <c r="R88" s="29"/>
      <c r="S88" s="29"/>
      <c r="T88" s="32"/>
      <c r="U88" s="52">
        <f t="shared" si="9"/>
        <v>5000000</v>
      </c>
      <c r="V88" s="42"/>
      <c r="W88" s="22"/>
      <c r="X88" s="22">
        <f t="shared" si="11"/>
        <v>0</v>
      </c>
      <c r="Z88" s="22"/>
    </row>
    <row r="89" spans="1:26" hidden="1" x14ac:dyDescent="0.25">
      <c r="A89" s="240"/>
      <c r="B89" s="244"/>
      <c r="C89" s="247"/>
      <c r="D89" s="242"/>
      <c r="E89" s="242"/>
      <c r="F89" s="242"/>
      <c r="G89" s="241"/>
      <c r="H89" s="241"/>
      <c r="I89" s="242"/>
      <c r="J89" s="64"/>
      <c r="K89" s="28"/>
      <c r="L89" s="66"/>
      <c r="M89" s="66"/>
      <c r="N89" s="126"/>
      <c r="O89" s="66"/>
      <c r="P89" s="66"/>
      <c r="Q89" s="68"/>
      <c r="R89" s="29"/>
      <c r="S89" s="29"/>
      <c r="T89" s="32"/>
      <c r="U89" s="43"/>
      <c r="V89" s="42"/>
      <c r="W89" s="22"/>
      <c r="X89" s="22"/>
      <c r="Z89" s="22"/>
    </row>
    <row r="90" spans="1:26" x14ac:dyDescent="0.25">
      <c r="A90" s="240"/>
      <c r="B90" s="505" t="s">
        <v>253</v>
      </c>
      <c r="C90" s="506"/>
      <c r="D90" s="506"/>
      <c r="E90" s="506"/>
      <c r="F90" s="507"/>
      <c r="G90" s="241"/>
      <c r="H90" s="241"/>
      <c r="I90" s="242"/>
      <c r="J90" s="204"/>
      <c r="K90" s="199" t="s">
        <v>219</v>
      </c>
      <c r="L90" s="205">
        <v>12500000</v>
      </c>
      <c r="M90" s="205">
        <v>0</v>
      </c>
      <c r="N90" s="205">
        <f>L90-M90</f>
        <v>12500000</v>
      </c>
      <c r="O90" s="205"/>
      <c r="P90" s="205"/>
      <c r="Q90" s="206">
        <v>1520000</v>
      </c>
      <c r="R90" s="84">
        <v>0</v>
      </c>
      <c r="S90" s="84">
        <f>Q90+R90</f>
        <v>1520000</v>
      </c>
      <c r="T90" s="54">
        <f>S90/N90*100</f>
        <v>12.16</v>
      </c>
      <c r="U90" s="52">
        <f t="shared" ref="U90" si="16">N90-S90</f>
        <v>10980000</v>
      </c>
      <c r="V90" s="42"/>
      <c r="W90" s="22"/>
      <c r="X90" s="22">
        <f t="shared" si="11"/>
        <v>12.16</v>
      </c>
      <c r="Z90" s="22"/>
    </row>
    <row r="91" spans="1:26" x14ac:dyDescent="0.25">
      <c r="A91" s="240"/>
      <c r="B91" s="244"/>
      <c r="C91" s="247"/>
      <c r="D91" s="242"/>
      <c r="E91" s="242"/>
      <c r="F91" s="242"/>
      <c r="G91" s="241"/>
      <c r="H91" s="241"/>
      <c r="I91" s="242"/>
      <c r="J91" s="64"/>
      <c r="K91" s="28"/>
      <c r="L91" s="66"/>
      <c r="M91" s="66"/>
      <c r="N91" s="126"/>
      <c r="O91" s="66"/>
      <c r="P91" s="66"/>
      <c r="Q91" s="68"/>
      <c r="R91" s="29"/>
      <c r="S91" s="29"/>
      <c r="T91" s="32"/>
      <c r="U91" s="43"/>
      <c r="V91" s="42"/>
      <c r="W91" s="22"/>
      <c r="X91" s="22"/>
      <c r="Z91" s="22"/>
    </row>
    <row r="92" spans="1:26" x14ac:dyDescent="0.25">
      <c r="A92" s="240"/>
      <c r="B92" s="505" t="s">
        <v>254</v>
      </c>
      <c r="C92" s="506"/>
      <c r="D92" s="506"/>
      <c r="E92" s="506"/>
      <c r="F92" s="507"/>
      <c r="G92" s="241"/>
      <c r="H92" s="241"/>
      <c r="I92" s="242"/>
      <c r="J92" s="204"/>
      <c r="K92" s="199" t="s">
        <v>220</v>
      </c>
      <c r="L92" s="205">
        <v>15000000</v>
      </c>
      <c r="M92" s="205">
        <v>0</v>
      </c>
      <c r="N92" s="205">
        <f>L92-M92</f>
        <v>15000000</v>
      </c>
      <c r="O92" s="205"/>
      <c r="P92" s="205"/>
      <c r="Q92" s="206">
        <v>0</v>
      </c>
      <c r="R92" s="84">
        <v>0</v>
      </c>
      <c r="S92" s="84">
        <f>Q92+R92</f>
        <v>0</v>
      </c>
      <c r="T92" s="54">
        <f>S92/N92*100</f>
        <v>0</v>
      </c>
      <c r="U92" s="52">
        <f t="shared" ref="U92" si="17">N92-S92</f>
        <v>15000000</v>
      </c>
      <c r="V92" s="42"/>
      <c r="W92" s="22"/>
      <c r="X92" s="22">
        <f t="shared" si="11"/>
        <v>0</v>
      </c>
      <c r="Z92" s="22"/>
    </row>
    <row r="93" spans="1:26" x14ac:dyDescent="0.25">
      <c r="A93" s="240"/>
      <c r="B93" s="244"/>
      <c r="C93" s="247"/>
      <c r="D93" s="242"/>
      <c r="E93" s="242"/>
      <c r="F93" s="242"/>
      <c r="G93" s="241"/>
      <c r="H93" s="241"/>
      <c r="I93" s="242"/>
      <c r="J93" s="64"/>
      <c r="K93" s="28"/>
      <c r="L93" s="66"/>
      <c r="M93" s="66"/>
      <c r="N93" s="67"/>
      <c r="O93" s="66"/>
      <c r="P93" s="66"/>
      <c r="Q93" s="68"/>
      <c r="R93" s="29"/>
      <c r="S93" s="29"/>
      <c r="T93" s="32"/>
      <c r="U93" s="43"/>
      <c r="V93" s="42"/>
      <c r="W93" s="22"/>
      <c r="X93" s="22"/>
      <c r="Z93" s="22"/>
    </row>
    <row r="94" spans="1:26" x14ac:dyDescent="0.25">
      <c r="A94" s="240"/>
      <c r="B94" s="233">
        <v>4</v>
      </c>
      <c r="C94" s="247"/>
      <c r="D94" s="242"/>
      <c r="E94" s="242"/>
      <c r="F94" s="242"/>
      <c r="G94" s="241"/>
      <c r="H94" s="241"/>
      <c r="I94" s="242"/>
      <c r="J94" s="134"/>
      <c r="K94" s="34" t="s">
        <v>135</v>
      </c>
      <c r="L94" s="41">
        <f>L97+L109</f>
        <v>656145000</v>
      </c>
      <c r="M94" s="41">
        <f>M97+M109</f>
        <v>0</v>
      </c>
      <c r="N94" s="41">
        <f>L94-M94</f>
        <v>656145000</v>
      </c>
      <c r="O94" s="135"/>
      <c r="P94" s="135"/>
      <c r="Q94" s="41">
        <f>Q97+Q109</f>
        <v>21840000</v>
      </c>
      <c r="R94" s="41">
        <v>18140000</v>
      </c>
      <c r="S94" s="41">
        <f>Q94+R94</f>
        <v>39980000</v>
      </c>
      <c r="T94" s="136">
        <f>S94/N94*100</f>
        <v>6.0931653826517005</v>
      </c>
      <c r="U94" s="42">
        <f t="shared" ref="U94:U120" si="18">N94-S94</f>
        <v>616165000</v>
      </c>
      <c r="V94" s="42">
        <f t="shared" si="12"/>
        <v>308082500</v>
      </c>
      <c r="W94" s="22">
        <f>Q94/N94*100</f>
        <v>3.3285325652104332</v>
      </c>
      <c r="X94" s="22">
        <f t="shared" si="11"/>
        <v>3.3285325652104332</v>
      </c>
      <c r="Z94" s="22">
        <f t="shared" si="13"/>
        <v>3.3285325652104332</v>
      </c>
    </row>
    <row r="95" spans="1:26" x14ac:dyDescent="0.25">
      <c r="A95" s="240"/>
      <c r="B95" s="244"/>
      <c r="C95" s="247"/>
      <c r="D95" s="242"/>
      <c r="E95" s="242"/>
      <c r="F95" s="242"/>
      <c r="G95" s="241"/>
      <c r="H95" s="241"/>
      <c r="I95" s="242"/>
      <c r="J95" s="64"/>
      <c r="K95" s="28"/>
      <c r="L95" s="66"/>
      <c r="M95" s="66"/>
      <c r="N95" s="67"/>
      <c r="O95" s="66"/>
      <c r="P95" s="66"/>
      <c r="Q95" s="68"/>
      <c r="R95" s="29"/>
      <c r="S95" s="29"/>
      <c r="T95" s="32"/>
      <c r="U95" s="43"/>
      <c r="V95" s="42">
        <f t="shared" si="12"/>
        <v>0</v>
      </c>
      <c r="W95" s="22"/>
      <c r="X95" s="22"/>
      <c r="Z95" s="22" t="e">
        <f t="shared" si="13"/>
        <v>#DIV/0!</v>
      </c>
    </row>
    <row r="96" spans="1:26" x14ac:dyDescent="0.25">
      <c r="A96" s="240"/>
      <c r="B96" s="244"/>
      <c r="C96" s="247"/>
      <c r="D96" s="242"/>
      <c r="E96" s="242"/>
      <c r="F96" s="242"/>
      <c r="G96" s="241"/>
      <c r="H96" s="241"/>
      <c r="I96" s="242"/>
      <c r="J96" s="64"/>
      <c r="K96" s="28"/>
      <c r="L96" s="66"/>
      <c r="M96" s="66"/>
      <c r="N96" s="67"/>
      <c r="O96" s="66"/>
      <c r="P96" s="66"/>
      <c r="Q96" s="68"/>
      <c r="R96" s="29"/>
      <c r="S96" s="29"/>
      <c r="T96" s="32"/>
      <c r="U96" s="43"/>
      <c r="V96" s="42">
        <f t="shared" si="12"/>
        <v>0</v>
      </c>
      <c r="W96" s="22"/>
      <c r="X96" s="22"/>
      <c r="Z96" s="22" t="e">
        <f t="shared" si="13"/>
        <v>#DIV/0!</v>
      </c>
    </row>
    <row r="97" spans="1:26" x14ac:dyDescent="0.25">
      <c r="A97" s="240"/>
      <c r="B97" s="233" t="s">
        <v>255</v>
      </c>
      <c r="C97" s="252"/>
      <c r="D97" s="251"/>
      <c r="E97" s="250"/>
      <c r="F97" s="250"/>
      <c r="G97" s="248"/>
      <c r="H97" s="248"/>
      <c r="I97" s="250"/>
      <c r="J97" s="122"/>
      <c r="K97" s="115" t="s">
        <v>256</v>
      </c>
      <c r="L97" s="52">
        <f>L99+L101+L103+L105+L107</f>
        <v>189650000</v>
      </c>
      <c r="M97" s="52">
        <f>M99+M101+M103+M105</f>
        <v>0</v>
      </c>
      <c r="N97" s="52">
        <f t="shared" ref="N97:N128" si="19">L97-M97</f>
        <v>189650000</v>
      </c>
      <c r="O97" s="116"/>
      <c r="P97" s="116"/>
      <c r="Q97" s="84">
        <f>Q99+Q101+Q103+Q105</f>
        <v>3750000</v>
      </c>
      <c r="R97" s="84">
        <v>0</v>
      </c>
      <c r="S97" s="84">
        <f>Q97+R97</f>
        <v>3750000</v>
      </c>
      <c r="T97" s="54">
        <f>S97/N97*100</f>
        <v>1.9773266543633008</v>
      </c>
      <c r="U97" s="52">
        <f t="shared" si="18"/>
        <v>185900000</v>
      </c>
      <c r="V97" s="42">
        <f t="shared" si="12"/>
        <v>92950000</v>
      </c>
      <c r="W97" s="22">
        <f t="shared" ref="W97:W130" si="20">Q97/N97*100</f>
        <v>1.9773266543633008</v>
      </c>
      <c r="X97" s="22">
        <f t="shared" si="11"/>
        <v>1.9773266543633008</v>
      </c>
      <c r="Z97" s="65">
        <f t="shared" si="13"/>
        <v>1.9773266543633008</v>
      </c>
    </row>
    <row r="98" spans="1:26" x14ac:dyDescent="0.25">
      <c r="A98" s="240"/>
      <c r="B98" s="244"/>
      <c r="C98" s="247"/>
      <c r="D98" s="242"/>
      <c r="E98" s="242"/>
      <c r="F98" s="242"/>
      <c r="G98" s="241"/>
      <c r="H98" s="241"/>
      <c r="I98" s="242"/>
      <c r="J98" s="64"/>
      <c r="K98" s="28"/>
      <c r="L98" s="66"/>
      <c r="M98" s="66"/>
      <c r="N98" s="67">
        <f t="shared" si="19"/>
        <v>0</v>
      </c>
      <c r="O98" s="66"/>
      <c r="P98" s="66"/>
      <c r="Q98" s="68"/>
      <c r="R98" s="29"/>
      <c r="S98" s="29"/>
      <c r="T98" s="32"/>
      <c r="U98" s="43"/>
      <c r="V98" s="42">
        <f t="shared" si="12"/>
        <v>0</v>
      </c>
      <c r="W98" s="22"/>
      <c r="X98" s="22"/>
      <c r="Z98" s="22" t="e">
        <f t="shared" si="13"/>
        <v>#DIV/0!</v>
      </c>
    </row>
    <row r="99" spans="1:26" x14ac:dyDescent="0.25">
      <c r="A99" s="240"/>
      <c r="B99" s="244"/>
      <c r="C99" s="247"/>
      <c r="D99" s="242"/>
      <c r="E99" s="242"/>
      <c r="F99" s="242"/>
      <c r="G99" s="241"/>
      <c r="H99" s="241"/>
      <c r="I99" s="242"/>
      <c r="J99" s="64"/>
      <c r="K99" s="56" t="s">
        <v>221</v>
      </c>
      <c r="L99" s="30">
        <v>39000000</v>
      </c>
      <c r="M99" s="30">
        <v>0</v>
      </c>
      <c r="N99" s="126">
        <f t="shared" si="19"/>
        <v>39000000</v>
      </c>
      <c r="O99" s="66"/>
      <c r="P99" s="66"/>
      <c r="Q99" s="29">
        <v>0</v>
      </c>
      <c r="R99" s="29">
        <v>0</v>
      </c>
      <c r="S99" s="29">
        <f>Q99+R99</f>
        <v>0</v>
      </c>
      <c r="T99" s="20">
        <f>S99/N99*100</f>
        <v>0</v>
      </c>
      <c r="U99" s="43">
        <f t="shared" si="18"/>
        <v>39000000</v>
      </c>
      <c r="V99" s="42">
        <f t="shared" si="12"/>
        <v>19500000</v>
      </c>
      <c r="W99" s="22">
        <f t="shared" si="20"/>
        <v>0</v>
      </c>
      <c r="X99" s="22">
        <f t="shared" si="11"/>
        <v>0</v>
      </c>
      <c r="Z99" s="22">
        <f t="shared" si="13"/>
        <v>0</v>
      </c>
    </row>
    <row r="100" spans="1:26" x14ac:dyDescent="0.25">
      <c r="A100" s="240"/>
      <c r="B100" s="244"/>
      <c r="C100" s="247"/>
      <c r="D100" s="242"/>
      <c r="E100" s="242"/>
      <c r="F100" s="242"/>
      <c r="G100" s="241"/>
      <c r="H100" s="241"/>
      <c r="I100" s="242"/>
      <c r="J100" s="64"/>
      <c r="K100" s="56"/>
      <c r="L100" s="270">
        <f>L101+L103+L105+L107</f>
        <v>150650000</v>
      </c>
      <c r="M100" s="270"/>
      <c r="N100" s="270">
        <f>N101+N103+N105+N107</f>
        <v>150650000</v>
      </c>
      <c r="O100" s="271"/>
      <c r="P100" s="271"/>
      <c r="Q100" s="270">
        <f>Q101+Q103+Q105+Q107</f>
        <v>3750000</v>
      </c>
      <c r="R100" s="270">
        <f>R101+R103+R105+R107</f>
        <v>0</v>
      </c>
      <c r="S100" s="270">
        <f>S101+S103+S105+S107</f>
        <v>3750000</v>
      </c>
      <c r="T100" s="272"/>
      <c r="U100" s="270">
        <f t="shared" si="18"/>
        <v>146900000</v>
      </c>
      <c r="V100" s="270">
        <f t="shared" si="12"/>
        <v>73450000</v>
      </c>
      <c r="W100" s="273"/>
      <c r="X100" s="273">
        <f t="shared" si="11"/>
        <v>2.4892134085628941</v>
      </c>
      <c r="Y100" s="274"/>
      <c r="Z100" s="273">
        <f t="shared" si="13"/>
        <v>2.4892134085628941</v>
      </c>
    </row>
    <row r="101" spans="1:26" x14ac:dyDescent="0.25">
      <c r="A101" s="240"/>
      <c r="B101" s="244"/>
      <c r="C101" s="247"/>
      <c r="D101" s="242"/>
      <c r="E101" s="242"/>
      <c r="F101" s="242"/>
      <c r="G101" s="241"/>
      <c r="H101" s="241"/>
      <c r="I101" s="242"/>
      <c r="J101" s="64"/>
      <c r="K101" s="56" t="s">
        <v>222</v>
      </c>
      <c r="L101" s="30">
        <v>100000000</v>
      </c>
      <c r="M101" s="30">
        <v>0</v>
      </c>
      <c r="N101" s="67">
        <f t="shared" si="19"/>
        <v>100000000</v>
      </c>
      <c r="O101" s="66"/>
      <c r="P101" s="66"/>
      <c r="Q101" s="29">
        <v>0</v>
      </c>
      <c r="R101" s="29">
        <v>0</v>
      </c>
      <c r="S101" s="29">
        <f t="shared" ref="S101:S105" si="21">Q101+R101</f>
        <v>0</v>
      </c>
      <c r="T101" s="32"/>
      <c r="U101" s="43">
        <f t="shared" si="18"/>
        <v>100000000</v>
      </c>
      <c r="V101" s="42">
        <f t="shared" si="12"/>
        <v>50000000</v>
      </c>
      <c r="W101" s="22"/>
      <c r="X101" s="22">
        <f t="shared" si="11"/>
        <v>0</v>
      </c>
      <c r="Z101" s="22">
        <f t="shared" si="13"/>
        <v>0</v>
      </c>
    </row>
    <row r="102" spans="1:26" x14ac:dyDescent="0.25">
      <c r="A102" s="240"/>
      <c r="B102" s="244"/>
      <c r="C102" s="247"/>
      <c r="D102" s="242"/>
      <c r="E102" s="242"/>
      <c r="F102" s="242"/>
      <c r="G102" s="241"/>
      <c r="H102" s="241"/>
      <c r="I102" s="242"/>
      <c r="J102" s="64"/>
      <c r="K102" s="56"/>
      <c r="L102" s="30"/>
      <c r="M102" s="30"/>
      <c r="N102" s="67"/>
      <c r="O102" s="66"/>
      <c r="P102" s="66"/>
      <c r="Q102" s="29"/>
      <c r="R102" s="29"/>
      <c r="S102" s="29"/>
      <c r="T102" s="32"/>
      <c r="U102" s="43"/>
      <c r="V102" s="42">
        <f t="shared" si="12"/>
        <v>0</v>
      </c>
      <c r="W102" s="22"/>
      <c r="X102" s="22"/>
      <c r="Z102" s="22" t="e">
        <f t="shared" si="13"/>
        <v>#DIV/0!</v>
      </c>
    </row>
    <row r="103" spans="1:26" x14ac:dyDescent="0.25">
      <c r="A103" s="240"/>
      <c r="B103" s="244"/>
      <c r="C103" s="247"/>
      <c r="D103" s="242"/>
      <c r="E103" s="242"/>
      <c r="F103" s="242"/>
      <c r="G103" s="241"/>
      <c r="H103" s="241"/>
      <c r="I103" s="242"/>
      <c r="J103" s="64"/>
      <c r="K103" s="56" t="s">
        <v>224</v>
      </c>
      <c r="L103" s="30">
        <v>3600000</v>
      </c>
      <c r="M103" s="30">
        <v>0</v>
      </c>
      <c r="N103" s="67">
        <f t="shared" si="19"/>
        <v>3600000</v>
      </c>
      <c r="O103" s="66"/>
      <c r="P103" s="66"/>
      <c r="Q103" s="29">
        <v>0</v>
      </c>
      <c r="R103" s="29">
        <v>0</v>
      </c>
      <c r="S103" s="29">
        <f t="shared" si="21"/>
        <v>0</v>
      </c>
      <c r="T103" s="32"/>
      <c r="U103" s="43">
        <f t="shared" si="18"/>
        <v>3600000</v>
      </c>
      <c r="V103" s="42">
        <f t="shared" si="12"/>
        <v>1800000</v>
      </c>
      <c r="W103" s="22"/>
      <c r="X103" s="22">
        <f t="shared" si="11"/>
        <v>0</v>
      </c>
      <c r="Z103" s="22">
        <f t="shared" si="13"/>
        <v>0</v>
      </c>
    </row>
    <row r="104" spans="1:26" x14ac:dyDescent="0.25">
      <c r="A104" s="240"/>
      <c r="B104" s="244"/>
      <c r="C104" s="247"/>
      <c r="D104" s="242"/>
      <c r="E104" s="242"/>
      <c r="F104" s="242"/>
      <c r="G104" s="241"/>
      <c r="H104" s="241"/>
      <c r="I104" s="242"/>
      <c r="J104" s="64"/>
      <c r="K104" s="56"/>
      <c r="L104" s="30"/>
      <c r="M104" s="30"/>
      <c r="N104" s="67"/>
      <c r="O104" s="66"/>
      <c r="P104" s="66"/>
      <c r="Q104" s="29"/>
      <c r="R104" s="29"/>
      <c r="S104" s="29"/>
      <c r="T104" s="32"/>
      <c r="U104" s="43"/>
      <c r="V104" s="42">
        <f t="shared" si="12"/>
        <v>0</v>
      </c>
      <c r="W104" s="22"/>
      <c r="X104" s="22"/>
      <c r="Z104" s="22" t="e">
        <f t="shared" si="13"/>
        <v>#DIV/0!</v>
      </c>
    </row>
    <row r="105" spans="1:26" x14ac:dyDescent="0.25">
      <c r="A105" s="240"/>
      <c r="B105" s="244"/>
      <c r="C105" s="247"/>
      <c r="D105" s="242"/>
      <c r="E105" s="242"/>
      <c r="F105" s="242"/>
      <c r="G105" s="241"/>
      <c r="H105" s="241"/>
      <c r="I105" s="242"/>
      <c r="J105" s="64"/>
      <c r="K105" s="56" t="s">
        <v>141</v>
      </c>
      <c r="L105" s="30">
        <v>43900000</v>
      </c>
      <c r="M105" s="30">
        <v>0</v>
      </c>
      <c r="N105" s="67">
        <f t="shared" si="19"/>
        <v>43900000</v>
      </c>
      <c r="O105" s="66"/>
      <c r="P105" s="66"/>
      <c r="Q105" s="29">
        <v>3750000</v>
      </c>
      <c r="R105" s="29">
        <v>0</v>
      </c>
      <c r="S105" s="29">
        <f t="shared" si="21"/>
        <v>3750000</v>
      </c>
      <c r="T105" s="20">
        <f>S105/N105*100</f>
        <v>8.5421412300683368</v>
      </c>
      <c r="U105" s="43">
        <f t="shared" si="18"/>
        <v>40150000</v>
      </c>
      <c r="V105" s="42">
        <f t="shared" si="12"/>
        <v>20075000</v>
      </c>
      <c r="W105" s="22">
        <f t="shared" si="20"/>
        <v>8.5421412300683368</v>
      </c>
      <c r="X105" s="22">
        <f t="shared" si="11"/>
        <v>8.5421412300683368</v>
      </c>
      <c r="Z105" s="22">
        <f t="shared" si="13"/>
        <v>8.5421412300683368</v>
      </c>
    </row>
    <row r="106" spans="1:26" x14ac:dyDescent="0.25">
      <c r="A106" s="240"/>
      <c r="B106" s="244"/>
      <c r="C106" s="247"/>
      <c r="D106" s="242"/>
      <c r="E106" s="242"/>
      <c r="F106" s="242"/>
      <c r="G106" s="241"/>
      <c r="H106" s="241"/>
      <c r="I106" s="242"/>
      <c r="J106" s="64"/>
      <c r="K106" s="56"/>
      <c r="L106" s="30"/>
      <c r="M106" s="30"/>
      <c r="N106" s="67"/>
      <c r="O106" s="66"/>
      <c r="P106" s="66"/>
      <c r="Q106" s="29"/>
      <c r="R106" s="29"/>
      <c r="S106" s="29"/>
      <c r="T106" s="20"/>
      <c r="U106" s="43"/>
      <c r="V106" s="42"/>
      <c r="W106" s="22"/>
      <c r="X106" s="22"/>
      <c r="Z106" s="22"/>
    </row>
    <row r="107" spans="1:26" x14ac:dyDescent="0.25">
      <c r="A107" s="240"/>
      <c r="B107" s="244"/>
      <c r="C107" s="247"/>
      <c r="D107" s="242"/>
      <c r="E107" s="242"/>
      <c r="F107" s="242"/>
      <c r="G107" s="241"/>
      <c r="H107" s="241"/>
      <c r="I107" s="242"/>
      <c r="J107" s="64"/>
      <c r="K107" s="56" t="s">
        <v>223</v>
      </c>
      <c r="L107" s="30">
        <v>3150000</v>
      </c>
      <c r="M107" s="30">
        <v>0</v>
      </c>
      <c r="N107" s="67">
        <f t="shared" si="19"/>
        <v>3150000</v>
      </c>
      <c r="O107" s="66"/>
      <c r="P107" s="66"/>
      <c r="Q107" s="29"/>
      <c r="R107" s="29"/>
      <c r="S107" s="29"/>
      <c r="T107" s="20"/>
      <c r="U107" s="43">
        <f t="shared" si="18"/>
        <v>3150000</v>
      </c>
      <c r="V107" s="42"/>
      <c r="W107" s="22"/>
      <c r="X107" s="22">
        <f t="shared" si="11"/>
        <v>0</v>
      </c>
      <c r="Z107" s="22"/>
    </row>
    <row r="108" spans="1:26" x14ac:dyDescent="0.25">
      <c r="A108" s="240"/>
      <c r="B108" s="244"/>
      <c r="C108" s="247"/>
      <c r="D108" s="242"/>
      <c r="E108" s="242"/>
      <c r="F108" s="242"/>
      <c r="G108" s="241"/>
      <c r="H108" s="241"/>
      <c r="I108" s="242"/>
      <c r="J108" s="64"/>
      <c r="K108" s="28"/>
      <c r="L108" s="66"/>
      <c r="M108" s="66"/>
      <c r="N108" s="67"/>
      <c r="O108" s="66"/>
      <c r="P108" s="66"/>
      <c r="Q108" s="68"/>
      <c r="R108" s="29"/>
      <c r="S108" s="29"/>
      <c r="T108" s="32"/>
      <c r="U108" s="43"/>
      <c r="V108" s="42">
        <f t="shared" si="12"/>
        <v>0</v>
      </c>
      <c r="W108" s="22"/>
      <c r="X108" s="22"/>
      <c r="Z108" s="22" t="e">
        <f t="shared" si="13"/>
        <v>#DIV/0!</v>
      </c>
    </row>
    <row r="109" spans="1:26" x14ac:dyDescent="0.25">
      <c r="A109" s="232"/>
      <c r="B109" s="505" t="s">
        <v>257</v>
      </c>
      <c r="C109" s="506"/>
      <c r="D109" s="506"/>
      <c r="E109" s="506"/>
      <c r="F109" s="506"/>
      <c r="G109" s="507"/>
      <c r="H109" s="238"/>
      <c r="I109" s="239"/>
      <c r="J109" s="106"/>
      <c r="K109" s="137" t="s">
        <v>143</v>
      </c>
      <c r="L109" s="52">
        <f>L111+L113+L115+L120+L122</f>
        <v>466495000</v>
      </c>
      <c r="M109" s="52">
        <f>M111+M113+M115+M120+M122</f>
        <v>0</v>
      </c>
      <c r="N109" s="52">
        <f t="shared" ref="N109" si="22">L109-M109</f>
        <v>466495000</v>
      </c>
      <c r="O109" s="53"/>
      <c r="P109" s="53"/>
      <c r="Q109" s="52">
        <f>Q111+Q113+Q115+Q120+Q122</f>
        <v>18090000</v>
      </c>
      <c r="R109" s="52">
        <v>18140000</v>
      </c>
      <c r="S109" s="52">
        <f t="shared" ref="S109:S122" si="23">Q109+R109</f>
        <v>36230000</v>
      </c>
      <c r="T109" s="54">
        <f>S109/N109*100</f>
        <v>7.7664283647198795</v>
      </c>
      <c r="U109" s="52">
        <f t="shared" si="18"/>
        <v>430265000</v>
      </c>
      <c r="V109" s="42">
        <f t="shared" si="12"/>
        <v>215132500</v>
      </c>
      <c r="W109" s="22">
        <f t="shared" si="20"/>
        <v>3.877855068114342</v>
      </c>
      <c r="X109" s="22">
        <f t="shared" si="11"/>
        <v>3.877855068114342</v>
      </c>
      <c r="Z109" s="65">
        <f t="shared" si="13"/>
        <v>3.877855068114342</v>
      </c>
    </row>
    <row r="110" spans="1:26" x14ac:dyDescent="0.25">
      <c r="A110" s="232"/>
      <c r="B110" s="234"/>
      <c r="C110" s="234"/>
      <c r="D110" s="253"/>
      <c r="E110" s="254"/>
      <c r="F110" s="254"/>
      <c r="G110" s="254"/>
      <c r="H110" s="238"/>
      <c r="I110" s="239"/>
      <c r="J110" s="106"/>
      <c r="K110" s="137"/>
      <c r="L110" s="52"/>
      <c r="M110" s="52"/>
      <c r="N110" s="52"/>
      <c r="O110" s="53"/>
      <c r="P110" s="53"/>
      <c r="Q110" s="52"/>
      <c r="R110" s="52"/>
      <c r="S110" s="52"/>
      <c r="T110" s="54"/>
      <c r="U110" s="52"/>
      <c r="V110" s="42"/>
      <c r="W110" s="22"/>
      <c r="X110" s="22"/>
      <c r="Z110" s="65"/>
    </row>
    <row r="111" spans="1:26" x14ac:dyDescent="0.25">
      <c r="A111" s="255"/>
      <c r="B111" s="256"/>
      <c r="C111" s="256"/>
      <c r="D111" s="257"/>
      <c r="E111" s="258"/>
      <c r="F111" s="258"/>
      <c r="G111" s="258"/>
      <c r="H111" s="259"/>
      <c r="I111" s="260"/>
      <c r="J111" s="204"/>
      <c r="K111" s="220" t="s">
        <v>225</v>
      </c>
      <c r="L111" s="211">
        <v>11750000</v>
      </c>
      <c r="M111" s="211">
        <v>0</v>
      </c>
      <c r="N111" s="205">
        <f t="shared" si="19"/>
        <v>11750000</v>
      </c>
      <c r="O111" s="211"/>
      <c r="P111" s="211"/>
      <c r="Q111" s="211">
        <v>100000</v>
      </c>
      <c r="R111" s="207">
        <v>0</v>
      </c>
      <c r="S111" s="207">
        <f t="shared" si="23"/>
        <v>100000</v>
      </c>
      <c r="T111" s="221"/>
      <c r="U111" s="209">
        <f t="shared" si="18"/>
        <v>11650000</v>
      </c>
      <c r="V111" s="42">
        <f t="shared" si="12"/>
        <v>5825000</v>
      </c>
      <c r="W111" s="22"/>
      <c r="X111" s="22">
        <f t="shared" si="11"/>
        <v>0.85106382978723405</v>
      </c>
      <c r="Z111" s="22">
        <f t="shared" si="13"/>
        <v>0.85106382978723405</v>
      </c>
    </row>
    <row r="112" spans="1:26" x14ac:dyDescent="0.25">
      <c r="A112" s="255"/>
      <c r="B112" s="256"/>
      <c r="C112" s="256"/>
      <c r="D112" s="261"/>
      <c r="E112" s="258"/>
      <c r="F112" s="258"/>
      <c r="G112" s="258"/>
      <c r="H112" s="259"/>
      <c r="I112" s="260"/>
      <c r="J112" s="64"/>
      <c r="K112" s="28"/>
      <c r="L112" s="66"/>
      <c r="M112" s="66"/>
      <c r="N112" s="67"/>
      <c r="O112" s="66"/>
      <c r="P112" s="66"/>
      <c r="Q112" s="66"/>
      <c r="R112" s="68"/>
      <c r="S112" s="68"/>
      <c r="T112" s="20"/>
      <c r="U112" s="43"/>
      <c r="V112" s="42">
        <f t="shared" si="12"/>
        <v>0</v>
      </c>
      <c r="W112" s="22"/>
      <c r="X112" s="22"/>
      <c r="Z112" s="22" t="e">
        <f t="shared" si="13"/>
        <v>#DIV/0!</v>
      </c>
    </row>
    <row r="113" spans="1:26" x14ac:dyDescent="0.25">
      <c r="A113" s="255"/>
      <c r="B113" s="256"/>
      <c r="C113" s="256"/>
      <c r="D113" s="261"/>
      <c r="E113" s="258"/>
      <c r="F113" s="258"/>
      <c r="G113" s="258"/>
      <c r="H113" s="259"/>
      <c r="I113" s="260"/>
      <c r="J113" s="204"/>
      <c r="K113" s="223" t="s">
        <v>226</v>
      </c>
      <c r="L113" s="205">
        <v>895000</v>
      </c>
      <c r="M113" s="205">
        <v>0</v>
      </c>
      <c r="N113" s="205">
        <f t="shared" si="19"/>
        <v>895000</v>
      </c>
      <c r="O113" s="205"/>
      <c r="P113" s="205"/>
      <c r="Q113" s="205">
        <v>0</v>
      </c>
      <c r="R113" s="206">
        <v>0</v>
      </c>
      <c r="S113" s="206">
        <f t="shared" si="23"/>
        <v>0</v>
      </c>
      <c r="T113" s="208"/>
      <c r="U113" s="209">
        <f t="shared" si="18"/>
        <v>895000</v>
      </c>
      <c r="V113" s="42">
        <f t="shared" si="12"/>
        <v>447500</v>
      </c>
      <c r="W113" s="22"/>
      <c r="X113" s="22">
        <f t="shared" si="11"/>
        <v>0</v>
      </c>
      <c r="Z113" s="22">
        <f t="shared" si="13"/>
        <v>0</v>
      </c>
    </row>
    <row r="114" spans="1:26" x14ac:dyDescent="0.25">
      <c r="A114" s="240"/>
      <c r="B114" s="244"/>
      <c r="C114" s="247"/>
      <c r="D114" s="242"/>
      <c r="E114" s="242"/>
      <c r="F114" s="242"/>
      <c r="G114" s="241"/>
      <c r="H114" s="241"/>
      <c r="I114" s="242"/>
      <c r="J114" s="64"/>
      <c r="K114" s="28"/>
      <c r="L114" s="66"/>
      <c r="M114" s="66"/>
      <c r="N114" s="67"/>
      <c r="O114" s="30"/>
      <c r="P114" s="30"/>
      <c r="Q114" s="68"/>
      <c r="R114" s="29"/>
      <c r="S114" s="29"/>
      <c r="T114" s="32"/>
      <c r="U114" s="43"/>
      <c r="V114" s="42">
        <f t="shared" si="12"/>
        <v>0</v>
      </c>
      <c r="W114" s="22"/>
      <c r="X114" s="22"/>
      <c r="Z114" s="22" t="e">
        <f t="shared" si="13"/>
        <v>#DIV/0!</v>
      </c>
    </row>
    <row r="115" spans="1:26" x14ac:dyDescent="0.25">
      <c r="A115" s="240"/>
      <c r="B115" s="244"/>
      <c r="C115" s="247"/>
      <c r="D115" s="257"/>
      <c r="E115" s="262"/>
      <c r="F115" s="262"/>
      <c r="G115" s="262"/>
      <c r="H115" s="259"/>
      <c r="I115" s="260"/>
      <c r="J115" s="204"/>
      <c r="K115" s="216" t="s">
        <v>227</v>
      </c>
      <c r="L115" s="211">
        <f>L116+L117+L118</f>
        <v>255800000</v>
      </c>
      <c r="M115" s="211">
        <f>M116+M117</f>
        <v>0</v>
      </c>
      <c r="N115" s="205">
        <f t="shared" si="19"/>
        <v>255800000</v>
      </c>
      <c r="O115" s="205"/>
      <c r="P115" s="205"/>
      <c r="Q115" s="211">
        <f>Q116+Q117+Q118</f>
        <v>16640000</v>
      </c>
      <c r="R115" s="207">
        <v>16640000</v>
      </c>
      <c r="S115" s="207">
        <f t="shared" si="23"/>
        <v>33280000</v>
      </c>
      <c r="T115" s="208">
        <f t="shared" ref="T115:T117" si="24">S115/N115*100</f>
        <v>13.010164190774043</v>
      </c>
      <c r="U115" s="217">
        <f t="shared" si="18"/>
        <v>222520000</v>
      </c>
      <c r="V115" s="42">
        <f t="shared" si="12"/>
        <v>111260000</v>
      </c>
      <c r="W115" s="22">
        <f t="shared" si="20"/>
        <v>6.5050820953870216</v>
      </c>
      <c r="X115" s="22">
        <f t="shared" si="11"/>
        <v>6.5050820953870216</v>
      </c>
      <c r="Z115" s="65">
        <f t="shared" si="13"/>
        <v>6.5050820953870216</v>
      </c>
    </row>
    <row r="116" spans="1:26" x14ac:dyDescent="0.25">
      <c r="A116" s="240"/>
      <c r="B116" s="244"/>
      <c r="C116" s="247"/>
      <c r="D116" s="242"/>
      <c r="E116" s="242"/>
      <c r="F116" s="242"/>
      <c r="G116" s="241"/>
      <c r="H116" s="241"/>
      <c r="I116" s="242"/>
      <c r="J116" s="64"/>
      <c r="K116" s="138" t="s">
        <v>228</v>
      </c>
      <c r="L116" s="66">
        <v>192000000</v>
      </c>
      <c r="M116" s="66">
        <v>0</v>
      </c>
      <c r="N116" s="67">
        <f t="shared" si="19"/>
        <v>192000000</v>
      </c>
      <c r="O116" s="66"/>
      <c r="P116" s="66"/>
      <c r="Q116" s="139">
        <v>16000000</v>
      </c>
      <c r="R116" s="29">
        <v>16000000</v>
      </c>
      <c r="S116" s="29">
        <f t="shared" si="23"/>
        <v>32000000</v>
      </c>
      <c r="T116" s="20"/>
      <c r="U116" s="43">
        <f t="shared" si="18"/>
        <v>160000000</v>
      </c>
      <c r="V116" s="42">
        <f t="shared" si="12"/>
        <v>80000000</v>
      </c>
      <c r="W116" s="22"/>
      <c r="X116" s="22">
        <f t="shared" si="11"/>
        <v>8.3333333333333321</v>
      </c>
      <c r="Z116" s="22">
        <f t="shared" si="13"/>
        <v>8.3333333333333321</v>
      </c>
    </row>
    <row r="117" spans="1:26" x14ac:dyDescent="0.25">
      <c r="A117" s="240"/>
      <c r="B117" s="244"/>
      <c r="C117" s="247"/>
      <c r="D117" s="242"/>
      <c r="E117" s="242"/>
      <c r="F117" s="242"/>
      <c r="G117" s="241"/>
      <c r="H117" s="241"/>
      <c r="I117" s="242"/>
      <c r="J117" s="64"/>
      <c r="K117" s="28" t="s">
        <v>229</v>
      </c>
      <c r="L117" s="66">
        <v>56000000</v>
      </c>
      <c r="M117" s="66">
        <v>0</v>
      </c>
      <c r="N117" s="67">
        <f t="shared" si="19"/>
        <v>56000000</v>
      </c>
      <c r="O117" s="66"/>
      <c r="P117" s="66"/>
      <c r="Q117" s="68">
        <v>0</v>
      </c>
      <c r="R117" s="29">
        <v>0</v>
      </c>
      <c r="S117" s="29">
        <f t="shared" si="23"/>
        <v>0</v>
      </c>
      <c r="T117" s="20">
        <f t="shared" si="24"/>
        <v>0</v>
      </c>
      <c r="U117" s="52">
        <f t="shared" si="18"/>
        <v>56000000</v>
      </c>
      <c r="V117" s="42">
        <f t="shared" si="12"/>
        <v>28000000</v>
      </c>
      <c r="W117" s="22">
        <f t="shared" si="20"/>
        <v>0</v>
      </c>
      <c r="X117" s="22">
        <f t="shared" si="11"/>
        <v>0</v>
      </c>
      <c r="Z117" s="22">
        <f t="shared" si="13"/>
        <v>0</v>
      </c>
    </row>
    <row r="118" spans="1:26" x14ac:dyDescent="0.25">
      <c r="A118" s="240"/>
      <c r="B118" s="244"/>
      <c r="C118" s="247"/>
      <c r="D118" s="242"/>
      <c r="E118" s="242"/>
      <c r="F118" s="242"/>
      <c r="G118" s="241"/>
      <c r="H118" s="241"/>
      <c r="I118" s="242"/>
      <c r="J118" s="64"/>
      <c r="K118" s="28" t="s">
        <v>161</v>
      </c>
      <c r="L118" s="66">
        <v>7800000</v>
      </c>
      <c r="M118" s="66">
        <v>0</v>
      </c>
      <c r="N118" s="67">
        <f t="shared" si="19"/>
        <v>7800000</v>
      </c>
      <c r="O118" s="30"/>
      <c r="P118" s="30"/>
      <c r="Q118" s="68">
        <v>640000</v>
      </c>
      <c r="R118" s="29">
        <v>640000</v>
      </c>
      <c r="S118" s="29">
        <f>Q118+R118</f>
        <v>1280000</v>
      </c>
      <c r="T118" s="32"/>
      <c r="U118" s="43">
        <f t="shared" si="18"/>
        <v>6520000</v>
      </c>
      <c r="V118" s="42">
        <f t="shared" si="12"/>
        <v>3260000</v>
      </c>
      <c r="W118" s="22"/>
      <c r="X118" s="22">
        <f t="shared" si="11"/>
        <v>8.2051282051282044</v>
      </c>
      <c r="Z118" s="22">
        <f t="shared" si="13"/>
        <v>8.2051282051282044</v>
      </c>
    </row>
    <row r="119" spans="1:26" x14ac:dyDescent="0.25">
      <c r="A119" s="240"/>
      <c r="B119" s="244"/>
      <c r="C119" s="247"/>
      <c r="D119" s="242"/>
      <c r="E119" s="242"/>
      <c r="F119" s="242"/>
      <c r="G119" s="241"/>
      <c r="H119" s="241"/>
      <c r="I119" s="242"/>
      <c r="J119" s="64"/>
      <c r="K119" s="28"/>
      <c r="L119" s="66"/>
      <c r="M119" s="66"/>
      <c r="N119" s="67"/>
      <c r="O119" s="30"/>
      <c r="P119" s="30"/>
      <c r="Q119" s="68"/>
      <c r="R119" s="29"/>
      <c r="S119" s="29"/>
      <c r="T119" s="32"/>
      <c r="U119" s="43"/>
      <c r="V119" s="42"/>
      <c r="W119" s="22"/>
      <c r="X119" s="22"/>
      <c r="Z119" s="22"/>
    </row>
    <row r="120" spans="1:26" x14ac:dyDescent="0.25">
      <c r="A120" s="240"/>
      <c r="B120" s="244"/>
      <c r="C120" s="247"/>
      <c r="D120" s="257"/>
      <c r="E120" s="262"/>
      <c r="F120" s="262"/>
      <c r="G120" s="262"/>
      <c r="H120" s="259"/>
      <c r="I120" s="260"/>
      <c r="J120" s="224"/>
      <c r="K120" s="220" t="s">
        <v>230</v>
      </c>
      <c r="L120" s="211">
        <v>100000000</v>
      </c>
      <c r="M120" s="211">
        <v>0</v>
      </c>
      <c r="N120" s="205">
        <f t="shared" si="19"/>
        <v>100000000</v>
      </c>
      <c r="O120" s="205"/>
      <c r="P120" s="205"/>
      <c r="Q120" s="211">
        <v>0</v>
      </c>
      <c r="R120" s="211">
        <v>0</v>
      </c>
      <c r="S120" s="211">
        <f t="shared" si="23"/>
        <v>0</v>
      </c>
      <c r="T120" s="208">
        <f t="shared" ref="T120" si="25">S120/N120*100</f>
        <v>0</v>
      </c>
      <c r="U120" s="209">
        <f t="shared" si="18"/>
        <v>100000000</v>
      </c>
      <c r="V120" s="42">
        <f t="shared" si="12"/>
        <v>50000000</v>
      </c>
      <c r="W120" s="22">
        <f t="shared" si="20"/>
        <v>0</v>
      </c>
      <c r="X120" s="22">
        <f t="shared" si="11"/>
        <v>0</v>
      </c>
      <c r="Z120" s="65">
        <f t="shared" si="13"/>
        <v>0</v>
      </c>
    </row>
    <row r="121" spans="1:26" x14ac:dyDescent="0.25">
      <c r="A121" s="240"/>
      <c r="B121" s="244"/>
      <c r="C121" s="247"/>
      <c r="D121" s="242"/>
      <c r="E121" s="242"/>
      <c r="F121" s="242"/>
      <c r="G121" s="241"/>
      <c r="H121" s="241"/>
      <c r="I121" s="242"/>
      <c r="J121" s="64"/>
      <c r="K121" s="28"/>
      <c r="L121" s="66"/>
      <c r="M121" s="66"/>
      <c r="N121" s="67"/>
      <c r="O121" s="66"/>
      <c r="P121" s="66"/>
      <c r="Q121" s="68"/>
      <c r="R121" s="68"/>
      <c r="S121" s="68"/>
      <c r="T121" s="20"/>
      <c r="U121" s="43"/>
      <c r="V121" s="42">
        <f t="shared" si="12"/>
        <v>0</v>
      </c>
      <c r="W121" s="22"/>
      <c r="X121" s="22"/>
      <c r="Z121" s="22" t="e">
        <f t="shared" si="13"/>
        <v>#DIV/0!</v>
      </c>
    </row>
    <row r="122" spans="1:26" x14ac:dyDescent="0.25">
      <c r="A122" s="240"/>
      <c r="B122" s="244"/>
      <c r="C122" s="247"/>
      <c r="D122" s="242"/>
      <c r="E122" s="242"/>
      <c r="F122" s="242"/>
      <c r="G122" s="241"/>
      <c r="H122" s="241"/>
      <c r="I122" s="242"/>
      <c r="J122" s="204"/>
      <c r="K122" s="210" t="s">
        <v>231</v>
      </c>
      <c r="L122" s="205">
        <f>L124+L126+L128</f>
        <v>98050000</v>
      </c>
      <c r="M122" s="205">
        <f>M124+M126+M128</f>
        <v>0</v>
      </c>
      <c r="N122" s="205">
        <f t="shared" si="19"/>
        <v>98050000</v>
      </c>
      <c r="O122" s="211"/>
      <c r="P122" s="211"/>
      <c r="Q122" s="206">
        <f>Q124+Q126+Q128</f>
        <v>1350000</v>
      </c>
      <c r="R122" s="207">
        <v>1500000</v>
      </c>
      <c r="S122" s="207">
        <f t="shared" si="23"/>
        <v>2850000</v>
      </c>
      <c r="T122" s="208">
        <f t="shared" ref="T122" si="26">S122/N122*100</f>
        <v>2.9066802651708312</v>
      </c>
      <c r="U122" s="43">
        <f t="shared" ref="U122:U126" si="27">N122-S122</f>
        <v>95200000</v>
      </c>
      <c r="V122" s="42">
        <f t="shared" si="12"/>
        <v>47600000</v>
      </c>
      <c r="W122" s="22">
        <f t="shared" si="20"/>
        <v>1.3768485466598674</v>
      </c>
      <c r="X122" s="22">
        <f t="shared" si="11"/>
        <v>1.3768485466598674</v>
      </c>
      <c r="Z122" s="22">
        <f t="shared" si="13"/>
        <v>1.3768485466598674</v>
      </c>
    </row>
    <row r="123" spans="1:26" x14ac:dyDescent="0.25">
      <c r="A123" s="240"/>
      <c r="B123" s="244"/>
      <c r="C123" s="247"/>
      <c r="D123" s="242"/>
      <c r="E123" s="242"/>
      <c r="F123" s="242"/>
      <c r="G123" s="241"/>
      <c r="H123" s="241"/>
      <c r="I123" s="242"/>
      <c r="J123" s="64"/>
      <c r="K123" s="28"/>
      <c r="L123" s="66"/>
      <c r="M123" s="66"/>
      <c r="N123" s="67"/>
      <c r="O123" s="30"/>
      <c r="P123" s="30"/>
      <c r="Q123" s="68"/>
      <c r="R123" s="29"/>
      <c r="S123" s="29"/>
      <c r="T123" s="32"/>
      <c r="U123" s="43"/>
      <c r="V123" s="42">
        <f t="shared" si="12"/>
        <v>0</v>
      </c>
      <c r="W123" s="22"/>
      <c r="X123" s="22"/>
      <c r="Z123" s="22" t="e">
        <f t="shared" si="13"/>
        <v>#DIV/0!</v>
      </c>
    </row>
    <row r="124" spans="1:26" x14ac:dyDescent="0.25">
      <c r="A124" s="240"/>
      <c r="B124" s="244"/>
      <c r="C124" s="247"/>
      <c r="D124" s="263"/>
      <c r="E124" s="264"/>
      <c r="F124" s="264"/>
      <c r="G124" s="244"/>
      <c r="H124" s="244"/>
      <c r="I124" s="264"/>
      <c r="J124" s="140"/>
      <c r="K124" s="56" t="s">
        <v>232</v>
      </c>
      <c r="L124" s="30">
        <v>5000000</v>
      </c>
      <c r="M124" s="30">
        <v>0</v>
      </c>
      <c r="N124" s="67">
        <f t="shared" si="19"/>
        <v>5000000</v>
      </c>
      <c r="O124" s="30"/>
      <c r="P124" s="30"/>
      <c r="Q124" s="141">
        <v>1350000</v>
      </c>
      <c r="R124" s="141"/>
      <c r="S124" s="207">
        <f t="shared" ref="S124:S126" si="28">Q124+R124</f>
        <v>1350000</v>
      </c>
      <c r="T124" s="20"/>
      <c r="U124" s="43">
        <f t="shared" si="27"/>
        <v>3650000</v>
      </c>
      <c r="V124" s="42">
        <f t="shared" si="12"/>
        <v>1825000</v>
      </c>
      <c r="W124" s="22">
        <f t="shared" si="20"/>
        <v>27</v>
      </c>
      <c r="X124" s="22">
        <f t="shared" si="11"/>
        <v>27</v>
      </c>
      <c r="Z124" s="22">
        <f t="shared" si="13"/>
        <v>27</v>
      </c>
    </row>
    <row r="125" spans="1:26" x14ac:dyDescent="0.25">
      <c r="A125" s="240"/>
      <c r="B125" s="244"/>
      <c r="C125" s="247"/>
      <c r="D125" s="242"/>
      <c r="E125" s="242"/>
      <c r="F125" s="242"/>
      <c r="G125" s="241"/>
      <c r="H125" s="241"/>
      <c r="I125" s="242"/>
      <c r="J125" s="64"/>
      <c r="K125" s="138"/>
      <c r="L125" s="66"/>
      <c r="M125" s="66"/>
      <c r="N125" s="67"/>
      <c r="O125" s="30"/>
      <c r="P125" s="30"/>
      <c r="Q125" s="68"/>
      <c r="R125" s="29"/>
      <c r="S125" s="29"/>
      <c r="T125" s="32"/>
      <c r="U125" s="52"/>
      <c r="V125" s="42">
        <f t="shared" si="12"/>
        <v>0</v>
      </c>
      <c r="W125" s="22" t="e">
        <f t="shared" si="20"/>
        <v>#DIV/0!</v>
      </c>
      <c r="X125" s="22"/>
      <c r="Z125" s="65" t="e">
        <f t="shared" si="13"/>
        <v>#DIV/0!</v>
      </c>
    </row>
    <row r="126" spans="1:26" x14ac:dyDescent="0.25">
      <c r="A126" s="240"/>
      <c r="B126" s="244"/>
      <c r="C126" s="247"/>
      <c r="D126" s="242"/>
      <c r="E126" s="242"/>
      <c r="F126" s="242"/>
      <c r="G126" s="241"/>
      <c r="H126" s="241"/>
      <c r="I126" s="242"/>
      <c r="J126" s="64"/>
      <c r="K126" s="138" t="s">
        <v>233</v>
      </c>
      <c r="L126" s="66">
        <v>13050000</v>
      </c>
      <c r="M126" s="66">
        <v>0</v>
      </c>
      <c r="N126" s="67">
        <f t="shared" si="19"/>
        <v>13050000</v>
      </c>
      <c r="O126" s="30"/>
      <c r="P126" s="30"/>
      <c r="Q126" s="68">
        <v>0</v>
      </c>
      <c r="R126" s="207">
        <v>1500000</v>
      </c>
      <c r="S126" s="207">
        <f t="shared" si="28"/>
        <v>1500000</v>
      </c>
      <c r="T126" s="208">
        <f t="shared" ref="T126" si="29">S126/N126*100</f>
        <v>11.494252873563218</v>
      </c>
      <c r="U126" s="43">
        <f t="shared" si="27"/>
        <v>11550000</v>
      </c>
      <c r="V126" s="42">
        <f t="shared" si="12"/>
        <v>5775000</v>
      </c>
      <c r="W126" s="22">
        <f t="shared" si="20"/>
        <v>0</v>
      </c>
      <c r="X126" s="22">
        <f t="shared" si="11"/>
        <v>0</v>
      </c>
      <c r="Z126" s="65">
        <f t="shared" si="13"/>
        <v>0</v>
      </c>
    </row>
    <row r="127" spans="1:26" x14ac:dyDescent="0.25">
      <c r="A127" s="240"/>
      <c r="B127" s="244"/>
      <c r="C127" s="247"/>
      <c r="D127" s="242"/>
      <c r="E127" s="242"/>
      <c r="F127" s="242"/>
      <c r="G127" s="241"/>
      <c r="H127" s="241"/>
      <c r="I127" s="242"/>
      <c r="J127" s="64"/>
      <c r="K127" s="138"/>
      <c r="L127" s="66"/>
      <c r="M127" s="66"/>
      <c r="N127" s="67"/>
      <c r="O127" s="30"/>
      <c r="P127" s="30"/>
      <c r="Q127" s="68"/>
      <c r="R127" s="68"/>
      <c r="S127" s="68"/>
      <c r="T127" s="20"/>
      <c r="U127" s="43"/>
      <c r="V127" s="42"/>
      <c r="W127" s="22"/>
      <c r="X127" s="22"/>
      <c r="Z127" s="65"/>
    </row>
    <row r="128" spans="1:26" x14ac:dyDescent="0.25">
      <c r="A128" s="240"/>
      <c r="B128" s="244"/>
      <c r="C128" s="247"/>
      <c r="D128" s="242"/>
      <c r="E128" s="242"/>
      <c r="F128" s="242"/>
      <c r="G128" s="241"/>
      <c r="H128" s="241"/>
      <c r="I128" s="242"/>
      <c r="J128" s="64"/>
      <c r="K128" s="138" t="s">
        <v>234</v>
      </c>
      <c r="L128" s="66">
        <v>80000000</v>
      </c>
      <c r="M128" s="66">
        <v>0</v>
      </c>
      <c r="N128" s="67">
        <f t="shared" si="19"/>
        <v>80000000</v>
      </c>
      <c r="O128" s="30"/>
      <c r="P128" s="30"/>
      <c r="Q128" s="68"/>
      <c r="R128" s="68"/>
      <c r="S128" s="68"/>
      <c r="T128" s="20"/>
      <c r="U128" s="43"/>
      <c r="V128" s="42"/>
      <c r="W128" s="22"/>
      <c r="X128" s="22">
        <f t="shared" si="11"/>
        <v>0</v>
      </c>
      <c r="Z128" s="65"/>
    </row>
    <row r="129" spans="1:26" x14ac:dyDescent="0.25">
      <c r="A129" s="240"/>
      <c r="B129" s="244"/>
      <c r="C129" s="247"/>
      <c r="D129" s="242"/>
      <c r="E129" s="242"/>
      <c r="F129" s="242"/>
      <c r="G129" s="241"/>
      <c r="H129" s="241"/>
      <c r="I129" s="242"/>
      <c r="J129" s="64"/>
      <c r="K129" s="28"/>
      <c r="L129" s="66"/>
      <c r="M129" s="66"/>
      <c r="N129" s="67"/>
      <c r="O129" s="30"/>
      <c r="P129" s="30"/>
      <c r="Q129" s="68"/>
      <c r="R129" s="29"/>
      <c r="S129" s="29"/>
      <c r="T129" s="32"/>
      <c r="U129" s="43"/>
      <c r="V129" s="42">
        <f t="shared" si="12"/>
        <v>0</v>
      </c>
      <c r="W129" s="22"/>
      <c r="X129" s="22"/>
      <c r="Z129" s="22" t="e">
        <f t="shared" si="13"/>
        <v>#DIV/0!</v>
      </c>
    </row>
    <row r="130" spans="1:26" x14ac:dyDescent="0.25">
      <c r="A130" s="265"/>
      <c r="B130" s="266"/>
      <c r="C130" s="267"/>
      <c r="D130" s="268"/>
      <c r="E130" s="268"/>
      <c r="F130" s="268"/>
      <c r="G130" s="269"/>
      <c r="H130" s="269"/>
      <c r="I130" s="268"/>
      <c r="J130" s="150"/>
      <c r="K130" s="151"/>
      <c r="L130" s="152">
        <f>L12+L94</f>
        <v>2184252000</v>
      </c>
      <c r="M130" s="152">
        <f>M12+M94</f>
        <v>0</v>
      </c>
      <c r="N130" s="152">
        <f>N94+N12</f>
        <v>2184252000</v>
      </c>
      <c r="O130" s="153"/>
      <c r="P130" s="153"/>
      <c r="Q130" s="152">
        <f>Q12+Q94</f>
        <v>145581465</v>
      </c>
      <c r="R130" s="152">
        <f>R12+R94</f>
        <v>144885166</v>
      </c>
      <c r="S130" s="152">
        <f>S12+S94</f>
        <v>290466631</v>
      </c>
      <c r="T130" s="154">
        <f>S130/N130*100</f>
        <v>13.29821975669474</v>
      </c>
      <c r="U130" s="152">
        <f>N130-S130</f>
        <v>1893785369</v>
      </c>
      <c r="V130" s="42">
        <f t="shared" si="12"/>
        <v>946892684.5</v>
      </c>
      <c r="W130" s="22">
        <f t="shared" si="20"/>
        <v>6.6650489503958337</v>
      </c>
      <c r="X130" s="22">
        <f t="shared" si="11"/>
        <v>6.6650489503958337</v>
      </c>
    </row>
    <row r="131" spans="1:26" x14ac:dyDescent="0.25">
      <c r="A131" s="155"/>
      <c r="B131" s="156"/>
      <c r="C131" s="157"/>
      <c r="D131" s="158"/>
      <c r="E131" s="158"/>
      <c r="F131" s="158"/>
      <c r="G131" s="159"/>
      <c r="H131" s="159"/>
      <c r="I131" s="158"/>
      <c r="J131" s="160"/>
      <c r="K131" s="161"/>
      <c r="L131" s="162"/>
      <c r="M131" s="162"/>
      <c r="N131" s="162"/>
      <c r="O131" s="163"/>
      <c r="P131" s="163"/>
      <c r="Q131" s="162"/>
      <c r="R131" s="164"/>
      <c r="S131" s="165"/>
      <c r="T131" s="166"/>
      <c r="W131" s="166"/>
      <c r="X131" s="166"/>
    </row>
    <row r="132" spans="1:26" x14ac:dyDescent="0.25">
      <c r="A132" s="167"/>
      <c r="B132" s="167"/>
      <c r="C132" s="168"/>
      <c r="D132" s="169"/>
      <c r="E132" s="169"/>
      <c r="F132" s="169"/>
      <c r="G132" s="170"/>
      <c r="H132" s="170"/>
      <c r="I132" s="169"/>
      <c r="J132" s="171"/>
      <c r="K132" s="171"/>
      <c r="L132" s="172"/>
      <c r="M132" s="172"/>
      <c r="N132" s="172"/>
      <c r="O132" s="162"/>
      <c r="P132" s="162"/>
      <c r="Q132" s="173"/>
      <c r="R132" s="174"/>
      <c r="S132" s="173"/>
      <c r="T132" s="175"/>
      <c r="W132" s="175"/>
      <c r="X132" s="175"/>
    </row>
    <row r="133" spans="1:26" x14ac:dyDescent="0.25">
      <c r="A133" s="167"/>
      <c r="B133" s="167"/>
      <c r="C133" s="168"/>
      <c r="D133" s="169"/>
      <c r="E133" s="169"/>
      <c r="F133" s="169"/>
      <c r="G133" s="170"/>
      <c r="H133" s="170"/>
      <c r="I133" s="169"/>
      <c r="J133" s="171"/>
      <c r="K133" s="171"/>
      <c r="L133" s="172"/>
      <c r="M133" s="172"/>
      <c r="N133" s="172"/>
      <c r="O133" s="162"/>
      <c r="P133" s="162"/>
      <c r="Q133" s="173"/>
      <c r="R133" s="174"/>
      <c r="S133" s="173"/>
      <c r="T133" s="175"/>
      <c r="W133" s="175"/>
      <c r="X133" s="175"/>
    </row>
    <row r="134" spans="1:26" x14ac:dyDescent="0.25">
      <c r="A134" s="497"/>
      <c r="B134" s="497"/>
      <c r="C134" s="497"/>
      <c r="D134" s="497"/>
      <c r="E134" s="497"/>
      <c r="F134" s="497"/>
      <c r="G134" s="497"/>
      <c r="H134" s="497"/>
      <c r="I134" s="497"/>
      <c r="J134" s="497"/>
      <c r="K134" s="176"/>
      <c r="L134" s="176"/>
      <c r="M134" s="229"/>
      <c r="N134" s="229"/>
      <c r="O134" s="162"/>
      <c r="P134" s="162"/>
      <c r="Q134" s="178"/>
      <c r="R134" s="179"/>
      <c r="S134" s="179"/>
      <c r="T134" s="180"/>
      <c r="W134" s="180"/>
      <c r="X134" s="180"/>
    </row>
    <row r="135" spans="1:26" x14ac:dyDescent="0.25">
      <c r="A135" s="176"/>
      <c r="B135" s="176"/>
      <c r="C135" s="176"/>
      <c r="D135" s="495" t="s">
        <v>168</v>
      </c>
      <c r="E135" s="495"/>
      <c r="F135" s="495"/>
      <c r="G135" s="495"/>
      <c r="H135" s="495"/>
      <c r="I135" s="495"/>
      <c r="J135" s="495"/>
      <c r="K135" s="495"/>
      <c r="L135" s="495"/>
      <c r="M135" s="229"/>
      <c r="N135" s="229"/>
      <c r="O135" s="163"/>
      <c r="P135" s="163"/>
      <c r="Q135" s="181"/>
      <c r="R135" s="498"/>
      <c r="S135" s="498"/>
      <c r="T135" s="498"/>
    </row>
    <row r="136" spans="1:26" x14ac:dyDescent="0.25">
      <c r="A136" s="495" t="s">
        <v>169</v>
      </c>
      <c r="B136" s="495"/>
      <c r="C136" s="495"/>
      <c r="D136" s="495"/>
      <c r="E136" s="495"/>
      <c r="F136" s="495"/>
      <c r="G136" s="495"/>
      <c r="H136" s="495"/>
      <c r="I136" s="495"/>
      <c r="J136" s="495"/>
      <c r="K136" s="229" t="s">
        <v>170</v>
      </c>
      <c r="L136" s="176"/>
      <c r="N136" s="496" t="s">
        <v>171</v>
      </c>
      <c r="O136" s="496"/>
      <c r="P136" s="496"/>
      <c r="Q136" s="496"/>
      <c r="R136" s="496" t="s">
        <v>172</v>
      </c>
      <c r="S136" s="496"/>
      <c r="T136" s="496"/>
      <c r="U136" s="496"/>
      <c r="W136" s="182"/>
      <c r="X136" s="182"/>
    </row>
    <row r="137" spans="1:26" x14ac:dyDescent="0.25">
      <c r="A137" s="229"/>
      <c r="B137" s="229"/>
      <c r="C137" s="229"/>
      <c r="D137" s="495" t="s">
        <v>173</v>
      </c>
      <c r="E137" s="495"/>
      <c r="F137" s="495"/>
      <c r="G137" s="495"/>
      <c r="H137" s="495"/>
      <c r="I137" s="495"/>
      <c r="J137" s="495"/>
      <c r="K137" s="229" t="s">
        <v>174</v>
      </c>
      <c r="L137" s="176"/>
      <c r="N137" s="496" t="s">
        <v>174</v>
      </c>
      <c r="O137" s="496"/>
      <c r="P137" s="496"/>
      <c r="Q137" s="496"/>
      <c r="R137" s="495" t="s">
        <v>175</v>
      </c>
      <c r="S137" s="495"/>
      <c r="T137" s="495"/>
      <c r="U137" s="495"/>
      <c r="W137" s="176"/>
      <c r="X137" s="176"/>
    </row>
    <row r="138" spans="1:26" x14ac:dyDescent="0.25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N138" s="183"/>
      <c r="O138" s="231"/>
      <c r="P138" s="231"/>
      <c r="Q138" s="231"/>
      <c r="R138" s="185"/>
      <c r="S138" s="185"/>
      <c r="T138" s="185"/>
      <c r="W138" s="185"/>
      <c r="X138" s="185"/>
    </row>
    <row r="139" spans="1:26" x14ac:dyDescent="0.25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N139" s="183"/>
      <c r="O139" s="231"/>
      <c r="P139" s="231"/>
      <c r="Q139" s="231"/>
      <c r="R139" s="185"/>
      <c r="S139" s="185"/>
      <c r="T139" s="185"/>
      <c r="W139" s="185"/>
      <c r="X139" s="185"/>
    </row>
    <row r="140" spans="1:26" x14ac:dyDescent="0.25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229"/>
      <c r="L140" s="229"/>
      <c r="N140" s="164"/>
      <c r="O140" s="186"/>
      <c r="P140" s="186"/>
      <c r="Q140" s="186"/>
      <c r="R140" s="185"/>
      <c r="S140" s="185"/>
      <c r="T140" s="185"/>
      <c r="W140" s="185"/>
      <c r="X140" s="185"/>
    </row>
    <row r="141" spans="1:26" x14ac:dyDescent="0.25">
      <c r="A141" s="499"/>
      <c r="B141" s="499"/>
      <c r="C141" s="499"/>
      <c r="D141" s="499"/>
      <c r="E141" s="499"/>
      <c r="F141" s="499"/>
      <c r="G141" s="499"/>
      <c r="H141" s="499"/>
      <c r="I141" s="499"/>
      <c r="J141" s="499"/>
      <c r="K141" s="229"/>
      <c r="L141" s="176"/>
      <c r="N141" s="183"/>
      <c r="O141" s="187"/>
      <c r="P141" s="186"/>
      <c r="Q141" s="186"/>
      <c r="R141" s="186"/>
      <c r="S141" s="186"/>
      <c r="T141" s="186"/>
      <c r="W141" s="186"/>
      <c r="X141" s="186"/>
    </row>
    <row r="142" spans="1:26" x14ac:dyDescent="0.25">
      <c r="A142" s="499" t="s">
        <v>176</v>
      </c>
      <c r="B142" s="499"/>
      <c r="C142" s="499"/>
      <c r="D142" s="499"/>
      <c r="E142" s="499"/>
      <c r="F142" s="499"/>
      <c r="G142" s="499"/>
      <c r="H142" s="499"/>
      <c r="I142" s="499"/>
      <c r="J142" s="499"/>
      <c r="K142" s="230" t="s">
        <v>177</v>
      </c>
      <c r="L142" s="189"/>
      <c r="N142" s="500" t="s">
        <v>178</v>
      </c>
      <c r="O142" s="500"/>
      <c r="P142" s="500"/>
      <c r="Q142" s="500"/>
      <c r="R142" s="501" t="s">
        <v>179</v>
      </c>
      <c r="S142" s="501"/>
      <c r="T142" s="501"/>
      <c r="U142" s="501"/>
    </row>
    <row r="143" spans="1:26" x14ac:dyDescent="0.25">
      <c r="A143" s="502" t="s">
        <v>180</v>
      </c>
      <c r="B143" s="502"/>
      <c r="C143" s="502"/>
      <c r="D143" s="502"/>
      <c r="E143" s="502"/>
      <c r="F143" s="502"/>
      <c r="G143" s="502"/>
      <c r="H143" s="502"/>
      <c r="I143" s="502"/>
      <c r="J143" s="502"/>
      <c r="K143" s="229" t="s">
        <v>181</v>
      </c>
      <c r="L143" s="176"/>
      <c r="N143" s="503" t="s">
        <v>182</v>
      </c>
      <c r="O143" s="503"/>
      <c r="P143" s="503"/>
      <c r="Q143" s="503"/>
      <c r="R143" s="504" t="s">
        <v>183</v>
      </c>
      <c r="S143" s="504"/>
      <c r="T143" s="504"/>
      <c r="U143" s="504"/>
    </row>
    <row r="144" spans="1:26" x14ac:dyDescent="0.25">
      <c r="A144" s="190"/>
      <c r="B144" s="190"/>
      <c r="C144" s="190"/>
      <c r="D144" s="495"/>
      <c r="E144" s="495"/>
      <c r="F144" s="495"/>
      <c r="G144" s="495"/>
      <c r="H144" s="495"/>
      <c r="I144" s="190"/>
      <c r="J144" s="190"/>
      <c r="K144" s="190"/>
      <c r="L144" s="190"/>
      <c r="M144" s="190"/>
      <c r="N144" s="190"/>
      <c r="O144" s="163"/>
      <c r="P144" s="163"/>
      <c r="Q144" s="191"/>
      <c r="R144" s="191"/>
      <c r="S144" s="191"/>
      <c r="T144" s="191"/>
      <c r="W144" s="191"/>
      <c r="X144" s="191"/>
    </row>
    <row r="145" spans="1:24" x14ac:dyDescent="0.25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63"/>
      <c r="P145" s="163"/>
      <c r="Q145" s="191"/>
      <c r="R145" s="191"/>
      <c r="S145" s="191"/>
      <c r="T145" s="191"/>
      <c r="W145" s="191"/>
      <c r="X145" s="191"/>
    </row>
    <row r="146" spans="1:24" x14ac:dyDescent="0.25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62"/>
      <c r="P146" s="162"/>
      <c r="Q146" s="191"/>
      <c r="R146" s="191"/>
      <c r="S146" s="191"/>
      <c r="T146" s="191"/>
      <c r="W146" s="191"/>
      <c r="X146" s="191"/>
    </row>
    <row r="147" spans="1:24" x14ac:dyDescent="0.25">
      <c r="A147" s="190"/>
      <c r="B147" s="190"/>
      <c r="C147" s="190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90"/>
      <c r="O147" s="163"/>
      <c r="P147" s="163"/>
      <c r="Q147" s="191"/>
      <c r="R147" s="191"/>
      <c r="S147" s="191"/>
      <c r="T147" s="191"/>
      <c r="W147" s="191"/>
      <c r="X147" s="191"/>
    </row>
    <row r="148" spans="1:24" x14ac:dyDescent="0.25">
      <c r="A148" s="190"/>
      <c r="B148" s="190"/>
      <c r="C148" s="190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0"/>
      <c r="O148" s="163"/>
      <c r="P148" s="163"/>
      <c r="Q148" s="191"/>
      <c r="R148" s="191"/>
      <c r="S148" s="191"/>
      <c r="T148" s="191"/>
      <c r="W148" s="191"/>
      <c r="X148" s="191"/>
    </row>
    <row r="149" spans="1:24" x14ac:dyDescent="0.25">
      <c r="A149" s="190"/>
      <c r="B149" s="190"/>
      <c r="C149" s="190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90"/>
      <c r="O149" s="163"/>
      <c r="P149" s="163"/>
      <c r="Q149" s="191"/>
      <c r="R149" s="191"/>
      <c r="S149" s="191"/>
      <c r="T149" s="191"/>
      <c r="U149" s="1"/>
      <c r="W149" s="191"/>
      <c r="X149" s="191"/>
    </row>
    <row r="150" spans="1:24" x14ac:dyDescent="0.25">
      <c r="A150" s="190"/>
      <c r="B150" s="190"/>
      <c r="C150" s="190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90"/>
      <c r="O150" s="162"/>
      <c r="P150" s="162"/>
      <c r="Q150" s="191"/>
      <c r="R150" s="191"/>
      <c r="S150" s="191"/>
      <c r="T150" s="191"/>
      <c r="U150" s="1"/>
      <c r="W150" s="191"/>
      <c r="X150" s="191"/>
    </row>
    <row r="151" spans="1:24" x14ac:dyDescent="0.25">
      <c r="A151" s="190"/>
      <c r="B151" s="190"/>
      <c r="C151" s="190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190"/>
      <c r="O151" s="163"/>
      <c r="P151" s="163"/>
      <c r="Q151" s="191"/>
      <c r="R151" s="191"/>
      <c r="S151" s="191"/>
      <c r="T151" s="191"/>
      <c r="U151" s="1"/>
      <c r="W151" s="191"/>
      <c r="X151" s="191"/>
    </row>
    <row r="152" spans="1:24" x14ac:dyDescent="0.25">
      <c r="A152" s="190"/>
      <c r="B152" s="190"/>
      <c r="C152" s="190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190"/>
      <c r="O152" s="163"/>
      <c r="P152" s="163"/>
      <c r="Q152" s="191"/>
      <c r="R152" s="191"/>
      <c r="S152" s="191"/>
      <c r="T152" s="191"/>
      <c r="U152" s="1"/>
      <c r="W152" s="191"/>
      <c r="X152" s="191"/>
    </row>
    <row r="153" spans="1:24" x14ac:dyDescent="0.25">
      <c r="A153" s="190"/>
      <c r="B153" s="190"/>
      <c r="C153" s="190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190"/>
      <c r="O153" s="162"/>
      <c r="P153" s="162"/>
      <c r="Q153" s="191"/>
      <c r="R153" s="191"/>
      <c r="S153" s="191"/>
      <c r="T153" s="191"/>
      <c r="U153" s="1"/>
      <c r="W153" s="191"/>
      <c r="X153" s="191"/>
    </row>
    <row r="154" spans="1:24" x14ac:dyDescent="0.25">
      <c r="A154" s="190"/>
      <c r="B154" s="190"/>
      <c r="C154" s="190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90"/>
      <c r="O154" s="172"/>
      <c r="P154" s="172"/>
      <c r="Q154" s="191"/>
      <c r="R154" s="191"/>
      <c r="S154" s="191"/>
      <c r="T154" s="191"/>
      <c r="U154" s="1"/>
      <c r="W154" s="191"/>
      <c r="X154" s="191"/>
    </row>
    <row r="155" spans="1:24" x14ac:dyDescent="0.25">
      <c r="A155" s="193"/>
      <c r="B155" s="193"/>
      <c r="C155" s="193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O155" s="194"/>
      <c r="P155" s="194"/>
      <c r="Q155" s="195"/>
      <c r="R155" s="195"/>
      <c r="S155" s="195"/>
      <c r="T155" s="195"/>
      <c r="U155" s="1"/>
      <c r="W155" s="195"/>
      <c r="X155" s="195"/>
    </row>
    <row r="156" spans="1:24" x14ac:dyDescent="0.25"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O156" s="229"/>
      <c r="P156" s="229"/>
      <c r="Q156" s="195"/>
      <c r="R156" s="195"/>
      <c r="S156" s="195"/>
      <c r="T156" s="195"/>
      <c r="U156" s="1"/>
      <c r="W156" s="195"/>
      <c r="X156" s="195"/>
    </row>
    <row r="157" spans="1:24" x14ac:dyDescent="0.25">
      <c r="O157" s="229"/>
      <c r="P157" s="229"/>
      <c r="Q157" s="195"/>
      <c r="R157" s="195"/>
      <c r="S157" s="195"/>
      <c r="T157" s="195"/>
      <c r="U157" s="1"/>
      <c r="W157" s="195"/>
      <c r="X157" s="195"/>
    </row>
    <row r="158" spans="1:24" x14ac:dyDescent="0.25">
      <c r="O158" s="229"/>
      <c r="P158" s="229"/>
      <c r="Q158" s="195"/>
      <c r="R158" s="195"/>
      <c r="S158" s="195"/>
      <c r="T158" s="195"/>
      <c r="U158" s="1"/>
      <c r="W158" s="195"/>
      <c r="X158" s="195"/>
    </row>
    <row r="159" spans="1:24" x14ac:dyDescent="0.25">
      <c r="O159" s="229"/>
      <c r="P159" s="229"/>
      <c r="Q159" s="195"/>
      <c r="R159" s="195"/>
      <c r="S159" s="195"/>
      <c r="T159" s="195"/>
      <c r="U159" s="1"/>
      <c r="W159" s="195"/>
      <c r="X159" s="195"/>
    </row>
    <row r="160" spans="1:24" x14ac:dyDescent="0.25">
      <c r="O160" s="229"/>
      <c r="P160" s="229"/>
      <c r="Q160" s="195"/>
      <c r="R160" s="195"/>
      <c r="S160" s="195"/>
      <c r="T160" s="195"/>
      <c r="U160" s="1"/>
      <c r="W160" s="195"/>
      <c r="X160" s="195"/>
    </row>
    <row r="161" spans="15:24" x14ac:dyDescent="0.25">
      <c r="O161" s="229"/>
      <c r="P161" s="229"/>
      <c r="Q161" s="195"/>
      <c r="R161" s="195"/>
      <c r="S161" s="195"/>
      <c r="T161" s="195"/>
      <c r="U161" s="1"/>
      <c r="W161" s="195"/>
      <c r="X161" s="195"/>
    </row>
    <row r="162" spans="15:24" x14ac:dyDescent="0.25">
      <c r="O162" s="230"/>
      <c r="P162" s="230"/>
      <c r="Q162" s="195"/>
      <c r="R162" s="195"/>
      <c r="S162" s="195"/>
      <c r="T162" s="195"/>
      <c r="U162" s="1"/>
      <c r="W162" s="195"/>
      <c r="X162" s="195"/>
    </row>
    <row r="163" spans="15:24" x14ac:dyDescent="0.25">
      <c r="O163" s="229"/>
      <c r="P163" s="229"/>
      <c r="Q163" s="195"/>
      <c r="R163" s="195"/>
      <c r="S163" s="195"/>
      <c r="T163" s="195"/>
      <c r="U163" s="1"/>
      <c r="W163" s="195"/>
      <c r="X163" s="195"/>
    </row>
    <row r="164" spans="15:24" x14ac:dyDescent="0.25">
      <c r="O164" s="190"/>
      <c r="P164" s="190"/>
      <c r="Q164" s="195"/>
      <c r="R164" s="195"/>
      <c r="S164" s="195"/>
      <c r="T164" s="195"/>
      <c r="U164" s="1"/>
      <c r="W164" s="195"/>
      <c r="X164" s="195"/>
    </row>
    <row r="165" spans="15:24" x14ac:dyDescent="0.25">
      <c r="O165" s="190"/>
      <c r="P165" s="190"/>
      <c r="Q165" s="195"/>
      <c r="R165" s="195"/>
      <c r="S165" s="195"/>
      <c r="T165" s="195"/>
      <c r="U165" s="1"/>
      <c r="W165" s="195"/>
      <c r="X165" s="195"/>
    </row>
    <row r="166" spans="15:24" x14ac:dyDescent="0.25">
      <c r="O166" s="190"/>
      <c r="P166" s="190"/>
      <c r="Q166" s="195"/>
      <c r="R166" s="195"/>
      <c r="S166" s="195"/>
      <c r="T166" s="195"/>
      <c r="U166" s="1"/>
      <c r="W166" s="195"/>
      <c r="X166" s="195"/>
    </row>
    <row r="167" spans="15:24" x14ac:dyDescent="0.25">
      <c r="O167" s="190"/>
      <c r="P167" s="190"/>
      <c r="Q167" s="195"/>
      <c r="R167" s="195"/>
      <c r="S167" s="195"/>
      <c r="T167" s="195"/>
      <c r="U167" s="1"/>
      <c r="W167" s="195"/>
      <c r="X167" s="195"/>
    </row>
    <row r="168" spans="15:24" x14ac:dyDescent="0.25">
      <c r="O168" s="190"/>
      <c r="P168" s="190"/>
      <c r="Q168" s="195"/>
      <c r="R168" s="195"/>
      <c r="S168" s="195"/>
      <c r="T168" s="195"/>
      <c r="U168" s="1"/>
      <c r="W168" s="195"/>
      <c r="X168" s="195"/>
    </row>
    <row r="169" spans="15:24" x14ac:dyDescent="0.25">
      <c r="O169" s="190"/>
      <c r="P169" s="190"/>
      <c r="Q169" s="195"/>
      <c r="R169" s="195"/>
      <c r="S169" s="195"/>
      <c r="T169" s="195"/>
      <c r="U169" s="1"/>
      <c r="W169" s="195"/>
      <c r="X169" s="195"/>
    </row>
    <row r="170" spans="15:24" x14ac:dyDescent="0.25">
      <c r="O170" s="190"/>
      <c r="P170" s="190"/>
      <c r="Q170" s="195"/>
      <c r="R170" s="195"/>
      <c r="S170" s="195"/>
      <c r="T170" s="195"/>
      <c r="U170" s="1"/>
      <c r="W170" s="195"/>
      <c r="X170" s="195"/>
    </row>
    <row r="171" spans="15:24" x14ac:dyDescent="0.25">
      <c r="O171" s="190"/>
      <c r="P171" s="190"/>
      <c r="Q171" s="195"/>
      <c r="R171" s="195"/>
      <c r="S171" s="195"/>
      <c r="T171" s="195"/>
      <c r="U171" s="1"/>
      <c r="W171" s="195"/>
      <c r="X171" s="195"/>
    </row>
    <row r="172" spans="15:24" x14ac:dyDescent="0.25">
      <c r="O172" s="190"/>
      <c r="P172" s="190"/>
      <c r="Q172" s="195"/>
      <c r="R172" s="195"/>
      <c r="S172" s="195"/>
      <c r="T172" s="195"/>
      <c r="U172" s="1"/>
      <c r="W172" s="195"/>
      <c r="X172" s="195"/>
    </row>
    <row r="173" spans="15:24" x14ac:dyDescent="0.25">
      <c r="O173" s="190"/>
      <c r="P173" s="190"/>
      <c r="Q173" s="195"/>
      <c r="R173" s="195"/>
      <c r="S173" s="195"/>
      <c r="T173" s="195"/>
      <c r="U173" s="1"/>
      <c r="W173" s="195"/>
      <c r="X173" s="195"/>
    </row>
    <row r="174" spans="15:24" x14ac:dyDescent="0.25">
      <c r="O174" s="190"/>
      <c r="P174" s="190"/>
      <c r="Q174" s="195"/>
      <c r="R174" s="195"/>
      <c r="S174" s="195"/>
      <c r="T174" s="195"/>
      <c r="U174" s="1"/>
      <c r="W174" s="195"/>
      <c r="X174" s="195"/>
    </row>
    <row r="175" spans="15:24" x14ac:dyDescent="0.25">
      <c r="O175" s="190"/>
      <c r="P175" s="190"/>
      <c r="Q175" s="195"/>
      <c r="R175" s="195"/>
      <c r="S175" s="195"/>
      <c r="T175" s="195"/>
      <c r="U175" s="1"/>
      <c r="W175" s="195"/>
      <c r="X175" s="195"/>
    </row>
    <row r="176" spans="15:24" x14ac:dyDescent="0.25">
      <c r="Q176" s="195"/>
      <c r="R176" s="195"/>
      <c r="S176" s="195"/>
      <c r="T176" s="195"/>
      <c r="U176" s="1"/>
      <c r="W176" s="195"/>
      <c r="X176" s="195"/>
    </row>
    <row r="177" spans="17:24" x14ac:dyDescent="0.25">
      <c r="Q177" s="195"/>
      <c r="R177" s="195"/>
      <c r="S177" s="195"/>
      <c r="T177" s="195"/>
      <c r="U177" s="1"/>
      <c r="W177" s="195"/>
      <c r="X177" s="195"/>
    </row>
    <row r="178" spans="17:24" x14ac:dyDescent="0.25">
      <c r="Q178" s="195"/>
      <c r="R178" s="195"/>
      <c r="S178" s="195"/>
      <c r="T178" s="195"/>
      <c r="U178" s="1"/>
      <c r="W178" s="195"/>
      <c r="X178" s="195"/>
    </row>
    <row r="179" spans="17:24" x14ac:dyDescent="0.25">
      <c r="Q179" s="195"/>
      <c r="R179" s="195"/>
      <c r="S179" s="195"/>
      <c r="T179" s="195"/>
      <c r="U179" s="1"/>
      <c r="W179" s="195"/>
      <c r="X179" s="195"/>
    </row>
    <row r="180" spans="17:24" x14ac:dyDescent="0.25">
      <c r="Q180" s="195"/>
      <c r="R180" s="195"/>
      <c r="S180" s="195"/>
      <c r="T180" s="195"/>
      <c r="U180" s="1"/>
      <c r="W180" s="195"/>
      <c r="X180" s="195"/>
    </row>
    <row r="181" spans="17:24" x14ac:dyDescent="0.25">
      <c r="Q181" s="195"/>
      <c r="R181" s="195"/>
      <c r="S181" s="195"/>
      <c r="T181" s="195"/>
      <c r="U181" s="1"/>
      <c r="W181" s="195"/>
      <c r="X181" s="195"/>
    </row>
    <row r="182" spans="17:24" x14ac:dyDescent="0.25">
      <c r="Q182" s="195"/>
      <c r="R182" s="195"/>
      <c r="S182" s="195"/>
      <c r="T182" s="195"/>
      <c r="U182" s="1"/>
      <c r="W182" s="195"/>
      <c r="X182" s="195"/>
    </row>
    <row r="183" spans="17:24" x14ac:dyDescent="0.25">
      <c r="Q183" s="195"/>
      <c r="R183" s="195"/>
      <c r="S183" s="195"/>
      <c r="T183" s="195"/>
      <c r="U183" s="1"/>
      <c r="W183" s="195"/>
      <c r="X183" s="195"/>
    </row>
    <row r="184" spans="17:24" x14ac:dyDescent="0.25">
      <c r="Q184" s="195"/>
      <c r="R184" s="195"/>
      <c r="S184" s="195"/>
      <c r="T184" s="195"/>
      <c r="U184" s="1"/>
      <c r="W184" s="195"/>
      <c r="X184" s="195"/>
    </row>
    <row r="185" spans="17:24" x14ac:dyDescent="0.25">
      <c r="Q185" s="195"/>
      <c r="R185" s="195"/>
      <c r="S185" s="195"/>
      <c r="T185" s="195"/>
      <c r="U185" s="1"/>
      <c r="W185" s="195"/>
      <c r="X185" s="195"/>
    </row>
    <row r="186" spans="17:24" x14ac:dyDescent="0.25">
      <c r="Q186" s="195"/>
      <c r="R186" s="195"/>
      <c r="S186" s="195"/>
      <c r="T186" s="195"/>
      <c r="U186" s="1"/>
      <c r="W186" s="195"/>
      <c r="X186" s="195"/>
    </row>
    <row r="187" spans="17:24" x14ac:dyDescent="0.25">
      <c r="Q187" s="195"/>
      <c r="R187" s="195"/>
      <c r="S187" s="195"/>
      <c r="T187" s="195"/>
      <c r="U187" s="1"/>
      <c r="W187" s="195"/>
      <c r="X187" s="195"/>
    </row>
    <row r="188" spans="17:24" x14ac:dyDescent="0.25">
      <c r="Q188" s="195"/>
      <c r="R188" s="195"/>
      <c r="S188" s="195"/>
      <c r="T188" s="195"/>
      <c r="U188" s="1"/>
      <c r="W188" s="195"/>
      <c r="X188" s="195"/>
    </row>
    <row r="189" spans="17:24" x14ac:dyDescent="0.25">
      <c r="Q189" s="195"/>
      <c r="R189" s="195"/>
      <c r="S189" s="195"/>
      <c r="T189" s="195"/>
      <c r="U189" s="1"/>
      <c r="W189" s="195"/>
      <c r="X189" s="195"/>
    </row>
    <row r="190" spans="17:24" x14ac:dyDescent="0.25">
      <c r="Q190" s="195"/>
      <c r="R190" s="195"/>
      <c r="S190" s="195"/>
      <c r="T190" s="195"/>
      <c r="U190" s="1"/>
      <c r="W190" s="195"/>
      <c r="X190" s="195"/>
    </row>
    <row r="191" spans="17:24" x14ac:dyDescent="0.25">
      <c r="Q191" s="195"/>
      <c r="R191" s="195"/>
      <c r="S191" s="195"/>
      <c r="T191" s="195"/>
      <c r="U191" s="1"/>
      <c r="W191" s="195"/>
      <c r="X191" s="195"/>
    </row>
    <row r="192" spans="17:24" x14ac:dyDescent="0.25">
      <c r="Q192" s="195"/>
      <c r="R192" s="195"/>
      <c r="S192" s="195"/>
      <c r="T192" s="195"/>
      <c r="U192" s="1"/>
      <c r="W192" s="195"/>
      <c r="X192" s="195"/>
    </row>
    <row r="193" spans="17:24" x14ac:dyDescent="0.25">
      <c r="Q193" s="195"/>
      <c r="R193" s="195"/>
      <c r="S193" s="195"/>
      <c r="T193" s="195"/>
      <c r="U193" s="1"/>
      <c r="W193" s="195"/>
      <c r="X193" s="195"/>
    </row>
    <row r="194" spans="17:24" x14ac:dyDescent="0.25">
      <c r="Q194" s="195"/>
      <c r="R194" s="195"/>
      <c r="S194" s="195"/>
      <c r="T194" s="195"/>
      <c r="U194" s="1"/>
      <c r="W194" s="195"/>
      <c r="X194" s="195"/>
    </row>
    <row r="195" spans="17:24" x14ac:dyDescent="0.25">
      <c r="Q195" s="195"/>
      <c r="R195" s="195"/>
      <c r="S195" s="195"/>
      <c r="T195" s="195"/>
      <c r="U195" s="1"/>
      <c r="W195" s="195"/>
      <c r="X195" s="195"/>
    </row>
    <row r="196" spans="17:24" x14ac:dyDescent="0.25">
      <c r="Q196" s="195"/>
      <c r="R196" s="195"/>
      <c r="S196" s="195"/>
      <c r="T196" s="195"/>
      <c r="U196" s="1"/>
      <c r="W196" s="195"/>
      <c r="X196" s="195"/>
    </row>
    <row r="197" spans="17:24" x14ac:dyDescent="0.25">
      <c r="Q197" s="195"/>
      <c r="R197" s="195"/>
      <c r="S197" s="195"/>
      <c r="T197" s="195"/>
      <c r="U197" s="1"/>
      <c r="W197" s="195"/>
      <c r="X197" s="195"/>
    </row>
    <row r="198" spans="17:24" x14ac:dyDescent="0.25">
      <c r="Q198" s="195"/>
      <c r="R198" s="195"/>
      <c r="S198" s="195"/>
      <c r="T198" s="195"/>
      <c r="U198" s="1"/>
      <c r="W198" s="195"/>
      <c r="X198" s="195"/>
    </row>
    <row r="199" spans="17:24" x14ac:dyDescent="0.25">
      <c r="Q199" s="195"/>
      <c r="R199" s="195"/>
      <c r="S199" s="195"/>
      <c r="T199" s="195"/>
      <c r="U199" s="1"/>
      <c r="W199" s="195"/>
      <c r="X199" s="195"/>
    </row>
    <row r="200" spans="17:24" x14ac:dyDescent="0.25">
      <c r="Q200" s="195"/>
      <c r="R200" s="195"/>
      <c r="S200" s="195"/>
      <c r="T200" s="195"/>
      <c r="U200" s="1"/>
      <c r="W200" s="195"/>
      <c r="X200" s="195"/>
    </row>
    <row r="201" spans="17:24" x14ac:dyDescent="0.25">
      <c r="Q201" s="195"/>
      <c r="R201" s="195"/>
      <c r="S201" s="195"/>
      <c r="T201" s="195"/>
      <c r="U201" s="1"/>
      <c r="W201" s="195"/>
      <c r="X201" s="195"/>
    </row>
    <row r="202" spans="17:24" x14ac:dyDescent="0.25">
      <c r="Q202" s="195"/>
      <c r="R202" s="195"/>
      <c r="S202" s="195"/>
      <c r="T202" s="195"/>
      <c r="U202" s="1"/>
      <c r="W202" s="195"/>
      <c r="X202" s="195"/>
    </row>
    <row r="203" spans="17:24" x14ac:dyDescent="0.25">
      <c r="Q203" s="195"/>
      <c r="R203" s="195"/>
      <c r="S203" s="195"/>
      <c r="T203" s="195"/>
      <c r="U203" s="1"/>
      <c r="W203" s="195"/>
      <c r="X203" s="195"/>
    </row>
    <row r="204" spans="17:24" x14ac:dyDescent="0.25">
      <c r="Q204" s="195"/>
      <c r="R204" s="195"/>
      <c r="S204" s="195"/>
      <c r="T204" s="195"/>
      <c r="U204" s="1"/>
      <c r="W204" s="195"/>
      <c r="X204" s="195"/>
    </row>
    <row r="205" spans="17:24" x14ac:dyDescent="0.25">
      <c r="Q205" s="195"/>
      <c r="R205" s="195"/>
      <c r="S205" s="195"/>
      <c r="T205" s="195"/>
      <c r="U205" s="1"/>
      <c r="W205" s="195"/>
      <c r="X205" s="195"/>
    </row>
    <row r="206" spans="17:24" x14ac:dyDescent="0.25">
      <c r="Q206" s="195"/>
      <c r="R206" s="195"/>
      <c r="S206" s="195"/>
      <c r="T206" s="195"/>
      <c r="U206" s="1"/>
      <c r="W206" s="195"/>
      <c r="X206" s="195"/>
    </row>
    <row r="207" spans="17:24" x14ac:dyDescent="0.25">
      <c r="Q207" s="195"/>
      <c r="R207" s="195"/>
      <c r="S207" s="195"/>
      <c r="T207" s="195"/>
      <c r="U207" s="1"/>
      <c r="W207" s="195"/>
      <c r="X207" s="195"/>
    </row>
    <row r="208" spans="17:24" x14ac:dyDescent="0.25">
      <c r="Q208" s="195"/>
      <c r="R208" s="195"/>
      <c r="S208" s="195"/>
      <c r="T208" s="195"/>
      <c r="U208" s="1"/>
      <c r="W208" s="195"/>
      <c r="X208" s="195"/>
    </row>
    <row r="209" spans="17:24" x14ac:dyDescent="0.25">
      <c r="Q209" s="195"/>
      <c r="R209" s="195"/>
      <c r="S209" s="195"/>
      <c r="T209" s="195"/>
      <c r="U209" s="1"/>
      <c r="W209" s="195"/>
      <c r="X209" s="195"/>
    </row>
    <row r="210" spans="17:24" x14ac:dyDescent="0.25">
      <c r="Q210" s="195"/>
      <c r="R210" s="195"/>
      <c r="S210" s="195"/>
      <c r="T210" s="195"/>
      <c r="U210" s="1"/>
      <c r="W210" s="195"/>
      <c r="X210" s="195"/>
    </row>
    <row r="211" spans="17:24" x14ac:dyDescent="0.25">
      <c r="Q211" s="195"/>
      <c r="R211" s="195"/>
      <c r="S211" s="195"/>
      <c r="T211" s="195"/>
      <c r="U211" s="1"/>
      <c r="W211" s="195"/>
      <c r="X211" s="195"/>
    </row>
    <row r="212" spans="17:24" x14ac:dyDescent="0.25">
      <c r="Q212" s="195"/>
      <c r="R212" s="195"/>
      <c r="S212" s="195"/>
      <c r="T212" s="195"/>
      <c r="U212" s="1"/>
      <c r="W212" s="195"/>
      <c r="X212" s="195"/>
    </row>
    <row r="213" spans="17:24" x14ac:dyDescent="0.25">
      <c r="Q213" s="195"/>
      <c r="R213" s="195"/>
      <c r="S213" s="195"/>
      <c r="T213" s="195"/>
      <c r="U213" s="1"/>
      <c r="W213" s="195"/>
      <c r="X213" s="195"/>
    </row>
    <row r="214" spans="17:24" x14ac:dyDescent="0.25">
      <c r="Q214" s="195"/>
      <c r="R214" s="195"/>
      <c r="S214" s="195"/>
      <c r="T214" s="195"/>
      <c r="U214" s="1"/>
      <c r="W214" s="195"/>
      <c r="X214" s="195"/>
    </row>
    <row r="215" spans="17:24" x14ac:dyDescent="0.25">
      <c r="Q215" s="195"/>
      <c r="R215" s="195"/>
      <c r="S215" s="195"/>
      <c r="T215" s="195"/>
      <c r="U215" s="1"/>
      <c r="W215" s="195"/>
      <c r="X215" s="195"/>
    </row>
    <row r="216" spans="17:24" x14ac:dyDescent="0.25">
      <c r="Q216" s="195"/>
      <c r="R216" s="195"/>
      <c r="S216" s="195"/>
      <c r="T216" s="195"/>
      <c r="U216" s="1"/>
      <c r="W216" s="195"/>
      <c r="X216" s="195"/>
    </row>
    <row r="217" spans="17:24" x14ac:dyDescent="0.25">
      <c r="Q217" s="195"/>
      <c r="R217" s="195"/>
      <c r="S217" s="195"/>
      <c r="T217" s="195"/>
      <c r="U217" s="1"/>
      <c r="W217" s="195"/>
      <c r="X217" s="195"/>
    </row>
    <row r="218" spans="17:24" x14ac:dyDescent="0.25">
      <c r="Q218" s="195"/>
      <c r="R218" s="195"/>
      <c r="S218" s="195"/>
      <c r="T218" s="195"/>
      <c r="U218" s="1"/>
      <c r="W218" s="195"/>
      <c r="X218" s="195"/>
    </row>
    <row r="219" spans="17:24" x14ac:dyDescent="0.25">
      <c r="Q219" s="195"/>
      <c r="R219" s="195"/>
      <c r="S219" s="195"/>
      <c r="T219" s="195"/>
      <c r="U219" s="1"/>
      <c r="W219" s="195"/>
      <c r="X219" s="195"/>
    </row>
    <row r="220" spans="17:24" x14ac:dyDescent="0.25">
      <c r="Q220" s="195"/>
      <c r="R220" s="195"/>
      <c r="S220" s="195"/>
      <c r="T220" s="195"/>
      <c r="U220" s="1"/>
      <c r="W220" s="195"/>
      <c r="X220" s="195"/>
    </row>
    <row r="221" spans="17:24" x14ac:dyDescent="0.25">
      <c r="Q221" s="195"/>
      <c r="R221" s="195"/>
      <c r="S221" s="195"/>
      <c r="T221" s="195"/>
      <c r="U221" s="1"/>
      <c r="W221" s="195"/>
      <c r="X221" s="195"/>
    </row>
    <row r="222" spans="17:24" x14ac:dyDescent="0.25">
      <c r="Q222" s="195"/>
      <c r="R222" s="195"/>
      <c r="S222" s="195"/>
      <c r="T222" s="195"/>
      <c r="U222" s="1"/>
      <c r="W222" s="195"/>
      <c r="X222" s="195"/>
    </row>
    <row r="223" spans="17:24" x14ac:dyDescent="0.25">
      <c r="Q223" s="195"/>
      <c r="R223" s="195"/>
      <c r="S223" s="195"/>
      <c r="T223" s="195"/>
      <c r="U223" s="1"/>
      <c r="W223" s="195"/>
      <c r="X223" s="195"/>
    </row>
    <row r="224" spans="17:24" x14ac:dyDescent="0.25">
      <c r="Q224" s="195"/>
      <c r="R224" s="195"/>
      <c r="S224" s="195"/>
      <c r="T224" s="195"/>
      <c r="U224" s="1"/>
      <c r="W224" s="195"/>
      <c r="X224" s="195"/>
    </row>
    <row r="225" spans="17:24" x14ac:dyDescent="0.25">
      <c r="Q225" s="195"/>
      <c r="R225" s="195"/>
      <c r="S225" s="195"/>
      <c r="T225" s="195"/>
      <c r="U225" s="1"/>
      <c r="W225" s="195"/>
      <c r="X225" s="195"/>
    </row>
    <row r="226" spans="17:24" x14ac:dyDescent="0.25">
      <c r="Q226" s="195"/>
      <c r="R226" s="195"/>
      <c r="S226" s="195"/>
      <c r="T226" s="195"/>
      <c r="U226" s="1"/>
      <c r="W226" s="195"/>
      <c r="X226" s="195"/>
    </row>
    <row r="227" spans="17:24" x14ac:dyDescent="0.25">
      <c r="Q227" s="195"/>
      <c r="R227" s="195"/>
      <c r="S227" s="195"/>
      <c r="T227" s="195"/>
      <c r="U227" s="1"/>
      <c r="W227" s="195"/>
      <c r="X227" s="195"/>
    </row>
    <row r="228" spans="17:24" x14ac:dyDescent="0.25">
      <c r="Q228" s="195"/>
      <c r="R228" s="195"/>
      <c r="S228" s="195"/>
      <c r="T228" s="195"/>
      <c r="U228" s="1"/>
      <c r="W228" s="195"/>
      <c r="X228" s="195"/>
    </row>
    <row r="229" spans="17:24" x14ac:dyDescent="0.25">
      <c r="Q229" s="195"/>
      <c r="R229" s="195"/>
      <c r="S229" s="195"/>
      <c r="T229" s="195"/>
      <c r="U229" s="1"/>
      <c r="W229" s="195"/>
      <c r="X229" s="195"/>
    </row>
    <row r="230" spans="17:24" x14ac:dyDescent="0.25">
      <c r="Q230" s="195"/>
      <c r="R230" s="195"/>
      <c r="S230" s="195"/>
      <c r="T230" s="195"/>
      <c r="U230" s="1"/>
      <c r="W230" s="195"/>
      <c r="X230" s="195"/>
    </row>
    <row r="231" spans="17:24" x14ac:dyDescent="0.25">
      <c r="Q231" s="195"/>
      <c r="R231" s="195"/>
      <c r="S231" s="195"/>
      <c r="T231" s="195"/>
      <c r="U231" s="1"/>
      <c r="W231" s="195"/>
      <c r="X231" s="195"/>
    </row>
    <row r="232" spans="17:24" x14ac:dyDescent="0.25">
      <c r="Q232" s="195"/>
      <c r="R232" s="195"/>
      <c r="S232" s="195"/>
      <c r="T232" s="195"/>
      <c r="U232" s="1"/>
      <c r="W232" s="195"/>
      <c r="X232" s="195"/>
    </row>
    <row r="233" spans="17:24" x14ac:dyDescent="0.25">
      <c r="Q233" s="195"/>
      <c r="R233" s="195"/>
      <c r="S233" s="195"/>
      <c r="T233" s="195"/>
      <c r="U233" s="1"/>
      <c r="W233" s="195"/>
      <c r="X233" s="195"/>
    </row>
    <row r="234" spans="17:24" x14ac:dyDescent="0.25">
      <c r="Q234" s="195"/>
      <c r="R234" s="195"/>
      <c r="S234" s="195"/>
      <c r="T234" s="195"/>
      <c r="U234" s="1"/>
      <c r="W234" s="195"/>
      <c r="X234" s="195"/>
    </row>
    <row r="235" spans="17:24" x14ac:dyDescent="0.25">
      <c r="Q235" s="195"/>
      <c r="R235" s="195"/>
      <c r="S235" s="195"/>
      <c r="T235" s="195"/>
      <c r="U235" s="1"/>
      <c r="W235" s="195"/>
      <c r="X235" s="195"/>
    </row>
    <row r="236" spans="17:24" x14ac:dyDescent="0.25">
      <c r="Q236" s="195"/>
      <c r="R236" s="195"/>
      <c r="S236" s="195"/>
      <c r="T236" s="195"/>
      <c r="U236" s="1"/>
      <c r="W236" s="195"/>
      <c r="X236" s="195"/>
    </row>
    <row r="237" spans="17:24" x14ac:dyDescent="0.25">
      <c r="Q237" s="195"/>
      <c r="R237" s="195"/>
      <c r="S237" s="195"/>
      <c r="T237" s="195"/>
      <c r="U237" s="1"/>
      <c r="W237" s="195"/>
      <c r="X237" s="195"/>
    </row>
    <row r="238" spans="17:24" x14ac:dyDescent="0.25">
      <c r="Q238" s="195"/>
      <c r="R238" s="195"/>
      <c r="S238" s="195"/>
      <c r="T238" s="195"/>
      <c r="U238" s="1"/>
      <c r="W238" s="195"/>
      <c r="X238" s="195"/>
    </row>
    <row r="239" spans="17:24" x14ac:dyDescent="0.25">
      <c r="Q239" s="195"/>
      <c r="R239" s="195"/>
      <c r="S239" s="195"/>
      <c r="T239" s="195"/>
      <c r="U239" s="1"/>
      <c r="W239" s="195"/>
      <c r="X239" s="195"/>
    </row>
    <row r="240" spans="17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</sheetData>
  <mergeCells count="51">
    <mergeCell ref="A3:U3"/>
    <mergeCell ref="A4:U4"/>
    <mergeCell ref="A5:U5"/>
    <mergeCell ref="A7:I8"/>
    <mergeCell ref="J7:K8"/>
    <mergeCell ref="L7:L8"/>
    <mergeCell ref="M7:M8"/>
    <mergeCell ref="N7:N8"/>
    <mergeCell ref="O7:P7"/>
    <mergeCell ref="Q7:S7"/>
    <mergeCell ref="B62:F62"/>
    <mergeCell ref="B74:F74"/>
    <mergeCell ref="U7:U8"/>
    <mergeCell ref="V7:V8"/>
    <mergeCell ref="A9:I9"/>
    <mergeCell ref="J9:K9"/>
    <mergeCell ref="R135:T135"/>
    <mergeCell ref="A136:J136"/>
    <mergeCell ref="N136:Q136"/>
    <mergeCell ref="R136:U136"/>
    <mergeCell ref="D137:J137"/>
    <mergeCell ref="N137:Q137"/>
    <mergeCell ref="R137:U137"/>
    <mergeCell ref="D135:J135"/>
    <mergeCell ref="K135:L135"/>
    <mergeCell ref="N142:Q142"/>
    <mergeCell ref="R142:U142"/>
    <mergeCell ref="A143:J143"/>
    <mergeCell ref="N143:Q143"/>
    <mergeCell ref="R143:U143"/>
    <mergeCell ref="B109:G109"/>
    <mergeCell ref="D144:H144"/>
    <mergeCell ref="B18:F18"/>
    <mergeCell ref="B20:F20"/>
    <mergeCell ref="B24:G24"/>
    <mergeCell ref="B26:F26"/>
    <mergeCell ref="B28:F28"/>
    <mergeCell ref="B30:F30"/>
    <mergeCell ref="B36:F36"/>
    <mergeCell ref="B38:F38"/>
    <mergeCell ref="B40:F40"/>
    <mergeCell ref="A141:J141"/>
    <mergeCell ref="A142:J142"/>
    <mergeCell ref="A134:J134"/>
    <mergeCell ref="B42:F42"/>
    <mergeCell ref="B50:F50"/>
    <mergeCell ref="B76:F76"/>
    <mergeCell ref="B82:F82"/>
    <mergeCell ref="B84:F84"/>
    <mergeCell ref="B90:F90"/>
    <mergeCell ref="B92:F92"/>
  </mergeCells>
  <pageMargins left="0.70866141732283472" right="0.70866141732283472" top="0.74803149606299213" bottom="0.74803149606299213" header="0.31496062992125984" footer="0.31496062992125984"/>
  <pageSetup paperSize="5" scale="6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71"/>
  <sheetViews>
    <sheetView topLeftCell="B51" zoomScale="70" zoomScaleNormal="70" workbookViewId="0">
      <selection activeCell="R80" sqref="R80"/>
    </sheetView>
  </sheetViews>
  <sheetFormatPr defaultRowHeight="15.75" x14ac:dyDescent="0.25"/>
  <cols>
    <col min="1" max="1" width="5.28515625" style="1" hidden="1" customWidth="1"/>
    <col min="2" max="2" width="3.85546875" style="1" customWidth="1"/>
    <col min="3" max="3" width="2" style="1" customWidth="1"/>
    <col min="4" max="5" width="8.7109375" style="1" customWidth="1"/>
    <col min="6" max="6" width="8.5703125" style="1" customWidth="1"/>
    <col min="7" max="7" width="8.5703125" style="1" hidden="1" customWidth="1"/>
    <col min="8" max="8" width="0.28515625" style="1" customWidth="1"/>
    <col min="9" max="9" width="6.85546875" style="1" customWidth="1"/>
    <col min="10" max="10" width="7" style="1" customWidth="1"/>
    <col min="11" max="11" width="77.5703125" style="1" customWidth="1"/>
    <col min="12" max="12" width="16.140625" style="1" customWidth="1"/>
    <col min="13" max="13" width="20.42578125" style="1" hidden="1" customWidth="1"/>
    <col min="14" max="14" width="20.42578125" style="1" customWidth="1"/>
    <col min="15" max="15" width="14.140625" style="1" hidden="1" customWidth="1"/>
    <col min="16" max="16" width="14.5703125" style="1" hidden="1" customWidth="1"/>
    <col min="17" max="17" width="17.42578125" style="1" customWidth="1"/>
    <col min="18" max="18" width="17.140625" style="196" customWidth="1"/>
    <col min="19" max="19" width="15.85546875" style="1" customWidth="1"/>
    <col min="20" max="20" width="14.42578125" style="1" hidden="1" customWidth="1"/>
    <col min="21" max="21" width="18.5703125" style="4" customWidth="1"/>
    <col min="22" max="22" width="18.140625" style="1" hidden="1" customWidth="1"/>
    <col min="23" max="24" width="13.85546875" style="1" hidden="1" customWidth="1"/>
    <col min="25" max="29" width="9.140625" style="1"/>
    <col min="30" max="30" width="13" style="1" bestFit="1" customWidth="1"/>
    <col min="31" max="16384" width="9.140625" style="1"/>
  </cols>
  <sheetData>
    <row r="1" spans="1:26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6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6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5"/>
    </row>
    <row r="4" spans="1:26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5"/>
    </row>
    <row r="5" spans="1:26" ht="18" x14ac:dyDescent="0.25">
      <c r="A5" s="482" t="s">
        <v>259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5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6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6</v>
      </c>
      <c r="M7" s="488" t="s">
        <v>7</v>
      </c>
      <c r="N7" s="488" t="s">
        <v>8</v>
      </c>
      <c r="O7" s="490" t="s">
        <v>9</v>
      </c>
      <c r="P7" s="490"/>
      <c r="Q7" s="491" t="s">
        <v>10</v>
      </c>
      <c r="R7" s="492"/>
      <c r="S7" s="492"/>
      <c r="T7" s="11"/>
      <c r="U7" s="493" t="s">
        <v>11</v>
      </c>
      <c r="V7" s="490" t="s">
        <v>12</v>
      </c>
      <c r="W7" s="11"/>
      <c r="X7" s="11"/>
    </row>
    <row r="8" spans="1:26" ht="24" customHeight="1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278" t="s">
        <v>14</v>
      </c>
      <c r="Q8" s="278" t="s">
        <v>13</v>
      </c>
      <c r="R8" s="14" t="s">
        <v>14</v>
      </c>
      <c r="S8" s="278" t="s">
        <v>15</v>
      </c>
      <c r="T8" s="278" t="s">
        <v>16</v>
      </c>
      <c r="U8" s="493"/>
      <c r="V8" s="490"/>
      <c r="W8" s="278" t="s">
        <v>17</v>
      </c>
      <c r="X8" s="278" t="s">
        <v>17</v>
      </c>
    </row>
    <row r="9" spans="1:26" ht="24" customHeight="1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 t="s">
        <v>19</v>
      </c>
      <c r="K9" s="494"/>
      <c r="L9" s="278" t="s">
        <v>20</v>
      </c>
      <c r="M9" s="278" t="s">
        <v>21</v>
      </c>
      <c r="N9" s="278" t="s">
        <v>22</v>
      </c>
      <c r="O9" s="278" t="s">
        <v>22</v>
      </c>
      <c r="P9" s="278" t="s">
        <v>23</v>
      </c>
      <c r="Q9" s="278" t="s">
        <v>24</v>
      </c>
      <c r="R9" s="14" t="s">
        <v>25</v>
      </c>
      <c r="S9" s="278" t="s">
        <v>26</v>
      </c>
      <c r="T9" s="278" t="s">
        <v>27</v>
      </c>
      <c r="U9" s="278" t="s">
        <v>28</v>
      </c>
      <c r="V9" s="15"/>
      <c r="W9" s="278" t="s">
        <v>27</v>
      </c>
      <c r="X9" s="278" t="s">
        <v>27</v>
      </c>
    </row>
    <row r="10" spans="1:26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f>L12+L94</f>
        <v>2184252000</v>
      </c>
      <c r="M10" s="19">
        <f>M12+M94</f>
        <v>0</v>
      </c>
      <c r="N10" s="19">
        <f>N12+N94</f>
        <v>2184252000</v>
      </c>
      <c r="O10" s="19" t="e">
        <f>O12</f>
        <v>#REF!</v>
      </c>
      <c r="P10" s="19"/>
      <c r="Q10" s="19">
        <f>Q12+Q94</f>
        <v>149345980</v>
      </c>
      <c r="R10" s="19">
        <v>290466631</v>
      </c>
      <c r="S10" s="19">
        <f>Q10+R10</f>
        <v>439812611</v>
      </c>
      <c r="T10" s="20">
        <f>S10/N10*100</f>
        <v>20.135616723711365</v>
      </c>
      <c r="U10" s="21">
        <f>N10-S10</f>
        <v>1744439389</v>
      </c>
      <c r="V10" s="21">
        <f>U10/2</f>
        <v>872219694.5</v>
      </c>
      <c r="W10" s="22">
        <f>Q10/N10*100</f>
        <v>6.8373969670166259</v>
      </c>
      <c r="X10" s="22">
        <f>Q10/N10*100</f>
        <v>6.8373969670166259</v>
      </c>
    </row>
    <row r="11" spans="1:26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</row>
    <row r="12" spans="1:26" x14ac:dyDescent="0.25">
      <c r="A12" s="34"/>
      <c r="B12" s="35" t="s">
        <v>31</v>
      </c>
      <c r="C12" s="36"/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L14+L16+L18+L20+L22+L24+L26+L28+L30+L36+L38+L40+L42+L50+L62+L74+L76+L82+L84+L90+L92</f>
        <v>1528107000</v>
      </c>
      <c r="M12" s="41">
        <f>M14+M16+M18+M20+M22+M24+M26+M28+M30+M36+M38+M40+M42+M50+M62+M74+M76+M82+M84+M90+M92</f>
        <v>0</v>
      </c>
      <c r="N12" s="41">
        <f>L12-M12</f>
        <v>1528107000</v>
      </c>
      <c r="O12" s="41" t="e">
        <f>#REF!</f>
        <v>#REF!</v>
      </c>
      <c r="P12" s="41"/>
      <c r="Q12" s="41">
        <f>Q14+Q16+Q18+Q20+Q22+Q24+Q26+Q28+Q30+Q36+Q38+Q40+Q42+Q50+Q62+Q74+Q76+Q82+Q84+Q90+Q92</f>
        <v>110105980</v>
      </c>
      <c r="R12" s="41">
        <v>250486631</v>
      </c>
      <c r="S12" s="41">
        <f>Q12+R12</f>
        <v>360592611</v>
      </c>
      <c r="T12" s="20">
        <f>S12/N12*100</f>
        <v>23.597340434930274</v>
      </c>
      <c r="U12" s="42">
        <f>N12-S12</f>
        <v>1167514389</v>
      </c>
      <c r="V12" s="42">
        <f>U12/2</f>
        <v>583757194.5</v>
      </c>
      <c r="W12" s="22">
        <f t="shared" ref="W12:W26" si="0">Q12/N12*100</f>
        <v>7.2053841779404184</v>
      </c>
      <c r="X12" s="22">
        <f t="shared" ref="X12:X74" si="1">Q12/N12*100</f>
        <v>7.2053841779404184</v>
      </c>
    </row>
    <row r="13" spans="1:26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76" si="2">U13/2</f>
        <v>0</v>
      </c>
      <c r="W13" s="22"/>
      <c r="X13" s="22"/>
    </row>
    <row r="14" spans="1:26" ht="17.25" x14ac:dyDescent="0.3">
      <c r="A14" s="232"/>
      <c r="B14" s="233" t="s">
        <v>236</v>
      </c>
      <c r="C14" s="234"/>
      <c r="D14" s="235"/>
      <c r="E14" s="236"/>
      <c r="F14" s="236"/>
      <c r="G14" s="237"/>
      <c r="H14" s="238"/>
      <c r="I14" s="239"/>
      <c r="J14" s="49"/>
      <c r="K14" s="197" t="s">
        <v>184</v>
      </c>
      <c r="L14" s="52">
        <v>42000000</v>
      </c>
      <c r="M14" s="52">
        <v>0</v>
      </c>
      <c r="N14" s="52">
        <f>L14-M14</f>
        <v>42000000</v>
      </c>
      <c r="O14" s="53"/>
      <c r="P14" s="53"/>
      <c r="Q14" s="52">
        <v>3500000</v>
      </c>
      <c r="R14" s="52">
        <v>7000000</v>
      </c>
      <c r="S14" s="52">
        <f t="shared" ref="S14:S16" si="3">Q14+R14</f>
        <v>10500000</v>
      </c>
      <c r="T14" s="54">
        <f>S14/N14*100</f>
        <v>25</v>
      </c>
      <c r="U14" s="52">
        <f>N14-S14</f>
        <v>31500000</v>
      </c>
      <c r="V14" s="42">
        <f t="shared" si="2"/>
        <v>15750000</v>
      </c>
      <c r="W14" s="22">
        <f>Q14/N14*100</f>
        <v>8.3333333333333321</v>
      </c>
      <c r="X14" s="22">
        <f t="shared" si="1"/>
        <v>8.3333333333333321</v>
      </c>
      <c r="Z14" s="22">
        <f>Q14/N14*100</f>
        <v>8.3333333333333321</v>
      </c>
    </row>
    <row r="15" spans="1:26" x14ac:dyDescent="0.25">
      <c r="A15" s="240"/>
      <c r="B15" s="241"/>
      <c r="C15" s="241"/>
      <c r="D15" s="241"/>
      <c r="E15" s="242"/>
      <c r="F15" s="242"/>
      <c r="G15" s="242"/>
      <c r="H15" s="242"/>
      <c r="I15" s="242"/>
      <c r="J15" s="64"/>
      <c r="K15" s="68"/>
      <c r="L15" s="30"/>
      <c r="M15" s="30"/>
      <c r="N15" s="31"/>
      <c r="O15" s="30"/>
      <c r="P15" s="30"/>
      <c r="Q15" s="68"/>
      <c r="R15" s="29"/>
      <c r="S15" s="29"/>
      <c r="T15" s="32"/>
      <c r="U15" s="43"/>
      <c r="V15" s="42">
        <f t="shared" si="2"/>
        <v>0</v>
      </c>
      <c r="W15" s="22"/>
      <c r="X15" s="22"/>
      <c r="Z15" s="22" t="e">
        <f t="shared" ref="Z15:Z78" si="4">Q15/N15*100</f>
        <v>#DIV/0!</v>
      </c>
    </row>
    <row r="16" spans="1:26" ht="17.25" x14ac:dyDescent="0.3">
      <c r="A16" s="232"/>
      <c r="B16" s="233" t="s">
        <v>237</v>
      </c>
      <c r="C16" s="243"/>
      <c r="D16" s="235"/>
      <c r="E16" s="236"/>
      <c r="F16" s="236"/>
      <c r="G16" s="237"/>
      <c r="H16" s="238"/>
      <c r="I16" s="239"/>
      <c r="J16" s="49"/>
      <c r="K16" s="197" t="s">
        <v>185</v>
      </c>
      <c r="L16" s="52">
        <v>4740000</v>
      </c>
      <c r="M16" s="52">
        <v>0</v>
      </c>
      <c r="N16" s="52">
        <f>L16-M16</f>
        <v>4740000</v>
      </c>
      <c r="O16" s="53"/>
      <c r="P16" s="53"/>
      <c r="Q16" s="52">
        <v>0</v>
      </c>
      <c r="R16" s="52">
        <v>1620000</v>
      </c>
      <c r="S16" s="52">
        <f t="shared" si="3"/>
        <v>1620000</v>
      </c>
      <c r="T16" s="54">
        <f>S16/N16*100</f>
        <v>34.177215189873415</v>
      </c>
      <c r="U16" s="52">
        <f t="shared" ref="U16:U26" si="5">N16-S16</f>
        <v>3120000</v>
      </c>
      <c r="V16" s="42">
        <f t="shared" si="2"/>
        <v>1560000</v>
      </c>
      <c r="W16" s="22">
        <f t="shared" si="0"/>
        <v>0</v>
      </c>
      <c r="X16" s="22">
        <f t="shared" si="1"/>
        <v>0</v>
      </c>
      <c r="Z16" s="65">
        <f t="shared" si="4"/>
        <v>0</v>
      </c>
    </row>
    <row r="17" spans="1:26" x14ac:dyDescent="0.25">
      <c r="A17" s="240"/>
      <c r="B17" s="244"/>
      <c r="C17" s="244"/>
      <c r="D17" s="241"/>
      <c r="E17" s="242"/>
      <c r="F17" s="242"/>
      <c r="G17" s="242"/>
      <c r="H17" s="242"/>
      <c r="I17" s="242"/>
      <c r="J17" s="64"/>
      <c r="K17" s="77"/>
      <c r="L17" s="30"/>
      <c r="M17" s="30"/>
      <c r="N17" s="31"/>
      <c r="O17" s="30"/>
      <c r="P17" s="30"/>
      <c r="Q17" s="68"/>
      <c r="R17" s="29"/>
      <c r="S17" s="29"/>
      <c r="T17" s="32"/>
      <c r="U17" s="43"/>
      <c r="V17" s="42">
        <f t="shared" si="2"/>
        <v>0</v>
      </c>
      <c r="W17" s="22"/>
      <c r="X17" s="22"/>
      <c r="Z17" s="22" t="e">
        <f t="shared" si="4"/>
        <v>#DIV/0!</v>
      </c>
    </row>
    <row r="18" spans="1:26" ht="17.25" x14ac:dyDescent="0.3">
      <c r="A18" s="240"/>
      <c r="B18" s="505" t="s">
        <v>43</v>
      </c>
      <c r="C18" s="506"/>
      <c r="D18" s="506"/>
      <c r="E18" s="506"/>
      <c r="F18" s="507"/>
      <c r="G18" s="242"/>
      <c r="H18" s="242"/>
      <c r="I18" s="242"/>
      <c r="J18" s="81"/>
      <c r="K18" s="197" t="s">
        <v>186</v>
      </c>
      <c r="L18" s="52">
        <v>19754000</v>
      </c>
      <c r="M18" s="52">
        <v>0</v>
      </c>
      <c r="N18" s="52">
        <f>L18-M18</f>
        <v>19754000</v>
      </c>
      <c r="O18" s="83"/>
      <c r="P18" s="83"/>
      <c r="Q18" s="84">
        <v>0</v>
      </c>
      <c r="R18" s="84">
        <v>19693400</v>
      </c>
      <c r="S18" s="84">
        <f>Q18+R18</f>
        <v>19693400</v>
      </c>
      <c r="T18" s="54">
        <f>S18/N18*100</f>
        <v>99.693226688265668</v>
      </c>
      <c r="U18" s="52">
        <f t="shared" si="5"/>
        <v>60600</v>
      </c>
      <c r="V18" s="42">
        <f t="shared" si="2"/>
        <v>30300</v>
      </c>
      <c r="W18" s="22">
        <f t="shared" si="0"/>
        <v>0</v>
      </c>
      <c r="X18" s="22">
        <f t="shared" si="1"/>
        <v>0</v>
      </c>
      <c r="Z18" s="65">
        <f t="shared" si="4"/>
        <v>0</v>
      </c>
    </row>
    <row r="19" spans="1:26" x14ac:dyDescent="0.25">
      <c r="A19" s="240"/>
      <c r="B19" s="244"/>
      <c r="C19" s="244"/>
      <c r="D19" s="241"/>
      <c r="E19" s="242"/>
      <c r="F19" s="242"/>
      <c r="G19" s="242"/>
      <c r="H19" s="242"/>
      <c r="I19" s="242"/>
      <c r="J19" s="64"/>
      <c r="K19" s="77"/>
      <c r="L19" s="30"/>
      <c r="M19" s="30"/>
      <c r="N19" s="31"/>
      <c r="O19" s="30"/>
      <c r="P19" s="30"/>
      <c r="Q19" s="68"/>
      <c r="R19" s="29"/>
      <c r="S19" s="29"/>
      <c r="T19" s="32"/>
      <c r="U19" s="43"/>
      <c r="V19" s="42">
        <f t="shared" si="2"/>
        <v>0</v>
      </c>
      <c r="W19" s="22"/>
      <c r="X19" s="22"/>
      <c r="Z19" s="22" t="e">
        <f t="shared" si="4"/>
        <v>#DIV/0!</v>
      </c>
    </row>
    <row r="20" spans="1:26" ht="17.25" x14ac:dyDescent="0.3">
      <c r="A20" s="240"/>
      <c r="B20" s="505" t="s">
        <v>238</v>
      </c>
      <c r="C20" s="506"/>
      <c r="D20" s="506"/>
      <c r="E20" s="506"/>
      <c r="F20" s="507"/>
      <c r="G20" s="245"/>
      <c r="H20" s="245"/>
      <c r="I20" s="246"/>
      <c r="J20" s="97"/>
      <c r="K20" s="197" t="s">
        <v>92</v>
      </c>
      <c r="L20" s="52">
        <v>4468000</v>
      </c>
      <c r="M20" s="52">
        <v>0</v>
      </c>
      <c r="N20" s="52">
        <f>L20-M20</f>
        <v>4468000</v>
      </c>
      <c r="O20" s="53"/>
      <c r="P20" s="53"/>
      <c r="Q20" s="84">
        <v>274000</v>
      </c>
      <c r="R20" s="84">
        <v>490000</v>
      </c>
      <c r="S20" s="84">
        <f>Q20+R20</f>
        <v>764000</v>
      </c>
      <c r="T20" s="54">
        <f>S20/N20*100</f>
        <v>17.099373321396598</v>
      </c>
      <c r="U20" s="52">
        <f t="shared" si="5"/>
        <v>3704000</v>
      </c>
      <c r="V20" s="42">
        <f t="shared" si="2"/>
        <v>1852000</v>
      </c>
      <c r="W20" s="22">
        <f t="shared" si="0"/>
        <v>6.1324977618621306</v>
      </c>
      <c r="X20" s="22">
        <f t="shared" si="1"/>
        <v>6.1324977618621306</v>
      </c>
      <c r="Z20" s="65">
        <f t="shared" si="4"/>
        <v>6.1324977618621306</v>
      </c>
    </row>
    <row r="21" spans="1:26" x14ac:dyDescent="0.25">
      <c r="A21" s="240"/>
      <c r="B21" s="244"/>
      <c r="C21" s="247"/>
      <c r="D21" s="242"/>
      <c r="E21" s="242"/>
      <c r="F21" s="242"/>
      <c r="G21" s="241"/>
      <c r="H21" s="241"/>
      <c r="I21" s="242"/>
      <c r="J21" s="64"/>
      <c r="K21" s="92"/>
      <c r="L21" s="30"/>
      <c r="M21" s="30"/>
      <c r="N21" s="31"/>
      <c r="O21" s="66"/>
      <c r="P21" s="66"/>
      <c r="Q21" s="68"/>
      <c r="R21" s="29"/>
      <c r="S21" s="29"/>
      <c r="T21" s="32"/>
      <c r="U21" s="43"/>
      <c r="V21" s="42">
        <f t="shared" si="2"/>
        <v>0</v>
      </c>
      <c r="W21" s="22"/>
      <c r="X21" s="22"/>
      <c r="Z21" s="22" t="e">
        <f t="shared" si="4"/>
        <v>#DIV/0!</v>
      </c>
    </row>
    <row r="22" spans="1:26" ht="17.25" x14ac:dyDescent="0.3">
      <c r="A22" s="232"/>
      <c r="B22" s="233" t="s">
        <v>239</v>
      </c>
      <c r="C22" s="243"/>
      <c r="D22" s="235"/>
      <c r="E22" s="236"/>
      <c r="F22" s="236"/>
      <c r="G22" s="237"/>
      <c r="H22" s="239"/>
      <c r="I22" s="239"/>
      <c r="J22" s="106"/>
      <c r="K22" s="197" t="s">
        <v>187</v>
      </c>
      <c r="L22" s="108">
        <v>3020000</v>
      </c>
      <c r="M22" s="108">
        <v>0</v>
      </c>
      <c r="N22" s="52">
        <f>L22-M22</f>
        <v>3020000</v>
      </c>
      <c r="O22" s="108"/>
      <c r="P22" s="108"/>
      <c r="Q22" s="108">
        <v>350000</v>
      </c>
      <c r="R22" s="108">
        <v>350000</v>
      </c>
      <c r="S22" s="108">
        <f t="shared" ref="S22" si="6">Q22+R22</f>
        <v>700000</v>
      </c>
      <c r="T22" s="54">
        <f>S22/N22*100</f>
        <v>23.178807947019866</v>
      </c>
      <c r="U22" s="52">
        <f t="shared" si="5"/>
        <v>2320000</v>
      </c>
      <c r="V22" s="42">
        <f t="shared" si="2"/>
        <v>1160000</v>
      </c>
      <c r="W22" s="22">
        <f t="shared" si="0"/>
        <v>11.589403973509933</v>
      </c>
      <c r="X22" s="22">
        <f t="shared" si="1"/>
        <v>11.589403973509933</v>
      </c>
      <c r="Z22" s="65">
        <f t="shared" si="4"/>
        <v>11.589403973509933</v>
      </c>
    </row>
    <row r="23" spans="1:26" x14ac:dyDescent="0.25">
      <c r="A23" s="240"/>
      <c r="B23" s="244"/>
      <c r="C23" s="247"/>
      <c r="D23" s="242"/>
      <c r="E23" s="242"/>
      <c r="F23" s="242"/>
      <c r="G23" s="241"/>
      <c r="H23" s="241"/>
      <c r="I23" s="242"/>
      <c r="J23" s="64"/>
      <c r="K23" s="28"/>
      <c r="L23" s="66"/>
      <c r="M23" s="66"/>
      <c r="N23" s="31"/>
      <c r="O23" s="66"/>
      <c r="P23" s="66"/>
      <c r="Q23" s="68"/>
      <c r="R23" s="29"/>
      <c r="S23" s="29"/>
      <c r="T23" s="32"/>
      <c r="U23" s="43"/>
      <c r="V23" s="42">
        <f t="shared" si="2"/>
        <v>0</v>
      </c>
      <c r="W23" s="22"/>
      <c r="X23" s="22"/>
      <c r="Z23" s="22" t="e">
        <f t="shared" si="4"/>
        <v>#DIV/0!</v>
      </c>
    </row>
    <row r="24" spans="1:26" ht="17.25" x14ac:dyDescent="0.3">
      <c r="A24" s="232"/>
      <c r="B24" s="505" t="s">
        <v>240</v>
      </c>
      <c r="C24" s="506"/>
      <c r="D24" s="506"/>
      <c r="E24" s="506"/>
      <c r="F24" s="506"/>
      <c r="G24" s="507"/>
      <c r="H24" s="238"/>
      <c r="I24" s="239"/>
      <c r="J24" s="106"/>
      <c r="K24" s="197" t="s">
        <v>88</v>
      </c>
      <c r="L24" s="52">
        <v>12200000</v>
      </c>
      <c r="M24" s="52">
        <v>0</v>
      </c>
      <c r="N24" s="52">
        <f>L24-M24</f>
        <v>12200000</v>
      </c>
      <c r="O24" s="52"/>
      <c r="P24" s="52"/>
      <c r="Q24" s="52">
        <v>190000</v>
      </c>
      <c r="R24" s="52">
        <v>772000</v>
      </c>
      <c r="S24" s="52">
        <f t="shared" ref="S24" si="7">Q24+R24</f>
        <v>962000</v>
      </c>
      <c r="T24" s="54">
        <f>S24/N24*100</f>
        <v>7.8852459016393439</v>
      </c>
      <c r="U24" s="52">
        <f t="shared" si="5"/>
        <v>11238000</v>
      </c>
      <c r="V24" s="42">
        <f t="shared" si="2"/>
        <v>5619000</v>
      </c>
      <c r="W24" s="22">
        <f t="shared" si="0"/>
        <v>1.557377049180328</v>
      </c>
      <c r="X24" s="22">
        <f>Q24/N24*100</f>
        <v>1.557377049180328</v>
      </c>
      <c r="Z24" s="65">
        <f t="shared" si="4"/>
        <v>1.557377049180328</v>
      </c>
    </row>
    <row r="25" spans="1:26" x14ac:dyDescent="0.25">
      <c r="A25" s="240"/>
      <c r="B25" s="244"/>
      <c r="C25" s="247"/>
      <c r="D25" s="242"/>
      <c r="E25" s="242"/>
      <c r="F25" s="242"/>
      <c r="G25" s="241"/>
      <c r="H25" s="241"/>
      <c r="I25" s="242"/>
      <c r="J25" s="64"/>
      <c r="K25" s="28"/>
      <c r="L25" s="66"/>
      <c r="M25" s="66"/>
      <c r="N25" s="67"/>
      <c r="O25" s="66"/>
      <c r="P25" s="66"/>
      <c r="Q25" s="68"/>
      <c r="R25" s="29"/>
      <c r="S25" s="29"/>
      <c r="T25" s="32"/>
      <c r="U25" s="43"/>
      <c r="V25" s="42">
        <f t="shared" si="2"/>
        <v>0</v>
      </c>
      <c r="W25" s="22"/>
      <c r="X25" s="22"/>
      <c r="Z25" s="22" t="e">
        <f t="shared" si="4"/>
        <v>#DIV/0!</v>
      </c>
    </row>
    <row r="26" spans="1:26" ht="17.25" x14ac:dyDescent="0.3">
      <c r="A26" s="240"/>
      <c r="B26" s="505" t="s">
        <v>241</v>
      </c>
      <c r="C26" s="506"/>
      <c r="D26" s="506"/>
      <c r="E26" s="506"/>
      <c r="F26" s="507"/>
      <c r="G26" s="241"/>
      <c r="H26" s="241"/>
      <c r="I26" s="242"/>
      <c r="J26" s="81"/>
      <c r="K26" s="197" t="s">
        <v>188</v>
      </c>
      <c r="L26" s="52">
        <v>3600000</v>
      </c>
      <c r="M26" s="52">
        <v>0</v>
      </c>
      <c r="N26" s="52">
        <f t="shared" ref="N26:N82" si="8">L26-M26</f>
        <v>3600000</v>
      </c>
      <c r="O26" s="116"/>
      <c r="P26" s="116"/>
      <c r="Q26" s="84">
        <v>0</v>
      </c>
      <c r="R26" s="84">
        <v>600000</v>
      </c>
      <c r="S26" s="84">
        <f>Q26+R26</f>
        <v>600000</v>
      </c>
      <c r="T26" s="54">
        <f>S26/N26*100</f>
        <v>16.666666666666664</v>
      </c>
      <c r="U26" s="52">
        <f t="shared" si="5"/>
        <v>3000000</v>
      </c>
      <c r="V26" s="42">
        <f t="shared" si="2"/>
        <v>1500000</v>
      </c>
      <c r="W26" s="22">
        <f t="shared" si="0"/>
        <v>0</v>
      </c>
      <c r="X26" s="22">
        <f t="shared" si="1"/>
        <v>0</v>
      </c>
      <c r="Z26" s="65">
        <f t="shared" si="4"/>
        <v>0</v>
      </c>
    </row>
    <row r="27" spans="1:26" x14ac:dyDescent="0.25">
      <c r="A27" s="240"/>
      <c r="B27" s="244"/>
      <c r="C27" s="247"/>
      <c r="D27" s="242"/>
      <c r="E27" s="242"/>
      <c r="F27" s="242"/>
      <c r="G27" s="241"/>
      <c r="H27" s="241"/>
      <c r="I27" s="242"/>
      <c r="J27" s="64"/>
      <c r="K27" s="28"/>
      <c r="L27" s="66"/>
      <c r="M27" s="66"/>
      <c r="N27" s="31"/>
      <c r="O27" s="66"/>
      <c r="P27" s="66"/>
      <c r="Q27" s="29"/>
      <c r="R27" s="29"/>
      <c r="S27" s="29"/>
      <c r="T27" s="32"/>
      <c r="U27" s="43"/>
      <c r="V27" s="42">
        <f t="shared" si="2"/>
        <v>0</v>
      </c>
      <c r="W27" s="22"/>
      <c r="X27" s="22"/>
      <c r="Z27" s="22" t="e">
        <f t="shared" si="4"/>
        <v>#DIV/0!</v>
      </c>
    </row>
    <row r="28" spans="1:26" ht="17.25" x14ac:dyDescent="0.3">
      <c r="A28" s="240"/>
      <c r="B28" s="505" t="s">
        <v>242</v>
      </c>
      <c r="C28" s="506"/>
      <c r="D28" s="506"/>
      <c r="E28" s="506"/>
      <c r="F28" s="507"/>
      <c r="G28" s="241"/>
      <c r="H28" s="241"/>
      <c r="I28" s="242"/>
      <c r="J28" s="81"/>
      <c r="K28" s="197" t="s">
        <v>189</v>
      </c>
      <c r="L28" s="52">
        <v>50388000</v>
      </c>
      <c r="M28" s="52">
        <v>0</v>
      </c>
      <c r="N28" s="52">
        <f t="shared" si="8"/>
        <v>50388000</v>
      </c>
      <c r="O28" s="116"/>
      <c r="P28" s="116"/>
      <c r="Q28" s="84">
        <v>0</v>
      </c>
      <c r="R28" s="84">
        <v>10998000</v>
      </c>
      <c r="S28" s="84">
        <f>Q28+R28</f>
        <v>10998000</v>
      </c>
      <c r="T28" s="54">
        <f>S28/N28*100</f>
        <v>21.826625386996902</v>
      </c>
      <c r="U28" s="52">
        <f t="shared" ref="U28:U88" si="9">N28-S28</f>
        <v>39390000</v>
      </c>
      <c r="V28" s="42">
        <f t="shared" si="2"/>
        <v>19695000</v>
      </c>
      <c r="W28" s="22">
        <f t="shared" ref="W28:W82" si="10">Q28/N28*100</f>
        <v>0</v>
      </c>
      <c r="X28" s="22">
        <f t="shared" si="1"/>
        <v>0</v>
      </c>
      <c r="Z28" s="65">
        <f t="shared" si="4"/>
        <v>0</v>
      </c>
    </row>
    <row r="29" spans="1:26" x14ac:dyDescent="0.25">
      <c r="A29" s="240"/>
      <c r="B29" s="248"/>
      <c r="C29" s="249"/>
      <c r="D29" s="242"/>
      <c r="E29" s="242"/>
      <c r="F29" s="242"/>
      <c r="G29" s="241"/>
      <c r="H29" s="241"/>
      <c r="I29" s="242"/>
      <c r="J29" s="64"/>
      <c r="K29" s="28"/>
      <c r="L29" s="66"/>
      <c r="M29" s="66"/>
      <c r="N29" s="67"/>
      <c r="O29" s="66"/>
      <c r="P29" s="66"/>
      <c r="Q29" s="68"/>
      <c r="R29" s="29"/>
      <c r="S29" s="29"/>
      <c r="T29" s="32"/>
      <c r="U29" s="43"/>
      <c r="V29" s="42">
        <f t="shared" si="2"/>
        <v>0</v>
      </c>
      <c r="W29" s="22"/>
      <c r="X29" s="22"/>
      <c r="Z29" s="22" t="e">
        <f t="shared" si="4"/>
        <v>#DIV/0!</v>
      </c>
    </row>
    <row r="30" spans="1:26" ht="17.25" x14ac:dyDescent="0.3">
      <c r="A30" s="240"/>
      <c r="B30" s="505" t="s">
        <v>243</v>
      </c>
      <c r="C30" s="506"/>
      <c r="D30" s="506"/>
      <c r="E30" s="506"/>
      <c r="F30" s="507"/>
      <c r="G30" s="241"/>
      <c r="H30" s="241"/>
      <c r="I30" s="242"/>
      <c r="J30" s="81"/>
      <c r="K30" s="197" t="s">
        <v>190</v>
      </c>
      <c r="L30" s="52">
        <f>L34+L32</f>
        <v>33005000</v>
      </c>
      <c r="M30" s="52">
        <v>0</v>
      </c>
      <c r="N30" s="52">
        <f t="shared" si="8"/>
        <v>33005000</v>
      </c>
      <c r="O30" s="116"/>
      <c r="P30" s="116"/>
      <c r="Q30" s="52">
        <v>2849000</v>
      </c>
      <c r="R30" s="84">
        <v>4159350</v>
      </c>
      <c r="S30" s="84">
        <f>Q30+R30</f>
        <v>7008350</v>
      </c>
      <c r="T30" s="54">
        <f>S30/N30*100</f>
        <v>21.234206938342677</v>
      </c>
      <c r="U30" s="117">
        <f t="shared" si="9"/>
        <v>25996650</v>
      </c>
      <c r="V30" s="42">
        <f t="shared" si="2"/>
        <v>12998325</v>
      </c>
      <c r="W30" s="22"/>
      <c r="X30" s="22">
        <f t="shared" si="1"/>
        <v>8.6320254506892908</v>
      </c>
      <c r="Z30" s="22">
        <f t="shared" si="4"/>
        <v>8.6320254506892908</v>
      </c>
    </row>
    <row r="31" spans="1:26" x14ac:dyDescent="0.25">
      <c r="A31" s="240"/>
      <c r="B31" s="244"/>
      <c r="C31" s="247"/>
      <c r="D31" s="242"/>
      <c r="E31" s="242"/>
      <c r="F31" s="242"/>
      <c r="G31" s="241"/>
      <c r="H31" s="241"/>
      <c r="I31" s="242"/>
      <c r="J31" s="64"/>
      <c r="K31" s="28"/>
      <c r="L31" s="66"/>
      <c r="M31" s="66"/>
      <c r="N31" s="67"/>
      <c r="O31" s="66"/>
      <c r="P31" s="66"/>
      <c r="Q31" s="68"/>
      <c r="R31" s="29"/>
      <c r="S31" s="29"/>
      <c r="T31" s="32"/>
      <c r="U31" s="43"/>
      <c r="V31" s="42">
        <f t="shared" si="2"/>
        <v>0</v>
      </c>
      <c r="W31" s="22"/>
      <c r="X31" s="22"/>
      <c r="Z31" s="22" t="e">
        <f t="shared" si="4"/>
        <v>#DIV/0!</v>
      </c>
    </row>
    <row r="32" spans="1:26" x14ac:dyDescent="0.25">
      <c r="A32" s="240"/>
      <c r="B32" s="244"/>
      <c r="C32" s="247"/>
      <c r="D32" s="242"/>
      <c r="E32" s="242"/>
      <c r="F32" s="242"/>
      <c r="G32" s="241"/>
      <c r="H32" s="241"/>
      <c r="I32" s="242"/>
      <c r="J32" s="64"/>
      <c r="K32" s="56" t="s">
        <v>191</v>
      </c>
      <c r="L32" s="66">
        <v>15750000</v>
      </c>
      <c r="M32" s="66">
        <v>0</v>
      </c>
      <c r="N32" s="126">
        <f t="shared" si="8"/>
        <v>15750000</v>
      </c>
      <c r="O32" s="66"/>
      <c r="P32" s="66"/>
      <c r="Q32" s="68">
        <v>2385000</v>
      </c>
      <c r="R32" s="84">
        <v>2385000</v>
      </c>
      <c r="S32" s="84">
        <f>Q32+R32</f>
        <v>4770000</v>
      </c>
      <c r="T32" s="54">
        <f>S32/N32*100</f>
        <v>30.285714285714288</v>
      </c>
      <c r="U32" s="43">
        <f t="shared" si="9"/>
        <v>10980000</v>
      </c>
      <c r="V32" s="42"/>
      <c r="W32" s="22"/>
      <c r="X32" s="22">
        <f t="shared" si="1"/>
        <v>15.142857142857144</v>
      </c>
      <c r="Z32" s="22"/>
    </row>
    <row r="33" spans="1:26" x14ac:dyDescent="0.25">
      <c r="A33" s="240"/>
      <c r="B33" s="244"/>
      <c r="C33" s="247"/>
      <c r="D33" s="242"/>
      <c r="E33" s="242"/>
      <c r="F33" s="242"/>
      <c r="G33" s="241"/>
      <c r="H33" s="241"/>
      <c r="I33" s="242"/>
      <c r="J33" s="64"/>
      <c r="K33" s="28"/>
      <c r="L33" s="66"/>
      <c r="M33" s="66"/>
      <c r="N33" s="127"/>
      <c r="O33" s="66"/>
      <c r="P33" s="66"/>
      <c r="Q33" s="68"/>
      <c r="R33" s="29"/>
      <c r="S33" s="29"/>
      <c r="T33" s="32"/>
      <c r="U33" s="43"/>
      <c r="V33" s="42"/>
      <c r="W33" s="22"/>
      <c r="X33" s="22"/>
      <c r="Z33" s="22"/>
    </row>
    <row r="34" spans="1:26" x14ac:dyDescent="0.25">
      <c r="A34" s="240"/>
      <c r="B34" s="244"/>
      <c r="C34" s="247"/>
      <c r="D34" s="242"/>
      <c r="E34" s="242"/>
      <c r="F34" s="242"/>
      <c r="G34" s="241"/>
      <c r="H34" s="241"/>
      <c r="I34" s="242"/>
      <c r="J34" s="64"/>
      <c r="K34" s="56" t="s">
        <v>192</v>
      </c>
      <c r="L34" s="30">
        <v>17255000</v>
      </c>
      <c r="M34" s="30">
        <v>0</v>
      </c>
      <c r="N34" s="126">
        <f t="shared" si="8"/>
        <v>17255000</v>
      </c>
      <c r="O34" s="66"/>
      <c r="P34" s="66"/>
      <c r="Q34" s="68">
        <v>464000</v>
      </c>
      <c r="R34" s="84">
        <v>1774350</v>
      </c>
      <c r="S34" s="84">
        <f>Q34+R34</f>
        <v>2238350</v>
      </c>
      <c r="T34" s="20">
        <f>S34/N34*100</f>
        <v>12.972181976238772</v>
      </c>
      <c r="U34" s="43">
        <f t="shared" si="9"/>
        <v>15016650</v>
      </c>
      <c r="V34" s="42">
        <f t="shared" si="2"/>
        <v>7508325</v>
      </c>
      <c r="W34" s="22"/>
      <c r="X34" s="22">
        <f t="shared" si="1"/>
        <v>2.6890756302521011</v>
      </c>
      <c r="Z34" s="22">
        <f t="shared" si="4"/>
        <v>2.6890756302521011</v>
      </c>
    </row>
    <row r="35" spans="1:26" x14ac:dyDescent="0.25">
      <c r="A35" s="240"/>
      <c r="B35" s="244"/>
      <c r="C35" s="247"/>
      <c r="D35" s="242"/>
      <c r="E35" s="242"/>
      <c r="F35" s="242"/>
      <c r="G35" s="241"/>
      <c r="H35" s="241"/>
      <c r="I35" s="242"/>
      <c r="J35" s="64"/>
      <c r="K35" s="28"/>
      <c r="L35" s="66"/>
      <c r="M35" s="66"/>
      <c r="N35" s="67"/>
      <c r="O35" s="66"/>
      <c r="P35" s="66"/>
      <c r="Q35" s="68"/>
      <c r="R35" s="29"/>
      <c r="S35" s="29"/>
      <c r="T35" s="32"/>
      <c r="U35" s="43"/>
      <c r="V35" s="42">
        <f t="shared" si="2"/>
        <v>0</v>
      </c>
      <c r="W35" s="22"/>
      <c r="X35" s="22"/>
      <c r="Z35" s="22" t="e">
        <f t="shared" si="4"/>
        <v>#DIV/0!</v>
      </c>
    </row>
    <row r="36" spans="1:26" ht="17.25" x14ac:dyDescent="0.3">
      <c r="A36" s="240"/>
      <c r="B36" s="505" t="s">
        <v>244</v>
      </c>
      <c r="C36" s="506"/>
      <c r="D36" s="506"/>
      <c r="E36" s="506"/>
      <c r="F36" s="507"/>
      <c r="G36" s="248"/>
      <c r="H36" s="248"/>
      <c r="I36" s="250"/>
      <c r="J36" s="122"/>
      <c r="K36" s="197" t="s">
        <v>193</v>
      </c>
      <c r="L36" s="52">
        <v>136360000</v>
      </c>
      <c r="M36" s="52">
        <v>0</v>
      </c>
      <c r="N36" s="52">
        <f t="shared" si="8"/>
        <v>136360000</v>
      </c>
      <c r="O36" s="116"/>
      <c r="P36" s="116"/>
      <c r="Q36" s="84">
        <v>9928000</v>
      </c>
      <c r="R36" s="84">
        <v>26092500</v>
      </c>
      <c r="S36" s="84">
        <f>Q36+R36</f>
        <v>36020500</v>
      </c>
      <c r="T36" s="54">
        <f>S36/N36*100</f>
        <v>26.415737753006745</v>
      </c>
      <c r="U36" s="52">
        <f t="shared" si="9"/>
        <v>100339500</v>
      </c>
      <c r="V36" s="42">
        <f t="shared" si="2"/>
        <v>50169750</v>
      </c>
      <c r="W36" s="22">
        <f t="shared" si="10"/>
        <v>7.2807274860662945</v>
      </c>
      <c r="X36" s="22">
        <f t="shared" si="1"/>
        <v>7.2807274860662945</v>
      </c>
      <c r="Z36" s="65">
        <f t="shared" si="4"/>
        <v>7.2807274860662945</v>
      </c>
    </row>
    <row r="37" spans="1:26" x14ac:dyDescent="0.25">
      <c r="A37" s="240"/>
      <c r="B37" s="244"/>
      <c r="C37" s="247"/>
      <c r="D37" s="242"/>
      <c r="E37" s="242"/>
      <c r="F37" s="242"/>
      <c r="G37" s="241"/>
      <c r="H37" s="241"/>
      <c r="I37" s="242"/>
      <c r="J37" s="64"/>
      <c r="K37" s="28"/>
      <c r="L37" s="66"/>
      <c r="M37" s="66"/>
      <c r="N37" s="67"/>
      <c r="O37" s="66"/>
      <c r="P37" s="66"/>
      <c r="Q37" s="68"/>
      <c r="R37" s="29"/>
      <c r="S37" s="29"/>
      <c r="T37" s="32"/>
      <c r="U37" s="43"/>
      <c r="V37" s="42">
        <f t="shared" si="2"/>
        <v>0</v>
      </c>
      <c r="W37" s="22"/>
      <c r="X37" s="22"/>
      <c r="Z37" s="22" t="e">
        <f t="shared" si="4"/>
        <v>#DIV/0!</v>
      </c>
    </row>
    <row r="38" spans="1:26" ht="17.25" x14ac:dyDescent="0.3">
      <c r="A38" s="240"/>
      <c r="B38" s="505" t="s">
        <v>245</v>
      </c>
      <c r="C38" s="506"/>
      <c r="D38" s="506"/>
      <c r="E38" s="506"/>
      <c r="F38" s="507"/>
      <c r="G38" s="248"/>
      <c r="H38" s="248"/>
      <c r="I38" s="250"/>
      <c r="J38" s="122"/>
      <c r="K38" s="197" t="s">
        <v>194</v>
      </c>
      <c r="L38" s="52">
        <v>1980000</v>
      </c>
      <c r="M38" s="52">
        <v>0</v>
      </c>
      <c r="N38" s="52">
        <f t="shared" si="8"/>
        <v>1980000</v>
      </c>
      <c r="O38" s="116"/>
      <c r="P38" s="116"/>
      <c r="Q38" s="84">
        <v>0</v>
      </c>
      <c r="R38" s="84">
        <v>0</v>
      </c>
      <c r="S38" s="84">
        <f>Q38+R38</f>
        <v>0</v>
      </c>
      <c r="T38" s="54">
        <f>S38/N38*100</f>
        <v>0</v>
      </c>
      <c r="U38" s="52">
        <f t="shared" si="9"/>
        <v>1980000</v>
      </c>
      <c r="V38" s="42">
        <f t="shared" si="2"/>
        <v>990000</v>
      </c>
      <c r="W38" s="22">
        <f t="shared" si="10"/>
        <v>0</v>
      </c>
      <c r="X38" s="22">
        <f t="shared" si="1"/>
        <v>0</v>
      </c>
      <c r="Z38" s="65">
        <f t="shared" si="4"/>
        <v>0</v>
      </c>
    </row>
    <row r="39" spans="1:26" x14ac:dyDescent="0.25">
      <c r="A39" s="240"/>
      <c r="B39" s="244"/>
      <c r="C39" s="247"/>
      <c r="D39" s="242"/>
      <c r="E39" s="242"/>
      <c r="F39" s="242"/>
      <c r="G39" s="241"/>
      <c r="H39" s="241"/>
      <c r="I39" s="242"/>
      <c r="J39" s="64"/>
      <c r="K39" s="28"/>
      <c r="L39" s="66"/>
      <c r="M39" s="66"/>
      <c r="N39" s="67"/>
      <c r="O39" s="66"/>
      <c r="P39" s="66"/>
      <c r="Q39" s="68"/>
      <c r="R39" s="29"/>
      <c r="S39" s="29"/>
      <c r="T39" s="32"/>
      <c r="U39" s="43"/>
      <c r="V39" s="42">
        <f t="shared" si="2"/>
        <v>0</v>
      </c>
      <c r="W39" s="22"/>
      <c r="X39" s="22"/>
      <c r="Z39" s="22" t="e">
        <f t="shared" si="4"/>
        <v>#DIV/0!</v>
      </c>
    </row>
    <row r="40" spans="1:26" ht="17.25" x14ac:dyDescent="0.3">
      <c r="A40" s="240"/>
      <c r="B40" s="505" t="s">
        <v>246</v>
      </c>
      <c r="C40" s="506"/>
      <c r="D40" s="506"/>
      <c r="E40" s="506"/>
      <c r="F40" s="507"/>
      <c r="G40" s="248"/>
      <c r="H40" s="248"/>
      <c r="I40" s="250"/>
      <c r="J40" s="122"/>
      <c r="K40" s="197" t="s">
        <v>195</v>
      </c>
      <c r="L40" s="52">
        <v>1700000</v>
      </c>
      <c r="M40" s="52">
        <v>0</v>
      </c>
      <c r="N40" s="52">
        <f t="shared" si="8"/>
        <v>1700000</v>
      </c>
      <c r="O40" s="116"/>
      <c r="P40" s="116"/>
      <c r="Q40" s="84">
        <v>0</v>
      </c>
      <c r="R40" s="84">
        <v>500000</v>
      </c>
      <c r="S40" s="84">
        <f>Q40+R40</f>
        <v>500000</v>
      </c>
      <c r="T40" s="54">
        <f>S40/N40*100</f>
        <v>29.411764705882355</v>
      </c>
      <c r="U40" s="52">
        <f t="shared" si="9"/>
        <v>1200000</v>
      </c>
      <c r="V40" s="42">
        <f t="shared" si="2"/>
        <v>600000</v>
      </c>
      <c r="W40" s="22">
        <f t="shared" si="10"/>
        <v>0</v>
      </c>
      <c r="X40" s="22">
        <f t="shared" si="1"/>
        <v>0</v>
      </c>
      <c r="Z40" s="65">
        <f t="shared" si="4"/>
        <v>0</v>
      </c>
    </row>
    <row r="41" spans="1:26" x14ac:dyDescent="0.25">
      <c r="A41" s="240"/>
      <c r="B41" s="244"/>
      <c r="C41" s="247"/>
      <c r="D41" s="242"/>
      <c r="E41" s="242"/>
      <c r="F41" s="242"/>
      <c r="G41" s="241"/>
      <c r="H41" s="241"/>
      <c r="I41" s="242"/>
      <c r="J41" s="64"/>
      <c r="K41" s="28"/>
      <c r="L41" s="66"/>
      <c r="M41" s="66"/>
      <c r="N41" s="67"/>
      <c r="O41" s="66"/>
      <c r="P41" s="66"/>
      <c r="Q41" s="68"/>
      <c r="R41" s="29"/>
      <c r="S41" s="29"/>
      <c r="T41" s="32"/>
      <c r="U41" s="43"/>
      <c r="V41" s="42">
        <f t="shared" si="2"/>
        <v>0</v>
      </c>
      <c r="W41" s="22"/>
      <c r="X41" s="22"/>
      <c r="Z41" s="22" t="e">
        <f t="shared" si="4"/>
        <v>#DIV/0!</v>
      </c>
    </row>
    <row r="42" spans="1:26" ht="17.25" x14ac:dyDescent="0.3">
      <c r="A42" s="240"/>
      <c r="B42" s="505" t="s">
        <v>246</v>
      </c>
      <c r="C42" s="506"/>
      <c r="D42" s="506"/>
      <c r="E42" s="506"/>
      <c r="F42" s="507"/>
      <c r="G42" s="251"/>
      <c r="H42" s="251"/>
      <c r="I42" s="251"/>
      <c r="J42" s="98"/>
      <c r="K42" s="197" t="s">
        <v>196</v>
      </c>
      <c r="L42" s="131">
        <f>L44+L46+L48</f>
        <v>231900000</v>
      </c>
      <c r="M42" s="131">
        <f>M44+M46+M48</f>
        <v>0</v>
      </c>
      <c r="N42" s="52">
        <f t="shared" si="8"/>
        <v>231900000</v>
      </c>
      <c r="O42" s="116"/>
      <c r="P42" s="116"/>
      <c r="Q42" s="84">
        <v>16251100</v>
      </c>
      <c r="R42" s="84">
        <v>36628149</v>
      </c>
      <c r="S42" s="84">
        <f>Q42+R42</f>
        <v>52879249</v>
      </c>
      <c r="T42" s="54">
        <f>S42/N42*100</f>
        <v>22.802608451918928</v>
      </c>
      <c r="U42" s="52">
        <f t="shared" si="9"/>
        <v>179020751</v>
      </c>
      <c r="V42" s="42">
        <f t="shared" si="2"/>
        <v>89510375.5</v>
      </c>
      <c r="W42" s="22">
        <f t="shared" si="10"/>
        <v>7.0078050884001719</v>
      </c>
      <c r="X42" s="22">
        <f t="shared" si="1"/>
        <v>7.0078050884001719</v>
      </c>
      <c r="Z42" s="22">
        <f t="shared" si="4"/>
        <v>7.0078050884001719</v>
      </c>
    </row>
    <row r="43" spans="1:26" x14ac:dyDescent="0.25">
      <c r="A43" s="240"/>
      <c r="B43" s="244"/>
      <c r="C43" s="247"/>
      <c r="D43" s="242"/>
      <c r="E43" s="242"/>
      <c r="F43" s="242"/>
      <c r="G43" s="241"/>
      <c r="H43" s="241"/>
      <c r="I43" s="242"/>
      <c r="J43" s="64"/>
      <c r="K43" s="28"/>
      <c r="L43" s="66"/>
      <c r="M43" s="66"/>
      <c r="N43" s="67"/>
      <c r="O43" s="66"/>
      <c r="P43" s="66"/>
      <c r="Q43" s="68"/>
      <c r="R43" s="29"/>
      <c r="S43" s="29"/>
      <c r="T43" s="32"/>
      <c r="U43" s="43"/>
      <c r="V43" s="42">
        <f t="shared" si="2"/>
        <v>0</v>
      </c>
      <c r="W43" s="22"/>
      <c r="X43" s="22"/>
      <c r="Z43" s="22" t="e">
        <f t="shared" si="4"/>
        <v>#DIV/0!</v>
      </c>
    </row>
    <row r="44" spans="1:26" x14ac:dyDescent="0.25">
      <c r="A44" s="240"/>
      <c r="B44" s="244"/>
      <c r="C44" s="247"/>
      <c r="D44" s="242"/>
      <c r="E44" s="242"/>
      <c r="F44" s="242"/>
      <c r="G44" s="241"/>
      <c r="H44" s="241"/>
      <c r="I44" s="242"/>
      <c r="J44" s="64"/>
      <c r="K44" s="28" t="s">
        <v>197</v>
      </c>
      <c r="L44" s="66">
        <v>27000000</v>
      </c>
      <c r="M44" s="66">
        <v>0</v>
      </c>
      <c r="N44" s="126">
        <f t="shared" si="8"/>
        <v>27000000</v>
      </c>
      <c r="O44" s="66"/>
      <c r="P44" s="66"/>
      <c r="Q44" s="68">
        <v>1677546</v>
      </c>
      <c r="R44" s="84">
        <v>3326971</v>
      </c>
      <c r="S44" s="84">
        <f>Q44+R44</f>
        <v>5004517</v>
      </c>
      <c r="T44" s="54">
        <f>S44/N44*100</f>
        <v>18.535248148148149</v>
      </c>
      <c r="U44" s="43">
        <f t="shared" si="9"/>
        <v>21995483</v>
      </c>
      <c r="V44" s="42"/>
      <c r="W44" s="22"/>
      <c r="X44" s="22">
        <f t="shared" si="1"/>
        <v>6.2131333333333334</v>
      </c>
      <c r="Z44" s="22"/>
    </row>
    <row r="45" spans="1:26" x14ac:dyDescent="0.25">
      <c r="A45" s="240"/>
      <c r="B45" s="244"/>
      <c r="C45" s="247"/>
      <c r="D45" s="242"/>
      <c r="E45" s="242"/>
      <c r="F45" s="242"/>
      <c r="G45" s="241"/>
      <c r="H45" s="241"/>
      <c r="I45" s="242"/>
      <c r="J45" s="64"/>
      <c r="K45" s="28"/>
      <c r="L45" s="66"/>
      <c r="M45" s="66"/>
      <c r="N45" s="67"/>
      <c r="O45" s="66"/>
      <c r="P45" s="66"/>
      <c r="Q45" s="68"/>
      <c r="R45" s="29"/>
      <c r="S45" s="29"/>
      <c r="T45" s="32"/>
      <c r="U45" s="43"/>
      <c r="V45" s="42"/>
      <c r="W45" s="22"/>
      <c r="X45" s="22"/>
      <c r="Z45" s="22"/>
    </row>
    <row r="46" spans="1:26" x14ac:dyDescent="0.25">
      <c r="A46" s="240"/>
      <c r="B46" s="244"/>
      <c r="C46" s="247"/>
      <c r="D46" s="242"/>
      <c r="E46" s="242"/>
      <c r="F46" s="242"/>
      <c r="G46" s="241"/>
      <c r="H46" s="241"/>
      <c r="I46" s="242"/>
      <c r="J46" s="64"/>
      <c r="K46" s="28" t="s">
        <v>198</v>
      </c>
      <c r="L46" s="66">
        <v>900000</v>
      </c>
      <c r="M46" s="66">
        <v>0</v>
      </c>
      <c r="N46" s="126">
        <f t="shared" si="8"/>
        <v>900000</v>
      </c>
      <c r="O46" s="66"/>
      <c r="P46" s="66"/>
      <c r="Q46" s="68">
        <v>45950</v>
      </c>
      <c r="R46" s="84">
        <v>91900</v>
      </c>
      <c r="S46" s="84">
        <f>Q46+R46</f>
        <v>137850</v>
      </c>
      <c r="T46" s="54">
        <f>S46/N46*100</f>
        <v>15.316666666666666</v>
      </c>
      <c r="U46" s="43">
        <f t="shared" si="9"/>
        <v>762150</v>
      </c>
      <c r="V46" s="42"/>
      <c r="W46" s="22"/>
      <c r="X46" s="22">
        <f t="shared" si="1"/>
        <v>5.1055555555555552</v>
      </c>
      <c r="Z46" s="22"/>
    </row>
    <row r="47" spans="1:26" x14ac:dyDescent="0.25">
      <c r="A47" s="240"/>
      <c r="B47" s="244"/>
      <c r="C47" s="247"/>
      <c r="D47" s="242"/>
      <c r="E47" s="242"/>
      <c r="F47" s="242"/>
      <c r="G47" s="241"/>
      <c r="H47" s="241"/>
      <c r="I47" s="242"/>
      <c r="J47" s="64"/>
      <c r="K47" s="28"/>
      <c r="L47" s="66"/>
      <c r="M47" s="66"/>
      <c r="N47" s="67"/>
      <c r="O47" s="66"/>
      <c r="P47" s="66"/>
      <c r="Q47" s="68"/>
      <c r="R47" s="29"/>
      <c r="S47" s="29"/>
      <c r="T47" s="32"/>
      <c r="U47" s="43"/>
      <c r="V47" s="42"/>
      <c r="W47" s="22"/>
      <c r="X47" s="22"/>
      <c r="Z47" s="22"/>
    </row>
    <row r="48" spans="1:26" x14ac:dyDescent="0.25">
      <c r="A48" s="240"/>
      <c r="B48" s="244"/>
      <c r="C48" s="247"/>
      <c r="D48" s="242"/>
      <c r="E48" s="242"/>
      <c r="F48" s="242"/>
      <c r="G48" s="241"/>
      <c r="H48" s="241"/>
      <c r="I48" s="242"/>
      <c r="J48" s="64"/>
      <c r="K48" s="56" t="s">
        <v>199</v>
      </c>
      <c r="L48" s="30">
        <v>204000000</v>
      </c>
      <c r="M48" s="30">
        <v>0</v>
      </c>
      <c r="N48" s="31">
        <v>204000000</v>
      </c>
      <c r="O48" s="66"/>
      <c r="P48" s="66"/>
      <c r="Q48" s="225">
        <v>14527604</v>
      </c>
      <c r="R48" s="84">
        <v>33209278</v>
      </c>
      <c r="S48" s="84">
        <f>Q48+R48</f>
        <v>47736882</v>
      </c>
      <c r="T48" s="54">
        <f>S48/N48*100</f>
        <v>23.400432352941177</v>
      </c>
      <c r="U48" s="43">
        <f>N48-S48</f>
        <v>156263118</v>
      </c>
      <c r="V48" s="42">
        <f t="shared" si="2"/>
        <v>78131559</v>
      </c>
      <c r="W48" s="22">
        <f t="shared" si="10"/>
        <v>7.1213745098039212</v>
      </c>
      <c r="X48" s="22">
        <f t="shared" si="1"/>
        <v>7.1213745098039212</v>
      </c>
      <c r="Z48" s="22">
        <f t="shared" si="4"/>
        <v>7.1213745098039212</v>
      </c>
    </row>
    <row r="49" spans="1:27" hidden="1" x14ac:dyDescent="0.25">
      <c r="A49" s="240"/>
      <c r="B49" s="244"/>
      <c r="C49" s="247"/>
      <c r="D49" s="242"/>
      <c r="E49" s="242"/>
      <c r="F49" s="242"/>
      <c r="G49" s="241"/>
      <c r="H49" s="241"/>
      <c r="I49" s="242"/>
      <c r="J49" s="64"/>
      <c r="K49" s="28"/>
      <c r="L49" s="66"/>
      <c r="M49" s="66"/>
      <c r="N49" s="67"/>
      <c r="O49" s="66"/>
      <c r="P49" s="66"/>
      <c r="Q49" s="68"/>
      <c r="R49" s="29"/>
      <c r="S49" s="29"/>
      <c r="T49" s="32"/>
      <c r="U49" s="43"/>
      <c r="V49" s="42">
        <f t="shared" si="2"/>
        <v>0</v>
      </c>
      <c r="W49" s="22"/>
      <c r="X49" s="22"/>
      <c r="Z49" s="22" t="e">
        <f t="shared" si="4"/>
        <v>#DIV/0!</v>
      </c>
    </row>
    <row r="50" spans="1:27" ht="17.25" x14ac:dyDescent="0.3">
      <c r="A50" s="240"/>
      <c r="B50" s="505" t="s">
        <v>247</v>
      </c>
      <c r="C50" s="506"/>
      <c r="D50" s="506"/>
      <c r="E50" s="506"/>
      <c r="F50" s="507"/>
      <c r="G50" s="251"/>
      <c r="H50" s="251"/>
      <c r="I50" s="251"/>
      <c r="J50" s="98"/>
      <c r="K50" s="197" t="s">
        <v>200</v>
      </c>
      <c r="L50" s="131">
        <f>L52+L54+L56+L58+L60</f>
        <v>727622000</v>
      </c>
      <c r="M50" s="131">
        <f>M52+M54+M56+M58+M60</f>
        <v>0</v>
      </c>
      <c r="N50" s="52">
        <f t="shared" si="8"/>
        <v>727622000</v>
      </c>
      <c r="O50" s="116"/>
      <c r="P50" s="116"/>
      <c r="Q50" s="120">
        <v>54478880</v>
      </c>
      <c r="R50" s="121">
        <v>116618602</v>
      </c>
      <c r="S50" s="121">
        <f>Q50+R50</f>
        <v>171097482</v>
      </c>
      <c r="T50" s="54">
        <f>S50/N50*100</f>
        <v>23.514610883123378</v>
      </c>
      <c r="U50" s="117">
        <f t="shared" si="9"/>
        <v>556524518</v>
      </c>
      <c r="V50" s="42">
        <f t="shared" si="2"/>
        <v>278262259</v>
      </c>
      <c r="W50" s="22">
        <f t="shared" si="10"/>
        <v>7.4872502480683654</v>
      </c>
      <c r="X50" s="22">
        <f t="shared" si="1"/>
        <v>7.4872502480683654</v>
      </c>
      <c r="Z50" s="65">
        <f t="shared" si="4"/>
        <v>7.4872502480683654</v>
      </c>
    </row>
    <row r="51" spans="1:27" x14ac:dyDescent="0.25">
      <c r="A51" s="240"/>
      <c r="B51" s="244"/>
      <c r="C51" s="247"/>
      <c r="D51" s="242"/>
      <c r="E51" s="242"/>
      <c r="F51" s="242"/>
      <c r="G51" s="241"/>
      <c r="H51" s="241"/>
      <c r="I51" s="242"/>
      <c r="J51" s="64"/>
      <c r="K51" s="28"/>
      <c r="L51" s="66"/>
      <c r="M51" s="30"/>
      <c r="N51" s="67"/>
      <c r="O51" s="66"/>
      <c r="P51" s="66"/>
      <c r="Q51" s="68"/>
      <c r="R51" s="29"/>
      <c r="S51" s="29"/>
      <c r="T51" s="32"/>
      <c r="U51" s="43"/>
      <c r="V51" s="42">
        <f t="shared" si="2"/>
        <v>0</v>
      </c>
      <c r="W51" s="22"/>
      <c r="X51" s="22"/>
      <c r="Z51" s="22" t="e">
        <f t="shared" si="4"/>
        <v>#DIV/0!</v>
      </c>
    </row>
    <row r="52" spans="1:27" hidden="1" x14ac:dyDescent="0.25">
      <c r="A52" s="240"/>
      <c r="B52" s="244"/>
      <c r="C52" s="247"/>
      <c r="D52" s="242"/>
      <c r="E52" s="242"/>
      <c r="F52" s="242"/>
      <c r="G52" s="241"/>
      <c r="H52" s="241"/>
      <c r="I52" s="242"/>
      <c r="J52" s="64"/>
      <c r="K52" s="56" t="s">
        <v>201</v>
      </c>
      <c r="L52" s="66">
        <v>3300000</v>
      </c>
      <c r="M52" s="30">
        <v>0</v>
      </c>
      <c r="N52" s="126">
        <f t="shared" si="8"/>
        <v>3300000</v>
      </c>
      <c r="O52" s="66"/>
      <c r="P52" s="66"/>
      <c r="Q52" s="68">
        <v>0</v>
      </c>
      <c r="R52" s="84">
        <v>275000</v>
      </c>
      <c r="S52" s="84">
        <f>Q52+R52</f>
        <v>275000</v>
      </c>
      <c r="T52" s="54">
        <f>S52/N52*100</f>
        <v>8.3333333333333321</v>
      </c>
      <c r="U52" s="43">
        <f t="shared" si="9"/>
        <v>3025000</v>
      </c>
      <c r="V52" s="42"/>
      <c r="W52" s="22"/>
      <c r="X52" s="22">
        <f t="shared" si="1"/>
        <v>0</v>
      </c>
      <c r="Z52" s="22"/>
    </row>
    <row r="53" spans="1:27" hidden="1" x14ac:dyDescent="0.25">
      <c r="A53" s="240"/>
      <c r="B53" s="244"/>
      <c r="C53" s="247"/>
      <c r="D53" s="242"/>
      <c r="E53" s="242"/>
      <c r="F53" s="242"/>
      <c r="G53" s="241"/>
      <c r="H53" s="241"/>
      <c r="I53" s="242"/>
      <c r="J53" s="64"/>
      <c r="K53" s="56"/>
      <c r="L53" s="66"/>
      <c r="M53" s="30"/>
      <c r="N53" s="67"/>
      <c r="O53" s="66"/>
      <c r="P53" s="66"/>
      <c r="Q53" s="68"/>
      <c r="R53" s="29"/>
      <c r="S53" s="29"/>
      <c r="T53" s="32"/>
      <c r="U53" s="43"/>
      <c r="V53" s="42"/>
      <c r="W53" s="22"/>
      <c r="X53" s="22"/>
      <c r="Z53" s="22"/>
    </row>
    <row r="54" spans="1:27" hidden="1" x14ac:dyDescent="0.25">
      <c r="A54" s="240"/>
      <c r="B54" s="244"/>
      <c r="C54" s="247"/>
      <c r="D54" s="242"/>
      <c r="E54" s="242"/>
      <c r="F54" s="242"/>
      <c r="G54" s="241"/>
      <c r="H54" s="241"/>
      <c r="I54" s="242"/>
      <c r="J54" s="64"/>
      <c r="K54" s="56" t="s">
        <v>202</v>
      </c>
      <c r="L54" s="66">
        <v>314472000</v>
      </c>
      <c r="M54" s="30">
        <v>0</v>
      </c>
      <c r="N54" s="126">
        <f t="shared" si="8"/>
        <v>314472000</v>
      </c>
      <c r="O54" s="66"/>
      <c r="P54" s="66"/>
      <c r="Q54" s="76">
        <v>27483733</v>
      </c>
      <c r="R54" s="84">
        <v>51502466</v>
      </c>
      <c r="S54" s="84">
        <f>Q54+R54</f>
        <v>78986199</v>
      </c>
      <c r="T54" s="54">
        <f>S54/N54*100</f>
        <v>25.117084827902008</v>
      </c>
      <c r="U54" s="43">
        <f t="shared" si="9"/>
        <v>235485801</v>
      </c>
      <c r="V54" s="42"/>
      <c r="W54" s="22"/>
      <c r="X54" s="22">
        <f t="shared" si="1"/>
        <v>8.7396439110636237</v>
      </c>
      <c r="Z54" s="22"/>
    </row>
    <row r="55" spans="1:27" hidden="1" x14ac:dyDescent="0.25">
      <c r="A55" s="240"/>
      <c r="B55" s="244"/>
      <c r="C55" s="247"/>
      <c r="D55" s="242"/>
      <c r="E55" s="242"/>
      <c r="F55" s="242"/>
      <c r="G55" s="241"/>
      <c r="H55" s="241"/>
      <c r="I55" s="242"/>
      <c r="J55" s="64"/>
      <c r="K55" s="56"/>
      <c r="L55" s="66"/>
      <c r="M55" s="30"/>
      <c r="N55" s="67"/>
      <c r="O55" s="66"/>
      <c r="P55" s="66"/>
      <c r="Q55" s="68"/>
      <c r="R55" s="29"/>
      <c r="S55" s="29"/>
      <c r="T55" s="32"/>
      <c r="U55" s="43"/>
      <c r="V55" s="42"/>
      <c r="W55" s="22"/>
      <c r="X55" s="22"/>
      <c r="Z55" s="22"/>
    </row>
    <row r="56" spans="1:27" hidden="1" x14ac:dyDescent="0.25">
      <c r="A56" s="240"/>
      <c r="B56" s="244"/>
      <c r="C56" s="247"/>
      <c r="D56" s="242"/>
      <c r="E56" s="242"/>
      <c r="F56" s="242"/>
      <c r="G56" s="241"/>
      <c r="H56" s="241"/>
      <c r="I56" s="242"/>
      <c r="J56" s="64"/>
      <c r="K56" s="56" t="s">
        <v>203</v>
      </c>
      <c r="L56" s="66">
        <v>357430000</v>
      </c>
      <c r="M56" s="30">
        <v>0</v>
      </c>
      <c r="N56" s="126">
        <f t="shared" si="8"/>
        <v>357430000</v>
      </c>
      <c r="O56" s="66"/>
      <c r="P56" s="66"/>
      <c r="Q56" s="76">
        <v>30269468</v>
      </c>
      <c r="R56" s="84">
        <v>56578946</v>
      </c>
      <c r="S56" s="84">
        <f>Q56+R56</f>
        <v>86848414</v>
      </c>
      <c r="T56" s="54">
        <f>S56/N56*100</f>
        <v>24.298020311669418</v>
      </c>
      <c r="U56" s="43">
        <f t="shared" si="9"/>
        <v>270581586</v>
      </c>
      <c r="V56" s="42"/>
      <c r="W56" s="22"/>
      <c r="X56" s="22">
        <f t="shared" si="1"/>
        <v>8.4686422516296886</v>
      </c>
      <c r="Z56" s="22"/>
    </row>
    <row r="57" spans="1:27" hidden="1" x14ac:dyDescent="0.25">
      <c r="A57" s="240"/>
      <c r="B57" s="244"/>
      <c r="C57" s="247"/>
      <c r="D57" s="242"/>
      <c r="E57" s="242"/>
      <c r="F57" s="242"/>
      <c r="G57" s="241"/>
      <c r="H57" s="241"/>
      <c r="I57" s="242"/>
      <c r="J57" s="64"/>
      <c r="K57" s="56"/>
      <c r="L57" s="66"/>
      <c r="M57" s="30"/>
      <c r="N57" s="67"/>
      <c r="O57" s="66"/>
      <c r="P57" s="66"/>
      <c r="Q57" s="68"/>
      <c r="R57" s="29"/>
      <c r="S57" s="29"/>
      <c r="T57" s="32"/>
      <c r="U57" s="43"/>
      <c r="V57" s="42"/>
      <c r="W57" s="22"/>
      <c r="X57" s="22"/>
      <c r="Z57" s="22"/>
    </row>
    <row r="58" spans="1:27" hidden="1" x14ac:dyDescent="0.25">
      <c r="A58" s="240"/>
      <c r="B58" s="244"/>
      <c r="C58" s="247"/>
      <c r="D58" s="242"/>
      <c r="E58" s="242"/>
      <c r="F58" s="242"/>
      <c r="G58" s="241"/>
      <c r="H58" s="241"/>
      <c r="I58" s="242"/>
      <c r="J58" s="64"/>
      <c r="K58" s="56" t="s">
        <v>204</v>
      </c>
      <c r="L58" s="66">
        <v>10800000</v>
      </c>
      <c r="M58" s="30">
        <v>0</v>
      </c>
      <c r="N58" s="126">
        <f t="shared" si="8"/>
        <v>10800000</v>
      </c>
      <c r="O58" s="66"/>
      <c r="P58" s="66"/>
      <c r="Q58" s="68">
        <v>900000</v>
      </c>
      <c r="R58" s="84">
        <v>1800000</v>
      </c>
      <c r="S58" s="84">
        <f>Q58+R58</f>
        <v>2700000</v>
      </c>
      <c r="T58" s="54">
        <f>S58/N58*100</f>
        <v>25</v>
      </c>
      <c r="U58" s="43">
        <f t="shared" si="9"/>
        <v>8100000</v>
      </c>
      <c r="V58" s="42"/>
      <c r="W58" s="22"/>
      <c r="X58" s="22">
        <f t="shared" si="1"/>
        <v>8.3333333333333321</v>
      </c>
      <c r="Z58" s="22"/>
    </row>
    <row r="59" spans="1:27" hidden="1" x14ac:dyDescent="0.25">
      <c r="A59" s="240"/>
      <c r="B59" s="244"/>
      <c r="C59" s="247"/>
      <c r="D59" s="242"/>
      <c r="E59" s="242"/>
      <c r="F59" s="242"/>
      <c r="G59" s="241"/>
      <c r="H59" s="241"/>
      <c r="I59" s="242"/>
      <c r="J59" s="64"/>
      <c r="K59" s="28"/>
      <c r="L59" s="66"/>
      <c r="M59" s="30"/>
      <c r="N59" s="67"/>
      <c r="O59" s="66"/>
      <c r="P59" s="66"/>
      <c r="Q59" s="68"/>
      <c r="R59" s="29"/>
      <c r="S59" s="29"/>
      <c r="T59" s="32"/>
      <c r="U59" s="43"/>
      <c r="V59" s="42"/>
      <c r="W59" s="22"/>
      <c r="X59" s="22"/>
      <c r="Z59" s="22"/>
    </row>
    <row r="60" spans="1:27" hidden="1" x14ac:dyDescent="0.25">
      <c r="A60" s="240"/>
      <c r="B60" s="244"/>
      <c r="C60" s="247"/>
      <c r="D60" s="242"/>
      <c r="E60" s="242"/>
      <c r="F60" s="242"/>
      <c r="G60" s="241"/>
      <c r="H60" s="241"/>
      <c r="I60" s="242"/>
      <c r="J60" s="64"/>
      <c r="K60" s="56" t="s">
        <v>205</v>
      </c>
      <c r="L60" s="30">
        <v>41620000</v>
      </c>
      <c r="M60" s="30">
        <v>0</v>
      </c>
      <c r="N60" s="126">
        <f t="shared" si="8"/>
        <v>41620000</v>
      </c>
      <c r="O60" s="66"/>
      <c r="P60" s="66"/>
      <c r="Q60" s="226">
        <v>3346648</v>
      </c>
      <c r="R60" s="84">
        <v>6462190</v>
      </c>
      <c r="S60" s="84">
        <f>Q60+R60</f>
        <v>9808838</v>
      </c>
      <c r="T60" s="54">
        <f>S60/N60*100</f>
        <v>23.567606919750119</v>
      </c>
      <c r="U60" s="117">
        <f t="shared" si="9"/>
        <v>31811162</v>
      </c>
      <c r="V60" s="42">
        <f t="shared" si="2"/>
        <v>15905581</v>
      </c>
      <c r="W60" s="22">
        <f t="shared" si="10"/>
        <v>8.0409610764055746</v>
      </c>
      <c r="X60" s="22">
        <f t="shared" si="1"/>
        <v>8.0409610764055746</v>
      </c>
      <c r="Z60" s="22">
        <f t="shared" si="4"/>
        <v>8.0409610764055746</v>
      </c>
    </row>
    <row r="61" spans="1:27" hidden="1" x14ac:dyDescent="0.25">
      <c r="A61" s="240"/>
      <c r="B61" s="244"/>
      <c r="C61" s="247"/>
      <c r="D61" s="242"/>
      <c r="E61" s="242"/>
      <c r="F61" s="242"/>
      <c r="G61" s="241"/>
      <c r="H61" s="241"/>
      <c r="I61" s="242"/>
      <c r="J61" s="64"/>
      <c r="K61" s="28"/>
      <c r="L61" s="66"/>
      <c r="M61" s="66"/>
      <c r="N61" s="67"/>
      <c r="O61" s="66"/>
      <c r="P61" s="66"/>
      <c r="Q61" s="68"/>
      <c r="R61" s="29"/>
      <c r="S61" s="29"/>
      <c r="T61" s="32"/>
      <c r="U61" s="43"/>
      <c r="V61" s="42">
        <f t="shared" si="2"/>
        <v>0</v>
      </c>
      <c r="W61" s="22"/>
      <c r="X61" s="22"/>
      <c r="Z61" s="22" t="e">
        <f t="shared" si="4"/>
        <v>#DIV/0!</v>
      </c>
    </row>
    <row r="62" spans="1:27" ht="17.25" x14ac:dyDescent="0.3">
      <c r="A62" s="240"/>
      <c r="B62" s="505" t="s">
        <v>248</v>
      </c>
      <c r="C62" s="506"/>
      <c r="D62" s="506"/>
      <c r="E62" s="506"/>
      <c r="F62" s="507"/>
      <c r="G62" s="248"/>
      <c r="H62" s="248"/>
      <c r="I62" s="250"/>
      <c r="J62" s="122"/>
      <c r="K62" s="198" t="s">
        <v>206</v>
      </c>
      <c r="L62" s="52">
        <f>L64+L66+L68+L70+L72</f>
        <v>108870000</v>
      </c>
      <c r="M62" s="52">
        <f>M70+M72</f>
        <v>0</v>
      </c>
      <c r="N62" s="52">
        <f t="shared" si="8"/>
        <v>108870000</v>
      </c>
      <c r="O62" s="116"/>
      <c r="P62" s="116"/>
      <c r="Q62" s="84">
        <v>5165000</v>
      </c>
      <c r="R62" s="84">
        <v>20934630</v>
      </c>
      <c r="S62" s="84">
        <f>Q62+R62</f>
        <v>26099630</v>
      </c>
      <c r="T62" s="54">
        <f>S62/N62*100</f>
        <v>23.973206576651052</v>
      </c>
      <c r="U62" s="52">
        <f t="shared" si="9"/>
        <v>82770370</v>
      </c>
      <c r="V62" s="42">
        <f t="shared" si="2"/>
        <v>41385185</v>
      </c>
      <c r="W62" s="22">
        <f t="shared" si="10"/>
        <v>4.7441903187287586</v>
      </c>
      <c r="X62" s="22">
        <f t="shared" si="1"/>
        <v>4.7441903187287586</v>
      </c>
      <c r="Z62" s="65">
        <f t="shared" si="4"/>
        <v>4.7441903187287586</v>
      </c>
      <c r="AA62" s="1" t="s">
        <v>114</v>
      </c>
    </row>
    <row r="63" spans="1:27" x14ac:dyDescent="0.25">
      <c r="A63" s="240"/>
      <c r="B63" s="244"/>
      <c r="C63" s="247"/>
      <c r="D63" s="242"/>
      <c r="E63" s="242"/>
      <c r="F63" s="242"/>
      <c r="G63" s="241"/>
      <c r="H63" s="241"/>
      <c r="I63" s="242"/>
      <c r="J63" s="64"/>
      <c r="K63" s="28"/>
      <c r="L63" s="66"/>
      <c r="M63" s="66"/>
      <c r="N63" s="67"/>
      <c r="O63" s="66"/>
      <c r="P63" s="66"/>
      <c r="Q63" s="68"/>
      <c r="R63" s="29"/>
      <c r="S63" s="29"/>
      <c r="T63" s="32"/>
      <c r="U63" s="43"/>
      <c r="V63" s="42">
        <f t="shared" si="2"/>
        <v>0</v>
      </c>
      <c r="W63" s="22"/>
      <c r="X63" s="22"/>
      <c r="Z63" s="22" t="e">
        <f t="shared" si="4"/>
        <v>#DIV/0!</v>
      </c>
    </row>
    <row r="64" spans="1:27" hidden="1" x14ac:dyDescent="0.25">
      <c r="A64" s="240"/>
      <c r="B64" s="244"/>
      <c r="C64" s="247"/>
      <c r="D64" s="242"/>
      <c r="E64" s="242"/>
      <c r="F64" s="242"/>
      <c r="G64" s="241"/>
      <c r="H64" s="241"/>
      <c r="I64" s="242"/>
      <c r="J64" s="64"/>
      <c r="K64" s="28" t="s">
        <v>207</v>
      </c>
      <c r="L64" s="66">
        <v>60090000</v>
      </c>
      <c r="M64" s="66">
        <v>0</v>
      </c>
      <c r="N64" s="126">
        <f t="shared" si="8"/>
        <v>60090000</v>
      </c>
      <c r="O64" s="66"/>
      <c r="P64" s="66"/>
      <c r="Q64" s="68">
        <v>5000000</v>
      </c>
      <c r="R64" s="84">
        <v>10000000</v>
      </c>
      <c r="S64" s="84">
        <f>Q64+R64</f>
        <v>15000000</v>
      </c>
      <c r="T64" s="54">
        <f>S64/N64*100</f>
        <v>24.962556165751373</v>
      </c>
      <c r="U64" s="43">
        <f t="shared" si="9"/>
        <v>45090000</v>
      </c>
      <c r="V64" s="42"/>
      <c r="W64" s="22"/>
      <c r="X64" s="22">
        <f t="shared" si="1"/>
        <v>8.320852055250457</v>
      </c>
      <c r="Z64" s="22"/>
    </row>
    <row r="65" spans="1:26" x14ac:dyDescent="0.25">
      <c r="A65" s="240"/>
      <c r="B65" s="244"/>
      <c r="C65" s="247"/>
      <c r="D65" s="242"/>
      <c r="E65" s="242"/>
      <c r="F65" s="242"/>
      <c r="G65" s="241"/>
      <c r="H65" s="241"/>
      <c r="I65" s="242"/>
      <c r="J65" s="64"/>
      <c r="K65" s="28"/>
      <c r="L65" s="66"/>
      <c r="M65" s="66"/>
      <c r="N65" s="67"/>
      <c r="O65" s="66"/>
      <c r="P65" s="66"/>
      <c r="Q65" s="68"/>
      <c r="R65" s="29"/>
      <c r="S65" s="29"/>
      <c r="T65" s="32"/>
      <c r="U65" s="43"/>
      <c r="V65" s="42"/>
      <c r="W65" s="22"/>
      <c r="X65" s="22"/>
      <c r="Z65" s="22"/>
    </row>
    <row r="66" spans="1:26" x14ac:dyDescent="0.25">
      <c r="A66" s="240"/>
      <c r="B66" s="244"/>
      <c r="C66" s="247"/>
      <c r="D66" s="242"/>
      <c r="E66" s="242"/>
      <c r="F66" s="242"/>
      <c r="G66" s="241"/>
      <c r="H66" s="241"/>
      <c r="I66" s="242"/>
      <c r="J66" s="64"/>
      <c r="K66" s="28" t="s">
        <v>208</v>
      </c>
      <c r="L66" s="66">
        <v>25700000</v>
      </c>
      <c r="M66" s="66">
        <v>0</v>
      </c>
      <c r="N66" s="126">
        <f t="shared" si="8"/>
        <v>25700000</v>
      </c>
      <c r="O66" s="66"/>
      <c r="P66" s="66"/>
      <c r="Q66" s="76">
        <v>0</v>
      </c>
      <c r="R66" s="84">
        <v>6665744</v>
      </c>
      <c r="S66" s="84">
        <f>Q66+R66</f>
        <v>6665744</v>
      </c>
      <c r="T66" s="54">
        <f>S66/N66*100</f>
        <v>25.936747081712063</v>
      </c>
      <c r="U66" s="43">
        <f t="shared" si="9"/>
        <v>19034256</v>
      </c>
      <c r="V66" s="42"/>
      <c r="W66" s="22"/>
      <c r="X66" s="22">
        <f t="shared" si="1"/>
        <v>0</v>
      </c>
      <c r="Z66" s="22"/>
    </row>
    <row r="67" spans="1:26" x14ac:dyDescent="0.25">
      <c r="A67" s="240"/>
      <c r="B67" s="244"/>
      <c r="C67" s="247"/>
      <c r="D67" s="242"/>
      <c r="E67" s="242"/>
      <c r="F67" s="242"/>
      <c r="G67" s="241"/>
      <c r="H67" s="241"/>
      <c r="I67" s="242"/>
      <c r="J67" s="64"/>
      <c r="K67" s="28"/>
      <c r="L67" s="66"/>
      <c r="M67" s="66"/>
      <c r="N67" s="67"/>
      <c r="O67" s="66"/>
      <c r="P67" s="66"/>
      <c r="Q67" s="68"/>
      <c r="R67" s="29"/>
      <c r="S67" s="29"/>
      <c r="T67" s="32"/>
      <c r="U67" s="43"/>
      <c r="V67" s="42"/>
      <c r="W67" s="22"/>
      <c r="X67" s="22"/>
      <c r="Z67" s="22"/>
    </row>
    <row r="68" spans="1:26" x14ac:dyDescent="0.25">
      <c r="A68" s="240"/>
      <c r="B68" s="244"/>
      <c r="C68" s="247"/>
      <c r="D68" s="242"/>
      <c r="E68" s="242"/>
      <c r="F68" s="242"/>
      <c r="G68" s="241"/>
      <c r="H68" s="241"/>
      <c r="I68" s="242"/>
      <c r="J68" s="64"/>
      <c r="K68" s="28" t="s">
        <v>209</v>
      </c>
      <c r="L68" s="66">
        <v>11180000</v>
      </c>
      <c r="M68" s="66">
        <v>0</v>
      </c>
      <c r="N68" s="126">
        <f t="shared" si="8"/>
        <v>11180000</v>
      </c>
      <c r="O68" s="66"/>
      <c r="P68" s="66"/>
      <c r="Q68" s="227">
        <v>0</v>
      </c>
      <c r="R68" s="84">
        <v>4268886</v>
      </c>
      <c r="S68" s="84">
        <f>Q68+R68</f>
        <v>4268886</v>
      </c>
      <c r="T68" s="54">
        <f>S68/N68*100</f>
        <v>38.183237924865828</v>
      </c>
      <c r="U68" s="43">
        <f t="shared" si="9"/>
        <v>6911114</v>
      </c>
      <c r="V68" s="42"/>
      <c r="W68" s="22"/>
      <c r="X68" s="22">
        <f t="shared" si="1"/>
        <v>0</v>
      </c>
      <c r="Z68" s="22"/>
    </row>
    <row r="69" spans="1:26" x14ac:dyDescent="0.25">
      <c r="A69" s="240"/>
      <c r="B69" s="244"/>
      <c r="C69" s="247"/>
      <c r="D69" s="242"/>
      <c r="E69" s="242"/>
      <c r="F69" s="242"/>
      <c r="G69" s="241"/>
      <c r="H69" s="241"/>
      <c r="I69" s="242"/>
      <c r="J69" s="64"/>
      <c r="K69" s="28"/>
      <c r="L69" s="66"/>
      <c r="M69" s="66"/>
      <c r="N69" s="67"/>
      <c r="O69" s="66"/>
      <c r="P69" s="66"/>
      <c r="Q69" s="68"/>
      <c r="R69" s="29"/>
      <c r="S69" s="29"/>
      <c r="T69" s="32"/>
      <c r="U69" s="43"/>
      <c r="V69" s="42"/>
      <c r="W69" s="22"/>
      <c r="X69" s="22"/>
      <c r="Z69" s="22"/>
    </row>
    <row r="70" spans="1:26" x14ac:dyDescent="0.25">
      <c r="A70" s="240"/>
      <c r="B70" s="244"/>
      <c r="C70" s="247"/>
      <c r="D70" s="242"/>
      <c r="E70" s="242"/>
      <c r="F70" s="242"/>
      <c r="G70" s="241"/>
      <c r="H70" s="241"/>
      <c r="I70" s="242"/>
      <c r="J70" s="64"/>
      <c r="K70" s="56" t="s">
        <v>210</v>
      </c>
      <c r="L70" s="30">
        <v>11500000</v>
      </c>
      <c r="M70" s="30">
        <v>0</v>
      </c>
      <c r="N70" s="126">
        <f t="shared" si="8"/>
        <v>11500000</v>
      </c>
      <c r="O70" s="66"/>
      <c r="P70" s="66"/>
      <c r="Q70" s="76">
        <v>0</v>
      </c>
      <c r="R70" s="84">
        <v>0</v>
      </c>
      <c r="S70" s="84">
        <f>Q70+R70</f>
        <v>0</v>
      </c>
      <c r="T70" s="20">
        <f>S70/N70*100</f>
        <v>0</v>
      </c>
      <c r="U70" s="117">
        <f t="shared" si="9"/>
        <v>11500000</v>
      </c>
      <c r="V70" s="42">
        <f t="shared" si="2"/>
        <v>5750000</v>
      </c>
      <c r="W70" s="22">
        <f t="shared" si="10"/>
        <v>0</v>
      </c>
      <c r="X70" s="22">
        <f t="shared" si="1"/>
        <v>0</v>
      </c>
      <c r="Z70" s="22">
        <f t="shared" si="4"/>
        <v>0</v>
      </c>
    </row>
    <row r="71" spans="1:26" x14ac:dyDescent="0.25">
      <c r="A71" s="240"/>
      <c r="B71" s="244"/>
      <c r="C71" s="247"/>
      <c r="D71" s="242"/>
      <c r="E71" s="242"/>
      <c r="F71" s="242"/>
      <c r="G71" s="241"/>
      <c r="H71" s="241"/>
      <c r="I71" s="242"/>
      <c r="J71" s="64"/>
      <c r="K71" s="56"/>
      <c r="L71" s="30" t="s">
        <v>212</v>
      </c>
      <c r="M71" s="30"/>
      <c r="N71" s="67"/>
      <c r="O71" s="66"/>
      <c r="P71" s="66"/>
      <c r="Q71" s="29"/>
      <c r="R71" s="29"/>
      <c r="S71" s="29"/>
      <c r="T71" s="32"/>
      <c r="U71" s="43"/>
      <c r="V71" s="42">
        <f t="shared" si="2"/>
        <v>0</v>
      </c>
      <c r="W71" s="22"/>
      <c r="X71" s="22"/>
      <c r="Z71" s="22" t="e">
        <f t="shared" si="4"/>
        <v>#DIV/0!</v>
      </c>
    </row>
    <row r="72" spans="1:26" x14ac:dyDescent="0.25">
      <c r="A72" s="240"/>
      <c r="B72" s="244"/>
      <c r="C72" s="247"/>
      <c r="D72" s="242"/>
      <c r="E72" s="242"/>
      <c r="F72" s="242"/>
      <c r="G72" s="241"/>
      <c r="H72" s="241"/>
      <c r="I72" s="242"/>
      <c r="J72" s="64"/>
      <c r="K72" s="56" t="s">
        <v>211</v>
      </c>
      <c r="L72" s="30">
        <v>400000</v>
      </c>
      <c r="M72" s="30">
        <v>0</v>
      </c>
      <c r="N72" s="126">
        <f t="shared" si="8"/>
        <v>400000</v>
      </c>
      <c r="O72" s="66"/>
      <c r="P72" s="66"/>
      <c r="Q72" s="29">
        <v>165000</v>
      </c>
      <c r="R72" s="84">
        <v>0</v>
      </c>
      <c r="S72" s="84">
        <f>Q72+R72</f>
        <v>165000</v>
      </c>
      <c r="T72" s="20">
        <f>S72/N72*100</f>
        <v>41.25</v>
      </c>
      <c r="U72" s="43">
        <f t="shared" si="9"/>
        <v>235000</v>
      </c>
      <c r="V72" s="42">
        <f t="shared" si="2"/>
        <v>117500</v>
      </c>
      <c r="W72" s="22">
        <f t="shared" si="10"/>
        <v>41.25</v>
      </c>
      <c r="X72" s="22">
        <f t="shared" si="1"/>
        <v>41.25</v>
      </c>
      <c r="Z72" s="22">
        <f t="shared" si="4"/>
        <v>41.25</v>
      </c>
    </row>
    <row r="73" spans="1:26" x14ac:dyDescent="0.25">
      <c r="A73" s="240"/>
      <c r="B73" s="244"/>
      <c r="C73" s="247"/>
      <c r="D73" s="242"/>
      <c r="E73" s="242"/>
      <c r="F73" s="242"/>
      <c r="G73" s="241"/>
      <c r="H73" s="241"/>
      <c r="I73" s="242"/>
      <c r="J73" s="64"/>
      <c r="K73" s="28"/>
      <c r="L73" s="66"/>
      <c r="M73" s="66"/>
      <c r="N73" s="67"/>
      <c r="O73" s="66"/>
      <c r="P73" s="66"/>
      <c r="Q73" s="68"/>
      <c r="R73" s="29"/>
      <c r="S73" s="29"/>
      <c r="T73" s="32"/>
      <c r="U73" s="43"/>
      <c r="V73" s="42">
        <f t="shared" si="2"/>
        <v>0</v>
      </c>
      <c r="W73" s="22"/>
      <c r="X73" s="22"/>
      <c r="Z73" s="22" t="e">
        <f t="shared" si="4"/>
        <v>#DIV/0!</v>
      </c>
    </row>
    <row r="74" spans="1:26" ht="17.25" x14ac:dyDescent="0.3">
      <c r="A74" s="240"/>
      <c r="B74" s="505" t="s">
        <v>249</v>
      </c>
      <c r="C74" s="506"/>
      <c r="D74" s="506"/>
      <c r="E74" s="506"/>
      <c r="F74" s="507"/>
      <c r="G74" s="248"/>
      <c r="H74" s="248"/>
      <c r="I74" s="250"/>
      <c r="J74" s="122"/>
      <c r="K74" s="197" t="s">
        <v>213</v>
      </c>
      <c r="L74" s="52">
        <v>1000000</v>
      </c>
      <c r="M74" s="52">
        <v>0</v>
      </c>
      <c r="N74" s="52">
        <f t="shared" si="8"/>
        <v>1000000</v>
      </c>
      <c r="O74" s="116"/>
      <c r="P74" s="116"/>
      <c r="Q74" s="84">
        <v>0</v>
      </c>
      <c r="R74" s="84">
        <v>500000</v>
      </c>
      <c r="S74" s="84">
        <f>Q74+R74</f>
        <v>500000</v>
      </c>
      <c r="T74" s="54">
        <f>S74/N74*100</f>
        <v>50</v>
      </c>
      <c r="U74" s="52">
        <f t="shared" si="9"/>
        <v>500000</v>
      </c>
      <c r="V74" s="42">
        <f t="shared" si="2"/>
        <v>250000</v>
      </c>
      <c r="W74" s="22">
        <f t="shared" si="10"/>
        <v>0</v>
      </c>
      <c r="X74" s="22">
        <f t="shared" si="1"/>
        <v>0</v>
      </c>
      <c r="Z74" s="65">
        <f t="shared" si="4"/>
        <v>0</v>
      </c>
    </row>
    <row r="75" spans="1:26" x14ac:dyDescent="0.25">
      <c r="A75" s="240"/>
      <c r="B75" s="244"/>
      <c r="C75" s="247"/>
      <c r="D75" s="242"/>
      <c r="E75" s="242"/>
      <c r="F75" s="242"/>
      <c r="G75" s="241"/>
      <c r="H75" s="241"/>
      <c r="I75" s="242"/>
      <c r="J75" s="64"/>
      <c r="K75" s="28"/>
      <c r="L75" s="66"/>
      <c r="M75" s="66"/>
      <c r="N75" s="67"/>
      <c r="O75" s="66"/>
      <c r="P75" s="66"/>
      <c r="Q75" s="68"/>
      <c r="R75" s="29"/>
      <c r="S75" s="29"/>
      <c r="T75" s="32"/>
      <c r="U75" s="43"/>
      <c r="V75" s="42">
        <f t="shared" si="2"/>
        <v>0</v>
      </c>
      <c r="W75" s="22"/>
      <c r="X75" s="22"/>
      <c r="Z75" s="22" t="e">
        <f t="shared" si="4"/>
        <v>#DIV/0!</v>
      </c>
    </row>
    <row r="76" spans="1:26" x14ac:dyDescent="0.25">
      <c r="A76" s="240"/>
      <c r="B76" s="505" t="s">
        <v>250</v>
      </c>
      <c r="C76" s="506"/>
      <c r="D76" s="506"/>
      <c r="E76" s="506"/>
      <c r="F76" s="507"/>
      <c r="G76" s="248"/>
      <c r="H76" s="248"/>
      <c r="I76" s="250"/>
      <c r="J76" s="122"/>
      <c r="K76" s="115" t="s">
        <v>214</v>
      </c>
      <c r="L76" s="52">
        <f>L78+L80</f>
        <v>60000000</v>
      </c>
      <c r="M76" s="52">
        <f>M78+M80</f>
        <v>0</v>
      </c>
      <c r="N76" s="52">
        <f t="shared" si="8"/>
        <v>60000000</v>
      </c>
      <c r="O76" s="116"/>
      <c r="P76" s="116"/>
      <c r="Q76" s="84">
        <v>0</v>
      </c>
      <c r="R76" s="84">
        <v>1810000</v>
      </c>
      <c r="S76" s="84">
        <f>Q76+R76</f>
        <v>1810000</v>
      </c>
      <c r="T76" s="54">
        <f>S76/N76*100</f>
        <v>3.0166666666666666</v>
      </c>
      <c r="U76" s="52">
        <f t="shared" si="9"/>
        <v>58190000</v>
      </c>
      <c r="V76" s="42">
        <f t="shared" si="2"/>
        <v>29095000</v>
      </c>
      <c r="W76" s="22">
        <f t="shared" si="10"/>
        <v>0</v>
      </c>
      <c r="X76" s="22">
        <f t="shared" ref="X76:X130" si="11">Q76/N76*100</f>
        <v>0</v>
      </c>
      <c r="Z76" s="65">
        <f t="shared" si="4"/>
        <v>0</v>
      </c>
    </row>
    <row r="77" spans="1:26" x14ac:dyDescent="0.25">
      <c r="A77" s="240"/>
      <c r="B77" s="244"/>
      <c r="C77" s="247"/>
      <c r="D77" s="242"/>
      <c r="E77" s="242"/>
      <c r="F77" s="242"/>
      <c r="G77" s="241"/>
      <c r="H77" s="241"/>
      <c r="I77" s="242"/>
      <c r="J77" s="64"/>
      <c r="K77" s="28"/>
      <c r="L77" s="66"/>
      <c r="M77" s="66"/>
      <c r="N77" s="67"/>
      <c r="O77" s="66"/>
      <c r="P77" s="66"/>
      <c r="Q77" s="68"/>
      <c r="R77" s="29"/>
      <c r="S77" s="29"/>
      <c r="T77" s="32"/>
      <c r="U77" s="43"/>
      <c r="V77" s="42">
        <f t="shared" ref="V77:V130" si="12">U77/2</f>
        <v>0</v>
      </c>
      <c r="W77" s="22"/>
      <c r="X77" s="22"/>
      <c r="Z77" s="22" t="e">
        <f t="shared" si="4"/>
        <v>#DIV/0!</v>
      </c>
    </row>
    <row r="78" spans="1:26" x14ac:dyDescent="0.25">
      <c r="A78" s="240"/>
      <c r="B78" s="244"/>
      <c r="C78" s="247"/>
      <c r="D78" s="242"/>
      <c r="E78" s="242"/>
      <c r="F78" s="242"/>
      <c r="G78" s="241"/>
      <c r="H78" s="241"/>
      <c r="I78" s="242"/>
      <c r="J78" s="64"/>
      <c r="K78" s="56" t="s">
        <v>128</v>
      </c>
      <c r="L78" s="30">
        <v>28000000</v>
      </c>
      <c r="M78" s="30">
        <v>0</v>
      </c>
      <c r="N78" s="126">
        <f t="shared" si="8"/>
        <v>28000000</v>
      </c>
      <c r="O78" s="66"/>
      <c r="P78" s="66"/>
      <c r="Q78" s="76">
        <v>0</v>
      </c>
      <c r="R78" s="29">
        <v>1810000</v>
      </c>
      <c r="S78" s="29">
        <f>Q78+R78</f>
        <v>1810000</v>
      </c>
      <c r="T78" s="20">
        <f>S78/N78*100</f>
        <v>6.4642857142857144</v>
      </c>
      <c r="U78" s="43">
        <f t="shared" si="9"/>
        <v>26190000</v>
      </c>
      <c r="V78" s="42">
        <f t="shared" si="12"/>
        <v>13095000</v>
      </c>
      <c r="W78" s="22">
        <f t="shared" si="10"/>
        <v>0</v>
      </c>
      <c r="X78" s="22">
        <f t="shared" si="11"/>
        <v>0</v>
      </c>
      <c r="Z78" s="22">
        <f t="shared" si="4"/>
        <v>0</v>
      </c>
    </row>
    <row r="79" spans="1:26" x14ac:dyDescent="0.25">
      <c r="A79" s="240"/>
      <c r="B79" s="244"/>
      <c r="C79" s="247"/>
      <c r="D79" s="242"/>
      <c r="E79" s="242"/>
      <c r="F79" s="242"/>
      <c r="G79" s="241"/>
      <c r="H79" s="241"/>
      <c r="I79" s="242"/>
      <c r="J79" s="64"/>
      <c r="K79" s="56"/>
      <c r="L79" s="30"/>
      <c r="M79" s="30"/>
      <c r="N79" s="67"/>
      <c r="O79" s="66"/>
      <c r="P79" s="66"/>
      <c r="Q79" s="29"/>
      <c r="R79" s="29"/>
      <c r="S79" s="29"/>
      <c r="T79" s="32"/>
      <c r="U79" s="43"/>
      <c r="V79" s="42">
        <f t="shared" si="12"/>
        <v>0</v>
      </c>
      <c r="W79" s="22"/>
      <c r="X79" s="22"/>
      <c r="Z79" s="22" t="e">
        <f t="shared" ref="Z79:Z129" si="13">Q79/N79*100</f>
        <v>#DIV/0!</v>
      </c>
    </row>
    <row r="80" spans="1:26" x14ac:dyDescent="0.25">
      <c r="A80" s="240"/>
      <c r="B80" s="244"/>
      <c r="C80" s="247"/>
      <c r="D80" s="242"/>
      <c r="E80" s="242"/>
      <c r="F80" s="242"/>
      <c r="G80" s="241"/>
      <c r="H80" s="241"/>
      <c r="I80" s="242"/>
      <c r="J80" s="64"/>
      <c r="K80" s="56" t="s">
        <v>129</v>
      </c>
      <c r="L80" s="30">
        <v>32000000</v>
      </c>
      <c r="M80" s="30">
        <v>0</v>
      </c>
      <c r="N80" s="126">
        <f t="shared" si="8"/>
        <v>32000000</v>
      </c>
      <c r="O80" s="66"/>
      <c r="P80" s="66"/>
      <c r="Q80" s="29">
        <v>0</v>
      </c>
      <c r="R80" s="29">
        <v>0</v>
      </c>
      <c r="S80" s="29">
        <f>Q80+R80</f>
        <v>0</v>
      </c>
      <c r="T80" s="20">
        <f>S80/N80*100</f>
        <v>0</v>
      </c>
      <c r="U80" s="43">
        <f t="shared" si="9"/>
        <v>32000000</v>
      </c>
      <c r="V80" s="42">
        <f t="shared" si="12"/>
        <v>16000000</v>
      </c>
      <c r="W80" s="22">
        <f t="shared" si="10"/>
        <v>0</v>
      </c>
      <c r="X80" s="22">
        <f t="shared" si="11"/>
        <v>0</v>
      </c>
      <c r="Z80" s="22">
        <f t="shared" si="13"/>
        <v>0</v>
      </c>
    </row>
    <row r="81" spans="1:26" x14ac:dyDescent="0.25">
      <c r="A81" s="240"/>
      <c r="B81" s="244"/>
      <c r="C81" s="247"/>
      <c r="D81" s="242"/>
      <c r="E81" s="242"/>
      <c r="F81" s="242"/>
      <c r="G81" s="241"/>
      <c r="H81" s="241"/>
      <c r="I81" s="242"/>
      <c r="J81" s="64"/>
      <c r="K81" s="28"/>
      <c r="L81" s="66"/>
      <c r="M81" s="66"/>
      <c r="N81" s="67"/>
      <c r="O81" s="66"/>
      <c r="P81" s="66"/>
      <c r="Q81" s="68"/>
      <c r="R81" s="29"/>
      <c r="S81" s="29"/>
      <c r="T81" s="32"/>
      <c r="U81" s="43"/>
      <c r="V81" s="42">
        <f t="shared" si="12"/>
        <v>0</v>
      </c>
      <c r="W81" s="22"/>
      <c r="X81" s="22"/>
      <c r="Z81" s="22" t="e">
        <f t="shared" si="13"/>
        <v>#DIV/0!</v>
      </c>
    </row>
    <row r="82" spans="1:26" x14ac:dyDescent="0.25">
      <c r="A82" s="240"/>
      <c r="B82" s="505" t="s">
        <v>251</v>
      </c>
      <c r="C82" s="506"/>
      <c r="D82" s="506"/>
      <c r="E82" s="506"/>
      <c r="F82" s="507"/>
      <c r="G82" s="248"/>
      <c r="H82" s="248"/>
      <c r="I82" s="250"/>
      <c r="J82" s="122"/>
      <c r="K82" s="115" t="s">
        <v>215</v>
      </c>
      <c r="L82" s="52">
        <v>10000000</v>
      </c>
      <c r="M82" s="52">
        <v>0</v>
      </c>
      <c r="N82" s="52">
        <f t="shared" si="8"/>
        <v>10000000</v>
      </c>
      <c r="O82" s="116"/>
      <c r="P82" s="116"/>
      <c r="Q82" s="84">
        <v>990000</v>
      </c>
      <c r="R82" s="84">
        <v>200000</v>
      </c>
      <c r="S82" s="84">
        <f>Q82+R82</f>
        <v>1190000</v>
      </c>
      <c r="T82" s="54">
        <f>S82/N82*100</f>
        <v>11.899999999999999</v>
      </c>
      <c r="U82" s="52">
        <f t="shared" si="9"/>
        <v>8810000</v>
      </c>
      <c r="V82" s="42">
        <f t="shared" si="12"/>
        <v>4405000</v>
      </c>
      <c r="W82" s="22">
        <f t="shared" si="10"/>
        <v>9.9</v>
      </c>
      <c r="X82" s="22">
        <f t="shared" si="11"/>
        <v>9.9</v>
      </c>
      <c r="Z82" s="65">
        <f t="shared" si="13"/>
        <v>9.9</v>
      </c>
    </row>
    <row r="83" spans="1:26" x14ac:dyDescent="0.25">
      <c r="A83" s="240"/>
      <c r="B83" s="244"/>
      <c r="C83" s="247"/>
      <c r="D83" s="242"/>
      <c r="E83" s="242"/>
      <c r="F83" s="242"/>
      <c r="G83" s="241"/>
      <c r="H83" s="241"/>
      <c r="I83" s="242"/>
      <c r="J83" s="64"/>
      <c r="K83" s="28"/>
      <c r="L83" s="66"/>
      <c r="M83" s="66"/>
      <c r="N83" s="67"/>
      <c r="O83" s="66"/>
      <c r="P83" s="66"/>
      <c r="Q83" s="68"/>
      <c r="R83" s="29"/>
      <c r="S83" s="29"/>
      <c r="T83" s="32"/>
      <c r="U83" s="43"/>
      <c r="V83" s="42">
        <f t="shared" si="12"/>
        <v>0</v>
      </c>
      <c r="W83" s="22"/>
      <c r="X83" s="22"/>
      <c r="Z83" s="22" t="e">
        <f t="shared" si="13"/>
        <v>#DIV/0!</v>
      </c>
    </row>
    <row r="84" spans="1:26" x14ac:dyDescent="0.25">
      <c r="A84" s="240"/>
      <c r="B84" s="505" t="s">
        <v>252</v>
      </c>
      <c r="C84" s="506"/>
      <c r="D84" s="506"/>
      <c r="E84" s="506"/>
      <c r="F84" s="507"/>
      <c r="G84" s="241"/>
      <c r="H84" s="241"/>
      <c r="I84" s="242"/>
      <c r="J84" s="204"/>
      <c r="K84" s="199" t="s">
        <v>216</v>
      </c>
      <c r="L84" s="205">
        <f>L86+L88</f>
        <v>48000000</v>
      </c>
      <c r="M84" s="205">
        <v>0</v>
      </c>
      <c r="N84" s="205">
        <f>L84-M84</f>
        <v>48000000</v>
      </c>
      <c r="O84" s="205"/>
      <c r="P84" s="205"/>
      <c r="Q84" s="206">
        <f>Q86+Q88</f>
        <v>0</v>
      </c>
      <c r="R84" s="84">
        <v>0</v>
      </c>
      <c r="S84" s="84">
        <f>Q84+R84</f>
        <v>0</v>
      </c>
      <c r="T84" s="54">
        <f>S84/N84*100</f>
        <v>0</v>
      </c>
      <c r="U84" s="52">
        <f t="shared" si="9"/>
        <v>48000000</v>
      </c>
      <c r="V84" s="42"/>
      <c r="W84" s="22"/>
      <c r="X84" s="22">
        <f t="shared" si="11"/>
        <v>0</v>
      </c>
      <c r="Z84" s="65">
        <f t="shared" si="13"/>
        <v>0</v>
      </c>
    </row>
    <row r="85" spans="1:26" x14ac:dyDescent="0.25">
      <c r="A85" s="240"/>
      <c r="B85" s="244"/>
      <c r="C85" s="247"/>
      <c r="D85" s="242"/>
      <c r="E85" s="242"/>
      <c r="F85" s="242"/>
      <c r="G85" s="241"/>
      <c r="H85" s="241"/>
      <c r="I85" s="242"/>
      <c r="J85" s="64"/>
      <c r="K85" s="28"/>
      <c r="L85" s="66"/>
      <c r="M85" s="66"/>
      <c r="N85" s="67"/>
      <c r="O85" s="66"/>
      <c r="P85" s="66"/>
      <c r="Q85" s="68"/>
      <c r="R85" s="29"/>
      <c r="S85" s="29"/>
      <c r="T85" s="32"/>
      <c r="U85" s="43"/>
      <c r="V85" s="42"/>
      <c r="W85" s="22"/>
      <c r="X85" s="22"/>
      <c r="Z85" s="22" t="e">
        <f t="shared" si="13"/>
        <v>#DIV/0!</v>
      </c>
    </row>
    <row r="86" spans="1:26" x14ac:dyDescent="0.25">
      <c r="A86" s="240"/>
      <c r="B86" s="244"/>
      <c r="C86" s="247"/>
      <c r="D86" s="242"/>
      <c r="E86" s="242"/>
      <c r="F86" s="242"/>
      <c r="G86" s="241"/>
      <c r="H86" s="241"/>
      <c r="I86" s="242"/>
      <c r="J86" s="64"/>
      <c r="K86" s="28" t="s">
        <v>217</v>
      </c>
      <c r="L86" s="66">
        <v>43000000</v>
      </c>
      <c r="M86" s="66">
        <v>0</v>
      </c>
      <c r="N86" s="126">
        <f t="shared" ref="N86" si="14">L86-M86</f>
        <v>43000000</v>
      </c>
      <c r="O86" s="66"/>
      <c r="P86" s="66"/>
      <c r="Q86" s="68"/>
      <c r="R86" s="29"/>
      <c r="S86" s="29"/>
      <c r="T86" s="32"/>
      <c r="U86" s="52">
        <f t="shared" si="9"/>
        <v>43000000</v>
      </c>
      <c r="V86" s="42"/>
      <c r="W86" s="22"/>
      <c r="X86" s="22">
        <f t="shared" si="11"/>
        <v>0</v>
      </c>
      <c r="Z86" s="65">
        <f t="shared" si="13"/>
        <v>0</v>
      </c>
    </row>
    <row r="87" spans="1:26" x14ac:dyDescent="0.25">
      <c r="A87" s="240"/>
      <c r="B87" s="244"/>
      <c r="C87" s="247"/>
      <c r="D87" s="242"/>
      <c r="E87" s="242"/>
      <c r="F87" s="242"/>
      <c r="G87" s="241"/>
      <c r="H87" s="241"/>
      <c r="I87" s="242"/>
      <c r="J87" s="64"/>
      <c r="K87" s="28"/>
      <c r="L87" s="66"/>
      <c r="M87" s="66"/>
      <c r="N87" s="67"/>
      <c r="O87" s="66"/>
      <c r="P87" s="66"/>
      <c r="Q87" s="68"/>
      <c r="R87" s="29"/>
      <c r="S87" s="29"/>
      <c r="T87" s="32"/>
      <c r="U87" s="43"/>
      <c r="V87" s="42"/>
      <c r="W87" s="22"/>
      <c r="X87" s="22"/>
      <c r="Z87" s="22" t="e">
        <f t="shared" si="13"/>
        <v>#DIV/0!</v>
      </c>
    </row>
    <row r="88" spans="1:26" x14ac:dyDescent="0.25">
      <c r="A88" s="240"/>
      <c r="B88" s="244"/>
      <c r="C88" s="247"/>
      <c r="D88" s="242"/>
      <c r="E88" s="242"/>
      <c r="F88" s="242"/>
      <c r="G88" s="241"/>
      <c r="H88" s="241"/>
      <c r="I88" s="242"/>
      <c r="J88" s="64"/>
      <c r="K88" s="28" t="s">
        <v>218</v>
      </c>
      <c r="L88" s="66">
        <v>5000000</v>
      </c>
      <c r="M88" s="66">
        <v>0</v>
      </c>
      <c r="N88" s="126">
        <f t="shared" ref="N88" si="15">L88-M88</f>
        <v>5000000</v>
      </c>
      <c r="O88" s="66"/>
      <c r="P88" s="66"/>
      <c r="Q88" s="68"/>
      <c r="R88" s="29"/>
      <c r="S88" s="29"/>
      <c r="T88" s="32"/>
      <c r="U88" s="52">
        <f t="shared" si="9"/>
        <v>5000000</v>
      </c>
      <c r="V88" s="42"/>
      <c r="W88" s="22"/>
      <c r="X88" s="22">
        <f t="shared" si="11"/>
        <v>0</v>
      </c>
      <c r="Z88" s="65">
        <f t="shared" si="13"/>
        <v>0</v>
      </c>
    </row>
    <row r="89" spans="1:26" x14ac:dyDescent="0.25">
      <c r="A89" s="240"/>
      <c r="B89" s="244"/>
      <c r="C89" s="247"/>
      <c r="D89" s="242"/>
      <c r="E89" s="242"/>
      <c r="F89" s="242"/>
      <c r="G89" s="241"/>
      <c r="H89" s="241"/>
      <c r="I89" s="242"/>
      <c r="J89" s="64"/>
      <c r="K89" s="28"/>
      <c r="L89" s="66"/>
      <c r="M89" s="66"/>
      <c r="N89" s="126"/>
      <c r="O89" s="66"/>
      <c r="P89" s="66"/>
      <c r="Q89" s="68"/>
      <c r="R89" s="29"/>
      <c r="S89" s="29"/>
      <c r="T89" s="32"/>
      <c r="U89" s="43"/>
      <c r="V89" s="42"/>
      <c r="W89" s="22"/>
      <c r="X89" s="22"/>
      <c r="Z89" s="22" t="e">
        <f t="shared" si="13"/>
        <v>#DIV/0!</v>
      </c>
    </row>
    <row r="90" spans="1:26" x14ac:dyDescent="0.25">
      <c r="A90" s="240"/>
      <c r="B90" s="505" t="s">
        <v>253</v>
      </c>
      <c r="C90" s="506"/>
      <c r="D90" s="506"/>
      <c r="E90" s="506"/>
      <c r="F90" s="507"/>
      <c r="G90" s="241"/>
      <c r="H90" s="241"/>
      <c r="I90" s="242"/>
      <c r="J90" s="204"/>
      <c r="K90" s="199" t="s">
        <v>219</v>
      </c>
      <c r="L90" s="205">
        <v>12500000</v>
      </c>
      <c r="M90" s="205">
        <v>0</v>
      </c>
      <c r="N90" s="205">
        <f>L90-M90</f>
        <v>12500000</v>
      </c>
      <c r="O90" s="205"/>
      <c r="P90" s="205"/>
      <c r="Q90" s="206">
        <v>1130000</v>
      </c>
      <c r="R90" s="84">
        <v>1520000</v>
      </c>
      <c r="S90" s="84">
        <f>Q90+R90</f>
        <v>2650000</v>
      </c>
      <c r="T90" s="54">
        <f>S90/N90*100</f>
        <v>21.2</v>
      </c>
      <c r="U90" s="52">
        <f t="shared" ref="U90" si="16">N90-S90</f>
        <v>9850000</v>
      </c>
      <c r="V90" s="42"/>
      <c r="W90" s="22"/>
      <c r="X90" s="22">
        <f t="shared" si="11"/>
        <v>9.0399999999999991</v>
      </c>
      <c r="Z90" s="65">
        <f t="shared" si="13"/>
        <v>9.0399999999999991</v>
      </c>
    </row>
    <row r="91" spans="1:26" x14ac:dyDescent="0.25">
      <c r="A91" s="240"/>
      <c r="B91" s="244"/>
      <c r="C91" s="247"/>
      <c r="D91" s="242"/>
      <c r="E91" s="242"/>
      <c r="F91" s="242"/>
      <c r="G91" s="241"/>
      <c r="H91" s="241"/>
      <c r="I91" s="242"/>
      <c r="J91" s="64"/>
      <c r="K91" s="28"/>
      <c r="L91" s="66"/>
      <c r="M91" s="66"/>
      <c r="N91" s="126"/>
      <c r="O91" s="66"/>
      <c r="P91" s="66"/>
      <c r="Q91" s="68"/>
      <c r="R91" s="29"/>
      <c r="S91" s="29"/>
      <c r="T91" s="32"/>
      <c r="U91" s="43"/>
      <c r="V91" s="42"/>
      <c r="W91" s="22"/>
      <c r="X91" s="22"/>
      <c r="Z91" s="22" t="e">
        <f t="shared" si="13"/>
        <v>#DIV/0!</v>
      </c>
    </row>
    <row r="92" spans="1:26" x14ac:dyDescent="0.25">
      <c r="A92" s="240"/>
      <c r="B92" s="505" t="s">
        <v>254</v>
      </c>
      <c r="C92" s="506"/>
      <c r="D92" s="506"/>
      <c r="E92" s="506"/>
      <c r="F92" s="507"/>
      <c r="G92" s="241"/>
      <c r="H92" s="241"/>
      <c r="I92" s="242"/>
      <c r="J92" s="204"/>
      <c r="K92" s="199" t="s">
        <v>220</v>
      </c>
      <c r="L92" s="205">
        <v>15000000</v>
      </c>
      <c r="M92" s="205">
        <v>0</v>
      </c>
      <c r="N92" s="205">
        <f>L92-M92</f>
        <v>15000000</v>
      </c>
      <c r="O92" s="205"/>
      <c r="P92" s="205"/>
      <c r="Q92" s="206">
        <v>15000000</v>
      </c>
      <c r="R92" s="84">
        <v>0</v>
      </c>
      <c r="S92" s="84">
        <f>Q92+R92</f>
        <v>15000000</v>
      </c>
      <c r="T92" s="54">
        <f>S92/N92*100</f>
        <v>100</v>
      </c>
      <c r="U92" s="52">
        <f t="shared" ref="U92" si="17">N92-S92</f>
        <v>0</v>
      </c>
      <c r="V92" s="42"/>
      <c r="W92" s="22"/>
      <c r="X92" s="22">
        <f t="shared" si="11"/>
        <v>100</v>
      </c>
      <c r="Z92" s="65">
        <f t="shared" si="13"/>
        <v>100</v>
      </c>
    </row>
    <row r="93" spans="1:26" x14ac:dyDescent="0.25">
      <c r="A93" s="240"/>
      <c r="B93" s="244"/>
      <c r="C93" s="247"/>
      <c r="D93" s="242"/>
      <c r="E93" s="242"/>
      <c r="F93" s="242"/>
      <c r="G93" s="241"/>
      <c r="H93" s="241"/>
      <c r="I93" s="242"/>
      <c r="J93" s="64"/>
      <c r="K93" s="28"/>
      <c r="L93" s="66"/>
      <c r="M93" s="66"/>
      <c r="N93" s="67"/>
      <c r="O93" s="66"/>
      <c r="P93" s="66"/>
      <c r="Q93" s="68"/>
      <c r="R93" s="29"/>
      <c r="S93" s="29"/>
      <c r="T93" s="32"/>
      <c r="U93" s="43"/>
      <c r="V93" s="42"/>
      <c r="W93" s="22"/>
      <c r="X93" s="22"/>
      <c r="Z93" s="22" t="e">
        <f t="shared" si="13"/>
        <v>#DIV/0!</v>
      </c>
    </row>
    <row r="94" spans="1:26" x14ac:dyDescent="0.25">
      <c r="A94" s="240"/>
      <c r="B94" s="233">
        <v>4</v>
      </c>
      <c r="C94" s="247"/>
      <c r="D94" s="242"/>
      <c r="E94" s="242"/>
      <c r="F94" s="242"/>
      <c r="G94" s="241"/>
      <c r="H94" s="241"/>
      <c r="I94" s="242"/>
      <c r="J94" s="134"/>
      <c r="K94" s="34" t="s">
        <v>135</v>
      </c>
      <c r="L94" s="41">
        <f>L97+L109</f>
        <v>656145000</v>
      </c>
      <c r="M94" s="41">
        <f>M97+M109</f>
        <v>0</v>
      </c>
      <c r="N94" s="41">
        <f>L94-M94</f>
        <v>656145000</v>
      </c>
      <c r="O94" s="135"/>
      <c r="P94" s="135"/>
      <c r="Q94" s="41">
        <f>Q97+Q109</f>
        <v>39240000</v>
      </c>
      <c r="R94" s="41">
        <v>39980000</v>
      </c>
      <c r="S94" s="41">
        <f>Q94+R94</f>
        <v>79220000</v>
      </c>
      <c r="T94" s="136">
        <f>S94/N94*100</f>
        <v>12.073550815749567</v>
      </c>
      <c r="U94" s="42">
        <f t="shared" ref="U94:U120" si="18">N94-S94</f>
        <v>576925000</v>
      </c>
      <c r="V94" s="42">
        <f t="shared" si="12"/>
        <v>288462500</v>
      </c>
      <c r="W94" s="22">
        <f>Q94/N94*100</f>
        <v>5.980385433097867</v>
      </c>
      <c r="X94" s="22">
        <f t="shared" si="11"/>
        <v>5.980385433097867</v>
      </c>
      <c r="Z94" s="22">
        <f t="shared" si="13"/>
        <v>5.980385433097867</v>
      </c>
    </row>
    <row r="95" spans="1:26" x14ac:dyDescent="0.25">
      <c r="A95" s="240"/>
      <c r="B95" s="244"/>
      <c r="C95" s="247"/>
      <c r="D95" s="242"/>
      <c r="E95" s="242"/>
      <c r="F95" s="242"/>
      <c r="G95" s="241"/>
      <c r="H95" s="241"/>
      <c r="I95" s="242"/>
      <c r="J95" s="64"/>
      <c r="K95" s="28"/>
      <c r="L95" s="66"/>
      <c r="M95" s="66"/>
      <c r="N95" s="67"/>
      <c r="O95" s="66"/>
      <c r="P95" s="66"/>
      <c r="Q95" s="68"/>
      <c r="R95" s="29"/>
      <c r="S95" s="29"/>
      <c r="T95" s="32"/>
      <c r="U95" s="43"/>
      <c r="V95" s="42">
        <f t="shared" si="12"/>
        <v>0</v>
      </c>
      <c r="W95" s="22"/>
      <c r="X95" s="22"/>
      <c r="Z95" s="22" t="e">
        <f t="shared" si="13"/>
        <v>#DIV/0!</v>
      </c>
    </row>
    <row r="96" spans="1:26" x14ac:dyDescent="0.25">
      <c r="A96" s="240"/>
      <c r="B96" s="244"/>
      <c r="C96" s="247"/>
      <c r="D96" s="242"/>
      <c r="E96" s="242"/>
      <c r="F96" s="242"/>
      <c r="G96" s="241"/>
      <c r="H96" s="241"/>
      <c r="I96" s="242"/>
      <c r="J96" s="64"/>
      <c r="K96" s="28"/>
      <c r="L96" s="66"/>
      <c r="M96" s="66"/>
      <c r="N96" s="67"/>
      <c r="O96" s="66"/>
      <c r="P96" s="66"/>
      <c r="Q96" s="68"/>
      <c r="R96" s="29"/>
      <c r="S96" s="29"/>
      <c r="T96" s="32"/>
      <c r="U96" s="43"/>
      <c r="V96" s="42">
        <f t="shared" si="12"/>
        <v>0</v>
      </c>
      <c r="W96" s="22"/>
      <c r="X96" s="22"/>
      <c r="Z96" s="22" t="e">
        <f t="shared" si="13"/>
        <v>#DIV/0!</v>
      </c>
    </row>
    <row r="97" spans="1:26" x14ac:dyDescent="0.25">
      <c r="A97" s="240"/>
      <c r="B97" s="233" t="s">
        <v>255</v>
      </c>
      <c r="C97" s="252"/>
      <c r="D97" s="251"/>
      <c r="E97" s="250"/>
      <c r="F97" s="250"/>
      <c r="G97" s="248"/>
      <c r="H97" s="248"/>
      <c r="I97" s="250"/>
      <c r="J97" s="122"/>
      <c r="K97" s="115" t="s">
        <v>256</v>
      </c>
      <c r="L97" s="52">
        <f>L99+L101+L103+L105+L107</f>
        <v>189650000</v>
      </c>
      <c r="M97" s="52">
        <f>M99+M101+M103+M105</f>
        <v>0</v>
      </c>
      <c r="N97" s="52">
        <f t="shared" ref="N97:N128" si="19">L97-M97</f>
        <v>189650000</v>
      </c>
      <c r="O97" s="116"/>
      <c r="P97" s="116"/>
      <c r="Q97" s="84">
        <v>3300000</v>
      </c>
      <c r="R97" s="84">
        <v>3750000</v>
      </c>
      <c r="S97" s="84">
        <f>Q97+R97</f>
        <v>7050000</v>
      </c>
      <c r="T97" s="54">
        <f>S97/N97*100</f>
        <v>3.7173741102030053</v>
      </c>
      <c r="U97" s="52">
        <f t="shared" si="18"/>
        <v>182600000</v>
      </c>
      <c r="V97" s="42">
        <f t="shared" si="12"/>
        <v>91300000</v>
      </c>
      <c r="W97" s="22">
        <f t="shared" ref="W97:W130" si="20">Q97/N97*100</f>
        <v>1.7400474558397045</v>
      </c>
      <c r="X97" s="22">
        <f t="shared" si="11"/>
        <v>1.7400474558397045</v>
      </c>
      <c r="Z97" s="65">
        <f t="shared" si="13"/>
        <v>1.7400474558397045</v>
      </c>
    </row>
    <row r="98" spans="1:26" x14ac:dyDescent="0.25">
      <c r="A98" s="240"/>
      <c r="B98" s="244"/>
      <c r="C98" s="247"/>
      <c r="D98" s="242"/>
      <c r="E98" s="242"/>
      <c r="F98" s="242"/>
      <c r="G98" s="241"/>
      <c r="H98" s="241"/>
      <c r="I98" s="242"/>
      <c r="J98" s="64"/>
      <c r="K98" s="28"/>
      <c r="L98" s="66"/>
      <c r="M98" s="66"/>
      <c r="N98" s="67">
        <f t="shared" si="19"/>
        <v>0</v>
      </c>
      <c r="O98" s="66"/>
      <c r="P98" s="66"/>
      <c r="Q98" s="68"/>
      <c r="R98" s="29"/>
      <c r="S98" s="29"/>
      <c r="T98" s="32"/>
      <c r="U98" s="43"/>
      <c r="V98" s="42">
        <f t="shared" si="12"/>
        <v>0</v>
      </c>
      <c r="W98" s="22"/>
      <c r="X98" s="22"/>
      <c r="Z98" s="22" t="e">
        <f t="shared" si="13"/>
        <v>#DIV/0!</v>
      </c>
    </row>
    <row r="99" spans="1:26" x14ac:dyDescent="0.25">
      <c r="A99" s="240"/>
      <c r="B99" s="244"/>
      <c r="C99" s="247"/>
      <c r="D99" s="242"/>
      <c r="E99" s="242"/>
      <c r="F99" s="242"/>
      <c r="G99" s="241"/>
      <c r="H99" s="241"/>
      <c r="I99" s="242"/>
      <c r="J99" s="64"/>
      <c r="K99" s="56" t="s">
        <v>221</v>
      </c>
      <c r="L99" s="30">
        <v>39000000</v>
      </c>
      <c r="M99" s="30">
        <v>0</v>
      </c>
      <c r="N99" s="126">
        <f t="shared" si="19"/>
        <v>39000000</v>
      </c>
      <c r="O99" s="66"/>
      <c r="P99" s="66"/>
      <c r="Q99" s="29">
        <v>0</v>
      </c>
      <c r="R99" s="29">
        <v>0</v>
      </c>
      <c r="S99" s="29">
        <f>Q99+R99</f>
        <v>0</v>
      </c>
      <c r="T99" s="20">
        <f>S99/N99*100</f>
        <v>0</v>
      </c>
      <c r="U99" s="43">
        <f t="shared" si="18"/>
        <v>39000000</v>
      </c>
      <c r="V99" s="42">
        <f t="shared" si="12"/>
        <v>19500000</v>
      </c>
      <c r="W99" s="22">
        <f t="shared" si="20"/>
        <v>0</v>
      </c>
      <c r="X99" s="22">
        <f t="shared" si="11"/>
        <v>0</v>
      </c>
      <c r="Z99" s="22">
        <f t="shared" si="13"/>
        <v>0</v>
      </c>
    </row>
    <row r="100" spans="1:26" x14ac:dyDescent="0.25">
      <c r="A100" s="240"/>
      <c r="B100" s="244"/>
      <c r="C100" s="247"/>
      <c r="D100" s="242"/>
      <c r="E100" s="242"/>
      <c r="F100" s="242"/>
      <c r="G100" s="241"/>
      <c r="H100" s="241"/>
      <c r="I100" s="242"/>
      <c r="J100" s="64"/>
      <c r="K100" s="56"/>
      <c r="L100" s="270">
        <f>L101+L103+L105+L107</f>
        <v>150650000</v>
      </c>
      <c r="M100" s="270"/>
      <c r="N100" s="270">
        <f>N101+N103+N105+N107</f>
        <v>150650000</v>
      </c>
      <c r="O100" s="271"/>
      <c r="P100" s="271"/>
      <c r="Q100" s="270">
        <f>Q101+Q103+Q105+Q107</f>
        <v>3750000</v>
      </c>
      <c r="R100" s="270">
        <v>3750000</v>
      </c>
      <c r="S100" s="270">
        <f>S101+S103+S105+S107</f>
        <v>7500000</v>
      </c>
      <c r="T100" s="272"/>
      <c r="U100" s="270">
        <f t="shared" si="18"/>
        <v>143150000</v>
      </c>
      <c r="V100" s="270">
        <f t="shared" si="12"/>
        <v>71575000</v>
      </c>
      <c r="W100" s="273"/>
      <c r="X100" s="273">
        <f t="shared" si="11"/>
        <v>2.4892134085628941</v>
      </c>
      <c r="Y100" s="274"/>
      <c r="Z100" s="273">
        <f t="shared" si="13"/>
        <v>2.4892134085628941</v>
      </c>
    </row>
    <row r="101" spans="1:26" x14ac:dyDescent="0.25">
      <c r="A101" s="240"/>
      <c r="B101" s="244"/>
      <c r="C101" s="247"/>
      <c r="D101" s="242"/>
      <c r="E101" s="242"/>
      <c r="F101" s="242"/>
      <c r="G101" s="241"/>
      <c r="H101" s="241"/>
      <c r="I101" s="242"/>
      <c r="J101" s="64"/>
      <c r="K101" s="56" t="s">
        <v>222</v>
      </c>
      <c r="L101" s="30">
        <v>100000000</v>
      </c>
      <c r="M101" s="30">
        <v>0</v>
      </c>
      <c r="N101" s="67">
        <f t="shared" si="19"/>
        <v>100000000</v>
      </c>
      <c r="O101" s="66"/>
      <c r="P101" s="66"/>
      <c r="Q101" s="29">
        <v>0</v>
      </c>
      <c r="R101" s="29">
        <v>0</v>
      </c>
      <c r="S101" s="29">
        <f t="shared" ref="S101:S105" si="21">Q101+R101</f>
        <v>0</v>
      </c>
      <c r="T101" s="32"/>
      <c r="U101" s="43">
        <f t="shared" si="18"/>
        <v>100000000</v>
      </c>
      <c r="V101" s="42">
        <f t="shared" si="12"/>
        <v>50000000</v>
      </c>
      <c r="W101" s="22"/>
      <c r="X101" s="22">
        <f t="shared" si="11"/>
        <v>0</v>
      </c>
      <c r="Z101" s="22">
        <f t="shared" si="13"/>
        <v>0</v>
      </c>
    </row>
    <row r="102" spans="1:26" x14ac:dyDescent="0.25">
      <c r="A102" s="240"/>
      <c r="B102" s="244"/>
      <c r="C102" s="247"/>
      <c r="D102" s="242"/>
      <c r="E102" s="242"/>
      <c r="F102" s="242"/>
      <c r="G102" s="241"/>
      <c r="H102" s="241"/>
      <c r="I102" s="242"/>
      <c r="J102" s="64"/>
      <c r="K102" s="56"/>
      <c r="L102" s="30"/>
      <c r="M102" s="30"/>
      <c r="N102" s="67"/>
      <c r="O102" s="66"/>
      <c r="P102" s="66"/>
      <c r="Q102" s="29"/>
      <c r="R102" s="29"/>
      <c r="S102" s="29"/>
      <c r="T102" s="32"/>
      <c r="U102" s="43"/>
      <c r="V102" s="42">
        <f t="shared" si="12"/>
        <v>0</v>
      </c>
      <c r="W102" s="22"/>
      <c r="X102" s="22"/>
      <c r="Z102" s="22" t="e">
        <f t="shared" si="13"/>
        <v>#DIV/0!</v>
      </c>
    </row>
    <row r="103" spans="1:26" x14ac:dyDescent="0.25">
      <c r="A103" s="240"/>
      <c r="B103" s="244"/>
      <c r="C103" s="247"/>
      <c r="D103" s="242"/>
      <c r="E103" s="242"/>
      <c r="F103" s="242"/>
      <c r="G103" s="241"/>
      <c r="H103" s="241"/>
      <c r="I103" s="242"/>
      <c r="J103" s="64"/>
      <c r="K103" s="56" t="s">
        <v>224</v>
      </c>
      <c r="L103" s="30">
        <v>3600000</v>
      </c>
      <c r="M103" s="30">
        <v>0</v>
      </c>
      <c r="N103" s="67">
        <f t="shared" si="19"/>
        <v>3600000</v>
      </c>
      <c r="O103" s="66"/>
      <c r="P103" s="66"/>
      <c r="Q103" s="29">
        <v>0</v>
      </c>
      <c r="R103" s="29">
        <v>0</v>
      </c>
      <c r="S103" s="29">
        <f t="shared" si="21"/>
        <v>0</v>
      </c>
      <c r="T103" s="32"/>
      <c r="U103" s="43">
        <f t="shared" si="18"/>
        <v>3600000</v>
      </c>
      <c r="V103" s="42">
        <f t="shared" si="12"/>
        <v>1800000</v>
      </c>
      <c r="W103" s="22"/>
      <c r="X103" s="22">
        <f t="shared" si="11"/>
        <v>0</v>
      </c>
      <c r="Z103" s="22">
        <f t="shared" si="13"/>
        <v>0</v>
      </c>
    </row>
    <row r="104" spans="1:26" x14ac:dyDescent="0.25">
      <c r="A104" s="240"/>
      <c r="B104" s="244"/>
      <c r="C104" s="247"/>
      <c r="D104" s="242"/>
      <c r="E104" s="242"/>
      <c r="F104" s="242"/>
      <c r="G104" s="241"/>
      <c r="H104" s="241"/>
      <c r="I104" s="242"/>
      <c r="J104" s="64"/>
      <c r="K104" s="56"/>
      <c r="L104" s="30"/>
      <c r="M104" s="30"/>
      <c r="N104" s="67"/>
      <c r="O104" s="66"/>
      <c r="P104" s="66"/>
      <c r="Q104" s="29"/>
      <c r="R104" s="29"/>
      <c r="S104" s="29"/>
      <c r="T104" s="32"/>
      <c r="U104" s="43"/>
      <c r="V104" s="42">
        <f t="shared" si="12"/>
        <v>0</v>
      </c>
      <c r="W104" s="22"/>
      <c r="X104" s="22"/>
      <c r="Z104" s="22" t="e">
        <f t="shared" si="13"/>
        <v>#DIV/0!</v>
      </c>
    </row>
    <row r="105" spans="1:26" x14ac:dyDescent="0.25">
      <c r="A105" s="240"/>
      <c r="B105" s="244"/>
      <c r="C105" s="247"/>
      <c r="D105" s="242"/>
      <c r="E105" s="242"/>
      <c r="F105" s="242"/>
      <c r="G105" s="241"/>
      <c r="H105" s="241"/>
      <c r="I105" s="242"/>
      <c r="J105" s="64"/>
      <c r="K105" s="56" t="s">
        <v>141</v>
      </c>
      <c r="L105" s="30">
        <v>43900000</v>
      </c>
      <c r="M105" s="30">
        <v>0</v>
      </c>
      <c r="N105" s="67">
        <f t="shared" si="19"/>
        <v>43900000</v>
      </c>
      <c r="O105" s="66"/>
      <c r="P105" s="66"/>
      <c r="Q105" s="29">
        <v>3750000</v>
      </c>
      <c r="R105" s="29">
        <v>3750000</v>
      </c>
      <c r="S105" s="29">
        <f t="shared" si="21"/>
        <v>7500000</v>
      </c>
      <c r="T105" s="20">
        <f>S105/N105*100</f>
        <v>17.084282460136674</v>
      </c>
      <c r="U105" s="43">
        <f t="shared" si="18"/>
        <v>36400000</v>
      </c>
      <c r="V105" s="42">
        <f t="shared" si="12"/>
        <v>18200000</v>
      </c>
      <c r="W105" s="22">
        <f t="shared" si="20"/>
        <v>8.5421412300683368</v>
      </c>
      <c r="X105" s="22">
        <f t="shared" si="11"/>
        <v>8.5421412300683368</v>
      </c>
      <c r="Z105" s="22">
        <f t="shared" si="13"/>
        <v>8.5421412300683368</v>
      </c>
    </row>
    <row r="106" spans="1:26" x14ac:dyDescent="0.25">
      <c r="A106" s="240"/>
      <c r="B106" s="244"/>
      <c r="C106" s="247"/>
      <c r="D106" s="242"/>
      <c r="E106" s="242"/>
      <c r="F106" s="242"/>
      <c r="G106" s="241"/>
      <c r="H106" s="241"/>
      <c r="I106" s="242"/>
      <c r="J106" s="64"/>
      <c r="K106" s="56"/>
      <c r="L106" s="30"/>
      <c r="M106" s="30"/>
      <c r="N106" s="67"/>
      <c r="O106" s="66"/>
      <c r="P106" s="66"/>
      <c r="Q106" s="29"/>
      <c r="R106" s="29"/>
      <c r="S106" s="29"/>
      <c r="T106" s="20"/>
      <c r="U106" s="43"/>
      <c r="V106" s="42"/>
      <c r="W106" s="22"/>
      <c r="X106" s="22"/>
      <c r="Z106" s="22"/>
    </row>
    <row r="107" spans="1:26" x14ac:dyDescent="0.25">
      <c r="A107" s="240"/>
      <c r="B107" s="244"/>
      <c r="C107" s="247"/>
      <c r="D107" s="242"/>
      <c r="E107" s="242"/>
      <c r="F107" s="242"/>
      <c r="G107" s="241"/>
      <c r="H107" s="241"/>
      <c r="I107" s="242"/>
      <c r="J107" s="64"/>
      <c r="K107" s="56" t="s">
        <v>223</v>
      </c>
      <c r="L107" s="30">
        <v>3150000</v>
      </c>
      <c r="M107" s="30">
        <v>0</v>
      </c>
      <c r="N107" s="67">
        <f t="shared" si="19"/>
        <v>3150000</v>
      </c>
      <c r="O107" s="66"/>
      <c r="P107" s="66"/>
      <c r="Q107" s="29"/>
      <c r="R107" s="29"/>
      <c r="S107" s="29"/>
      <c r="T107" s="20"/>
      <c r="U107" s="43">
        <f t="shared" si="18"/>
        <v>3150000</v>
      </c>
      <c r="V107" s="42"/>
      <c r="W107" s="22"/>
      <c r="X107" s="22">
        <f t="shared" si="11"/>
        <v>0</v>
      </c>
      <c r="Z107" s="22"/>
    </row>
    <row r="108" spans="1:26" x14ac:dyDescent="0.25">
      <c r="A108" s="240"/>
      <c r="B108" s="244"/>
      <c r="C108" s="247"/>
      <c r="D108" s="242"/>
      <c r="E108" s="242"/>
      <c r="F108" s="242"/>
      <c r="G108" s="241"/>
      <c r="H108" s="241"/>
      <c r="I108" s="242"/>
      <c r="J108" s="64"/>
      <c r="K108" s="28"/>
      <c r="L108" s="66"/>
      <c r="M108" s="66"/>
      <c r="N108" s="67"/>
      <c r="O108" s="66"/>
      <c r="P108" s="66"/>
      <c r="Q108" s="68"/>
      <c r="R108" s="29"/>
      <c r="S108" s="29"/>
      <c r="T108" s="32"/>
      <c r="U108" s="43"/>
      <c r="V108" s="42">
        <f t="shared" si="12"/>
        <v>0</v>
      </c>
      <c r="W108" s="22"/>
      <c r="X108" s="22"/>
      <c r="Z108" s="22" t="e">
        <f t="shared" si="13"/>
        <v>#DIV/0!</v>
      </c>
    </row>
    <row r="109" spans="1:26" x14ac:dyDescent="0.25">
      <c r="A109" s="232"/>
      <c r="B109" s="505" t="s">
        <v>257</v>
      </c>
      <c r="C109" s="506"/>
      <c r="D109" s="506"/>
      <c r="E109" s="506"/>
      <c r="F109" s="506"/>
      <c r="G109" s="507"/>
      <c r="H109" s="238"/>
      <c r="I109" s="239"/>
      <c r="J109" s="106"/>
      <c r="K109" s="137" t="s">
        <v>143</v>
      </c>
      <c r="L109" s="52">
        <f>L111+L113+L115+L120+L122</f>
        <v>466495000</v>
      </c>
      <c r="M109" s="52">
        <f>M111+M113+M115+M120+M122</f>
        <v>0</v>
      </c>
      <c r="N109" s="52">
        <f t="shared" ref="N109" si="22">L109-M109</f>
        <v>466495000</v>
      </c>
      <c r="O109" s="53"/>
      <c r="P109" s="53"/>
      <c r="Q109" s="52">
        <f>Q111+Q113+Q115+Q120+Q122</f>
        <v>35940000</v>
      </c>
      <c r="R109" s="52">
        <v>36230000</v>
      </c>
      <c r="S109" s="52">
        <f t="shared" ref="S109:S120" si="23">Q109+R109</f>
        <v>72170000</v>
      </c>
      <c r="T109" s="54">
        <f>S109/N109*100</f>
        <v>15.470691004190829</v>
      </c>
      <c r="U109" s="52">
        <f t="shared" si="18"/>
        <v>394325000</v>
      </c>
      <c r="V109" s="42">
        <f t="shared" si="12"/>
        <v>197162500</v>
      </c>
      <c r="W109" s="22">
        <f t="shared" si="20"/>
        <v>7.7042626394709472</v>
      </c>
      <c r="X109" s="22">
        <f t="shared" si="11"/>
        <v>7.7042626394709472</v>
      </c>
      <c r="Z109" s="65">
        <f t="shared" si="13"/>
        <v>7.7042626394709472</v>
      </c>
    </row>
    <row r="110" spans="1:26" x14ac:dyDescent="0.25">
      <c r="A110" s="232"/>
      <c r="B110" s="234"/>
      <c r="C110" s="234"/>
      <c r="D110" s="253"/>
      <c r="E110" s="254"/>
      <c r="F110" s="254"/>
      <c r="G110" s="254"/>
      <c r="H110" s="238"/>
      <c r="I110" s="239"/>
      <c r="J110" s="106"/>
      <c r="K110" s="137"/>
      <c r="L110" s="52"/>
      <c r="M110" s="52"/>
      <c r="N110" s="52"/>
      <c r="O110" s="53"/>
      <c r="P110" s="53"/>
      <c r="Q110" s="52"/>
      <c r="R110" s="52"/>
      <c r="S110" s="52"/>
      <c r="T110" s="54"/>
      <c r="U110" s="52"/>
      <c r="V110" s="42"/>
      <c r="W110" s="22"/>
      <c r="X110" s="22"/>
      <c r="Z110" s="65"/>
    </row>
    <row r="111" spans="1:26" x14ac:dyDescent="0.25">
      <c r="A111" s="255"/>
      <c r="B111" s="256"/>
      <c r="C111" s="256"/>
      <c r="D111" s="257"/>
      <c r="E111" s="258"/>
      <c r="F111" s="258"/>
      <c r="G111" s="258"/>
      <c r="H111" s="259"/>
      <c r="I111" s="260"/>
      <c r="J111" s="204"/>
      <c r="K111" s="220" t="s">
        <v>225</v>
      </c>
      <c r="L111" s="211">
        <v>11750000</v>
      </c>
      <c r="M111" s="211">
        <v>0</v>
      </c>
      <c r="N111" s="205">
        <f t="shared" si="19"/>
        <v>11750000</v>
      </c>
      <c r="O111" s="211"/>
      <c r="P111" s="211"/>
      <c r="Q111" s="211">
        <v>0</v>
      </c>
      <c r="R111" s="207">
        <v>100000</v>
      </c>
      <c r="S111" s="207">
        <f t="shared" si="23"/>
        <v>100000</v>
      </c>
      <c r="T111" s="221"/>
      <c r="U111" s="209">
        <f t="shared" si="18"/>
        <v>11650000</v>
      </c>
      <c r="V111" s="42">
        <f t="shared" si="12"/>
        <v>5825000</v>
      </c>
      <c r="W111" s="22"/>
      <c r="X111" s="22">
        <f t="shared" si="11"/>
        <v>0</v>
      </c>
      <c r="Z111" s="22">
        <f t="shared" si="13"/>
        <v>0</v>
      </c>
    </row>
    <row r="112" spans="1:26" x14ac:dyDescent="0.25">
      <c r="A112" s="255"/>
      <c r="B112" s="256"/>
      <c r="C112" s="256"/>
      <c r="D112" s="261"/>
      <c r="E112" s="258"/>
      <c r="F112" s="258"/>
      <c r="G112" s="258"/>
      <c r="H112" s="259"/>
      <c r="I112" s="260"/>
      <c r="J112" s="64"/>
      <c r="K112" s="28"/>
      <c r="L112" s="66"/>
      <c r="M112" s="66"/>
      <c r="N112" s="67"/>
      <c r="O112" s="66"/>
      <c r="P112" s="66"/>
      <c r="Q112" s="66"/>
      <c r="R112" s="68"/>
      <c r="S112" s="68"/>
      <c r="T112" s="20"/>
      <c r="U112" s="43"/>
      <c r="V112" s="42">
        <f t="shared" si="12"/>
        <v>0</v>
      </c>
      <c r="W112" s="22"/>
      <c r="X112" s="22"/>
      <c r="Z112" s="22" t="e">
        <f t="shared" si="13"/>
        <v>#DIV/0!</v>
      </c>
    </row>
    <row r="113" spans="1:30" x14ac:dyDescent="0.25">
      <c r="A113" s="255"/>
      <c r="B113" s="256"/>
      <c r="C113" s="256"/>
      <c r="D113" s="261"/>
      <c r="E113" s="258"/>
      <c r="F113" s="258"/>
      <c r="G113" s="258"/>
      <c r="H113" s="259"/>
      <c r="I113" s="260"/>
      <c r="J113" s="204"/>
      <c r="K113" s="223" t="s">
        <v>226</v>
      </c>
      <c r="L113" s="205">
        <v>895000</v>
      </c>
      <c r="M113" s="205">
        <v>0</v>
      </c>
      <c r="N113" s="205">
        <f t="shared" si="19"/>
        <v>895000</v>
      </c>
      <c r="O113" s="205"/>
      <c r="P113" s="205"/>
      <c r="Q113" s="205">
        <v>0</v>
      </c>
      <c r="R113" s="206">
        <v>0</v>
      </c>
      <c r="S113" s="206">
        <f t="shared" si="23"/>
        <v>0</v>
      </c>
      <c r="T113" s="208"/>
      <c r="U113" s="209">
        <f t="shared" si="18"/>
        <v>895000</v>
      </c>
      <c r="V113" s="42">
        <f t="shared" si="12"/>
        <v>447500</v>
      </c>
      <c r="W113" s="22"/>
      <c r="X113" s="22">
        <f t="shared" si="11"/>
        <v>0</v>
      </c>
      <c r="Z113" s="22">
        <f t="shared" si="13"/>
        <v>0</v>
      </c>
    </row>
    <row r="114" spans="1:30" x14ac:dyDescent="0.25">
      <c r="A114" s="240"/>
      <c r="B114" s="244"/>
      <c r="C114" s="247"/>
      <c r="D114" s="242"/>
      <c r="E114" s="242"/>
      <c r="F114" s="242"/>
      <c r="G114" s="241"/>
      <c r="H114" s="241"/>
      <c r="I114" s="242"/>
      <c r="J114" s="64"/>
      <c r="K114" s="28"/>
      <c r="L114" s="66"/>
      <c r="M114" s="66"/>
      <c r="N114" s="67"/>
      <c r="O114" s="30"/>
      <c r="P114" s="30"/>
      <c r="Q114" s="68"/>
      <c r="R114" s="29"/>
      <c r="S114" s="29"/>
      <c r="T114" s="32"/>
      <c r="U114" s="43"/>
      <c r="V114" s="42">
        <f t="shared" si="12"/>
        <v>0</v>
      </c>
      <c r="W114" s="22"/>
      <c r="X114" s="22"/>
      <c r="Z114" s="22" t="e">
        <f t="shared" si="13"/>
        <v>#DIV/0!</v>
      </c>
    </row>
    <row r="115" spans="1:30" x14ac:dyDescent="0.25">
      <c r="A115" s="240"/>
      <c r="B115" s="244"/>
      <c r="C115" s="247"/>
      <c r="D115" s="257"/>
      <c r="E115" s="262"/>
      <c r="F115" s="262"/>
      <c r="G115" s="262"/>
      <c r="H115" s="259"/>
      <c r="I115" s="260"/>
      <c r="J115" s="204"/>
      <c r="K115" s="216" t="s">
        <v>227</v>
      </c>
      <c r="L115" s="211">
        <f>L116+L117+L118</f>
        <v>255800000</v>
      </c>
      <c r="M115" s="211">
        <f>M116+M117</f>
        <v>0</v>
      </c>
      <c r="N115" s="205">
        <f t="shared" si="19"/>
        <v>255800000</v>
      </c>
      <c r="O115" s="205"/>
      <c r="P115" s="205"/>
      <c r="Q115" s="211">
        <f>Q116+Q117+Q118</f>
        <v>19640000</v>
      </c>
      <c r="R115" s="207">
        <v>33280000</v>
      </c>
      <c r="S115" s="207">
        <f t="shared" si="23"/>
        <v>52920000</v>
      </c>
      <c r="T115" s="208">
        <f t="shared" ref="T115:T117" si="24">S115/N115*100</f>
        <v>20.688037529319779</v>
      </c>
      <c r="U115" s="217">
        <f t="shared" si="18"/>
        <v>202880000</v>
      </c>
      <c r="V115" s="42">
        <f t="shared" si="12"/>
        <v>101440000</v>
      </c>
      <c r="W115" s="22">
        <f t="shared" si="20"/>
        <v>7.6778733385457389</v>
      </c>
      <c r="X115" s="22">
        <f t="shared" si="11"/>
        <v>7.6778733385457389</v>
      </c>
      <c r="Z115" s="65">
        <f t="shared" si="13"/>
        <v>7.6778733385457389</v>
      </c>
    </row>
    <row r="116" spans="1:30" x14ac:dyDescent="0.25">
      <c r="A116" s="240"/>
      <c r="B116" s="244"/>
      <c r="C116" s="247"/>
      <c r="D116" s="242"/>
      <c r="E116" s="242"/>
      <c r="F116" s="242"/>
      <c r="G116" s="241"/>
      <c r="H116" s="241"/>
      <c r="I116" s="242"/>
      <c r="J116" s="64"/>
      <c r="K116" s="138" t="s">
        <v>228</v>
      </c>
      <c r="L116" s="66">
        <v>192000000</v>
      </c>
      <c r="M116" s="66">
        <v>0</v>
      </c>
      <c r="N116" s="67">
        <f t="shared" si="19"/>
        <v>192000000</v>
      </c>
      <c r="O116" s="66"/>
      <c r="P116" s="66"/>
      <c r="Q116" s="139">
        <v>16000000</v>
      </c>
      <c r="R116" s="29">
        <v>32000000</v>
      </c>
      <c r="S116" s="29">
        <f t="shared" si="23"/>
        <v>48000000</v>
      </c>
      <c r="T116" s="20"/>
      <c r="U116" s="43">
        <f t="shared" si="18"/>
        <v>144000000</v>
      </c>
      <c r="V116" s="42">
        <f t="shared" si="12"/>
        <v>72000000</v>
      </c>
      <c r="W116" s="22"/>
      <c r="X116" s="22">
        <f t="shared" si="11"/>
        <v>8.3333333333333321</v>
      </c>
      <c r="Z116" s="22">
        <f t="shared" si="13"/>
        <v>8.3333333333333321</v>
      </c>
    </row>
    <row r="117" spans="1:30" x14ac:dyDescent="0.25">
      <c r="A117" s="240"/>
      <c r="B117" s="244"/>
      <c r="C117" s="247"/>
      <c r="D117" s="242"/>
      <c r="E117" s="242"/>
      <c r="F117" s="242"/>
      <c r="G117" s="241"/>
      <c r="H117" s="241"/>
      <c r="I117" s="242"/>
      <c r="J117" s="64"/>
      <c r="K117" s="28" t="s">
        <v>229</v>
      </c>
      <c r="L117" s="66">
        <v>56000000</v>
      </c>
      <c r="M117" s="66">
        <v>0</v>
      </c>
      <c r="N117" s="67">
        <f t="shared" si="19"/>
        <v>56000000</v>
      </c>
      <c r="O117" s="66"/>
      <c r="P117" s="66"/>
      <c r="Q117" s="68">
        <v>3000000</v>
      </c>
      <c r="R117" s="29">
        <v>0</v>
      </c>
      <c r="S117" s="29">
        <f t="shared" si="23"/>
        <v>3000000</v>
      </c>
      <c r="T117" s="20">
        <f t="shared" si="24"/>
        <v>5.3571428571428568</v>
      </c>
      <c r="U117" s="52">
        <f t="shared" si="18"/>
        <v>53000000</v>
      </c>
      <c r="V117" s="42">
        <f t="shared" si="12"/>
        <v>26500000</v>
      </c>
      <c r="W117" s="22">
        <f t="shared" si="20"/>
        <v>5.3571428571428568</v>
      </c>
      <c r="X117" s="22">
        <f t="shared" si="11"/>
        <v>5.3571428571428568</v>
      </c>
      <c r="Z117" s="22">
        <f t="shared" si="13"/>
        <v>5.3571428571428568</v>
      </c>
      <c r="AD117" s="378">
        <f>N115+N120+N128+N111</f>
        <v>447550000</v>
      </c>
    </row>
    <row r="118" spans="1:30" x14ac:dyDescent="0.25">
      <c r="A118" s="240"/>
      <c r="B118" s="244"/>
      <c r="C118" s="247"/>
      <c r="D118" s="242"/>
      <c r="E118" s="242"/>
      <c r="F118" s="242"/>
      <c r="G118" s="241"/>
      <c r="H118" s="241"/>
      <c r="I118" s="242"/>
      <c r="J118" s="64"/>
      <c r="K118" s="28" t="s">
        <v>161</v>
      </c>
      <c r="L118" s="66">
        <v>7800000</v>
      </c>
      <c r="M118" s="66">
        <v>0</v>
      </c>
      <c r="N118" s="67">
        <f t="shared" si="19"/>
        <v>7800000</v>
      </c>
      <c r="O118" s="30"/>
      <c r="P118" s="30"/>
      <c r="Q118" s="68">
        <v>640000</v>
      </c>
      <c r="R118" s="29">
        <v>1280000</v>
      </c>
      <c r="S118" s="29">
        <f>Q118+R118</f>
        <v>1920000</v>
      </c>
      <c r="T118" s="32"/>
      <c r="U118" s="43">
        <f t="shared" si="18"/>
        <v>5880000</v>
      </c>
      <c r="V118" s="42">
        <f t="shared" si="12"/>
        <v>2940000</v>
      </c>
      <c r="W118" s="22"/>
      <c r="X118" s="22">
        <f t="shared" si="11"/>
        <v>8.2051282051282044</v>
      </c>
      <c r="Z118" s="22">
        <f t="shared" si="13"/>
        <v>8.2051282051282044</v>
      </c>
    </row>
    <row r="119" spans="1:30" x14ac:dyDescent="0.25">
      <c r="A119" s="240"/>
      <c r="B119" s="244"/>
      <c r="C119" s="247"/>
      <c r="D119" s="242"/>
      <c r="E119" s="242"/>
      <c r="F119" s="242"/>
      <c r="G119" s="241"/>
      <c r="H119" s="241"/>
      <c r="I119" s="242"/>
      <c r="J119" s="64"/>
      <c r="K119" s="28"/>
      <c r="L119" s="66"/>
      <c r="M119" s="66"/>
      <c r="N119" s="67"/>
      <c r="O119" s="30"/>
      <c r="P119" s="30"/>
      <c r="Q119" s="68"/>
      <c r="R119" s="29"/>
      <c r="S119" s="29"/>
      <c r="T119" s="32"/>
      <c r="U119" s="43"/>
      <c r="V119" s="42"/>
      <c r="W119" s="22"/>
      <c r="X119" s="22"/>
      <c r="Z119" s="22"/>
    </row>
    <row r="120" spans="1:30" x14ac:dyDescent="0.25">
      <c r="A120" s="240"/>
      <c r="B120" s="244"/>
      <c r="C120" s="247"/>
      <c r="D120" s="257"/>
      <c r="E120" s="262"/>
      <c r="F120" s="262"/>
      <c r="G120" s="262"/>
      <c r="H120" s="259"/>
      <c r="I120" s="260"/>
      <c r="J120" s="224"/>
      <c r="K120" s="220" t="s">
        <v>230</v>
      </c>
      <c r="L120" s="211">
        <v>100000000</v>
      </c>
      <c r="M120" s="211">
        <v>0</v>
      </c>
      <c r="N120" s="205">
        <f t="shared" si="19"/>
        <v>100000000</v>
      </c>
      <c r="O120" s="205"/>
      <c r="P120" s="205"/>
      <c r="Q120" s="211">
        <v>0</v>
      </c>
      <c r="R120" s="211">
        <v>0</v>
      </c>
      <c r="S120" s="211">
        <f t="shared" si="23"/>
        <v>0</v>
      </c>
      <c r="T120" s="208">
        <f t="shared" ref="T120" si="25">S120/N120*100</f>
        <v>0</v>
      </c>
      <c r="U120" s="209">
        <f t="shared" si="18"/>
        <v>100000000</v>
      </c>
      <c r="V120" s="42">
        <f t="shared" si="12"/>
        <v>50000000</v>
      </c>
      <c r="W120" s="22">
        <f t="shared" si="20"/>
        <v>0</v>
      </c>
      <c r="X120" s="22">
        <f t="shared" si="11"/>
        <v>0</v>
      </c>
      <c r="Z120" s="65">
        <f t="shared" si="13"/>
        <v>0</v>
      </c>
    </row>
    <row r="121" spans="1:30" x14ac:dyDescent="0.25">
      <c r="A121" s="240"/>
      <c r="B121" s="244"/>
      <c r="C121" s="247"/>
      <c r="D121" s="242"/>
      <c r="E121" s="242"/>
      <c r="F121" s="242"/>
      <c r="G121" s="241"/>
      <c r="H121" s="241"/>
      <c r="I121" s="242"/>
      <c r="J121" s="64"/>
      <c r="K121" s="28"/>
      <c r="L121" s="66"/>
      <c r="M121" s="66"/>
      <c r="N121" s="67"/>
      <c r="O121" s="66"/>
      <c r="P121" s="66"/>
      <c r="Q121" s="68"/>
      <c r="R121" s="68"/>
      <c r="S121" s="68"/>
      <c r="T121" s="20"/>
      <c r="U121" s="43"/>
      <c r="V121" s="42">
        <f t="shared" si="12"/>
        <v>0</v>
      </c>
      <c r="W121" s="22"/>
      <c r="X121" s="22"/>
      <c r="Z121" s="22" t="e">
        <f t="shared" si="13"/>
        <v>#DIV/0!</v>
      </c>
    </row>
    <row r="122" spans="1:30" x14ac:dyDescent="0.25">
      <c r="A122" s="240"/>
      <c r="B122" s="244"/>
      <c r="C122" s="247"/>
      <c r="D122" s="242"/>
      <c r="E122" s="242"/>
      <c r="F122" s="242"/>
      <c r="G122" s="241"/>
      <c r="H122" s="241"/>
      <c r="I122" s="242"/>
      <c r="J122" s="204"/>
      <c r="K122" s="210" t="s">
        <v>231</v>
      </c>
      <c r="L122" s="205">
        <f>L124+L126+L128</f>
        <v>98050000</v>
      </c>
      <c r="M122" s="205">
        <f>M124+M126+M128</f>
        <v>0</v>
      </c>
      <c r="N122" s="205">
        <f t="shared" si="19"/>
        <v>98050000</v>
      </c>
      <c r="O122" s="211"/>
      <c r="P122" s="211"/>
      <c r="Q122" s="206">
        <f>Q124+Q126+Q128</f>
        <v>16300000</v>
      </c>
      <c r="R122" s="207">
        <v>1500000</v>
      </c>
      <c r="S122" s="207">
        <f t="shared" ref="S122" si="26">Q122+R122</f>
        <v>17800000</v>
      </c>
      <c r="T122" s="208">
        <f t="shared" ref="T122" si="27">S122/N122*100</f>
        <v>18.154003059663438</v>
      </c>
      <c r="U122" s="43">
        <f t="shared" ref="U122:U128" si="28">N122-S122</f>
        <v>80250000</v>
      </c>
      <c r="V122" s="42">
        <f t="shared" si="12"/>
        <v>40125000</v>
      </c>
      <c r="W122" s="22">
        <f t="shared" si="20"/>
        <v>16.624171341152476</v>
      </c>
      <c r="X122" s="22">
        <f t="shared" si="11"/>
        <v>16.624171341152476</v>
      </c>
      <c r="Z122" s="22">
        <f t="shared" si="13"/>
        <v>16.624171341152476</v>
      </c>
    </row>
    <row r="123" spans="1:30" x14ac:dyDescent="0.25">
      <c r="A123" s="240"/>
      <c r="B123" s="244"/>
      <c r="C123" s="247"/>
      <c r="D123" s="242"/>
      <c r="E123" s="242"/>
      <c r="F123" s="242"/>
      <c r="G123" s="241"/>
      <c r="H123" s="241"/>
      <c r="I123" s="242"/>
      <c r="J123" s="64"/>
      <c r="K123" s="28"/>
      <c r="L123" s="66"/>
      <c r="M123" s="66"/>
      <c r="N123" s="67"/>
      <c r="O123" s="30"/>
      <c r="P123" s="30"/>
      <c r="Q123" s="68"/>
      <c r="R123" s="29"/>
      <c r="S123" s="29"/>
      <c r="T123" s="32"/>
      <c r="U123" s="43"/>
      <c r="V123" s="42">
        <f t="shared" si="12"/>
        <v>0</v>
      </c>
      <c r="W123" s="22"/>
      <c r="X123" s="22"/>
      <c r="Z123" s="22" t="e">
        <f t="shared" si="13"/>
        <v>#DIV/0!</v>
      </c>
    </row>
    <row r="124" spans="1:30" x14ac:dyDescent="0.25">
      <c r="A124" s="240"/>
      <c r="B124" s="244"/>
      <c r="C124" s="247"/>
      <c r="D124" s="263"/>
      <c r="E124" s="264"/>
      <c r="F124" s="264"/>
      <c r="G124" s="244"/>
      <c r="H124" s="244"/>
      <c r="I124" s="264"/>
      <c r="J124" s="140"/>
      <c r="K124" s="56" t="s">
        <v>232</v>
      </c>
      <c r="L124" s="30">
        <v>5000000</v>
      </c>
      <c r="M124" s="30">
        <v>0</v>
      </c>
      <c r="N124" s="67">
        <f t="shared" si="19"/>
        <v>5000000</v>
      </c>
      <c r="O124" s="30"/>
      <c r="P124" s="30"/>
      <c r="Q124" s="141">
        <v>0</v>
      </c>
      <c r="R124" s="141"/>
      <c r="S124" s="207">
        <f t="shared" ref="S124:S128" si="29">Q124+R124</f>
        <v>0</v>
      </c>
      <c r="T124" s="20"/>
      <c r="U124" s="43">
        <f t="shared" si="28"/>
        <v>5000000</v>
      </c>
      <c r="V124" s="42">
        <f t="shared" si="12"/>
        <v>2500000</v>
      </c>
      <c r="W124" s="22">
        <f t="shared" si="20"/>
        <v>0</v>
      </c>
      <c r="X124" s="22">
        <f t="shared" si="11"/>
        <v>0</v>
      </c>
      <c r="Z124" s="22">
        <f t="shared" si="13"/>
        <v>0</v>
      </c>
    </row>
    <row r="125" spans="1:30" x14ac:dyDescent="0.25">
      <c r="A125" s="240"/>
      <c r="B125" s="244"/>
      <c r="C125" s="247"/>
      <c r="D125" s="242"/>
      <c r="E125" s="242"/>
      <c r="F125" s="242"/>
      <c r="G125" s="241"/>
      <c r="H125" s="241"/>
      <c r="I125" s="242"/>
      <c r="J125" s="64"/>
      <c r="K125" s="138"/>
      <c r="L125" s="66"/>
      <c r="M125" s="66"/>
      <c r="N125" s="67"/>
      <c r="O125" s="30"/>
      <c r="P125" s="30"/>
      <c r="Q125" s="68"/>
      <c r="R125" s="29"/>
      <c r="S125" s="29"/>
      <c r="T125" s="32"/>
      <c r="U125" s="52"/>
      <c r="V125" s="42">
        <f t="shared" si="12"/>
        <v>0</v>
      </c>
      <c r="W125" s="22" t="e">
        <f t="shared" si="20"/>
        <v>#DIV/0!</v>
      </c>
      <c r="X125" s="22"/>
      <c r="Z125" s="65" t="e">
        <f t="shared" si="13"/>
        <v>#DIV/0!</v>
      </c>
    </row>
    <row r="126" spans="1:30" x14ac:dyDescent="0.25">
      <c r="A126" s="240"/>
      <c r="B126" s="244"/>
      <c r="C126" s="247"/>
      <c r="D126" s="242"/>
      <c r="E126" s="242"/>
      <c r="F126" s="242"/>
      <c r="G126" s="241"/>
      <c r="H126" s="241"/>
      <c r="I126" s="242"/>
      <c r="J126" s="64"/>
      <c r="K126" s="138" t="s">
        <v>233</v>
      </c>
      <c r="L126" s="66">
        <v>13050000</v>
      </c>
      <c r="M126" s="66">
        <v>0</v>
      </c>
      <c r="N126" s="67">
        <f t="shared" si="19"/>
        <v>13050000</v>
      </c>
      <c r="O126" s="30"/>
      <c r="P126" s="30"/>
      <c r="Q126" s="68">
        <v>0</v>
      </c>
      <c r="R126" s="207">
        <v>1500000</v>
      </c>
      <c r="S126" s="207">
        <f t="shared" si="29"/>
        <v>1500000</v>
      </c>
      <c r="T126" s="208">
        <f t="shared" ref="T126" si="30">S126/N126*100</f>
        <v>11.494252873563218</v>
      </c>
      <c r="U126" s="43">
        <f t="shared" si="28"/>
        <v>11550000</v>
      </c>
      <c r="V126" s="42">
        <f t="shared" si="12"/>
        <v>5775000</v>
      </c>
      <c r="W126" s="22">
        <f t="shared" si="20"/>
        <v>0</v>
      </c>
      <c r="X126" s="22">
        <f t="shared" si="11"/>
        <v>0</v>
      </c>
      <c r="Z126" s="65">
        <f t="shared" si="13"/>
        <v>0</v>
      </c>
    </row>
    <row r="127" spans="1:30" x14ac:dyDescent="0.25">
      <c r="A127" s="240"/>
      <c r="B127" s="244"/>
      <c r="C127" s="247"/>
      <c r="D127" s="242"/>
      <c r="E127" s="242"/>
      <c r="F127" s="242"/>
      <c r="G127" s="241"/>
      <c r="H127" s="241"/>
      <c r="I127" s="242"/>
      <c r="J127" s="64"/>
      <c r="K127" s="138"/>
      <c r="L127" s="66"/>
      <c r="M127" s="66"/>
      <c r="N127" s="67"/>
      <c r="O127" s="30"/>
      <c r="P127" s="30"/>
      <c r="Q127" s="68"/>
      <c r="R127" s="68"/>
      <c r="S127" s="68"/>
      <c r="T127" s="20"/>
      <c r="U127" s="43"/>
      <c r="V127" s="42"/>
      <c r="W127" s="22"/>
      <c r="X127" s="22"/>
      <c r="Z127" s="65"/>
    </row>
    <row r="128" spans="1:30" x14ac:dyDescent="0.25">
      <c r="A128" s="240"/>
      <c r="B128" s="244"/>
      <c r="C128" s="247"/>
      <c r="D128" s="242"/>
      <c r="E128" s="242"/>
      <c r="F128" s="242"/>
      <c r="G128" s="241"/>
      <c r="H128" s="241"/>
      <c r="I128" s="242"/>
      <c r="J128" s="64"/>
      <c r="K128" s="138" t="s">
        <v>234</v>
      </c>
      <c r="L128" s="66">
        <v>80000000</v>
      </c>
      <c r="M128" s="66">
        <v>0</v>
      </c>
      <c r="N128" s="67">
        <f t="shared" si="19"/>
        <v>80000000</v>
      </c>
      <c r="O128" s="30"/>
      <c r="P128" s="30"/>
      <c r="Q128" s="68">
        <v>16300000</v>
      </c>
      <c r="R128" s="68">
        <v>0</v>
      </c>
      <c r="S128" s="207">
        <f t="shared" si="29"/>
        <v>16300000</v>
      </c>
      <c r="T128" s="20"/>
      <c r="U128" s="43">
        <f t="shared" si="28"/>
        <v>63700000</v>
      </c>
      <c r="V128" s="42"/>
      <c r="W128" s="22"/>
      <c r="X128" s="22">
        <f t="shared" si="11"/>
        <v>20.375</v>
      </c>
      <c r="Z128" s="65"/>
    </row>
    <row r="129" spans="1:26" x14ac:dyDescent="0.25">
      <c r="A129" s="240"/>
      <c r="B129" s="244"/>
      <c r="C129" s="247"/>
      <c r="D129" s="242"/>
      <c r="E129" s="242"/>
      <c r="F129" s="242"/>
      <c r="G129" s="241"/>
      <c r="H129" s="241"/>
      <c r="I129" s="242"/>
      <c r="J129" s="64"/>
      <c r="K129" s="28"/>
      <c r="L129" s="66"/>
      <c r="M129" s="66"/>
      <c r="N129" s="67"/>
      <c r="O129" s="30"/>
      <c r="P129" s="30"/>
      <c r="Q129" s="68"/>
      <c r="R129" s="29"/>
      <c r="S129" s="29"/>
      <c r="T129" s="32"/>
      <c r="U129" s="43"/>
      <c r="V129" s="42">
        <f t="shared" si="12"/>
        <v>0</v>
      </c>
      <c r="W129" s="22"/>
      <c r="X129" s="22"/>
      <c r="Z129" s="22" t="e">
        <f t="shared" si="13"/>
        <v>#DIV/0!</v>
      </c>
    </row>
    <row r="130" spans="1:26" x14ac:dyDescent="0.25">
      <c r="A130" s="265"/>
      <c r="B130" s="266"/>
      <c r="C130" s="267"/>
      <c r="D130" s="268"/>
      <c r="E130" s="268"/>
      <c r="F130" s="268"/>
      <c r="G130" s="269"/>
      <c r="H130" s="269"/>
      <c r="I130" s="268"/>
      <c r="J130" s="150"/>
      <c r="K130" s="151"/>
      <c r="L130" s="152">
        <f>L12+L94</f>
        <v>2184252000</v>
      </c>
      <c r="M130" s="152">
        <f>M12+M94</f>
        <v>0</v>
      </c>
      <c r="N130" s="152">
        <f>N94+N12</f>
        <v>2184252000</v>
      </c>
      <c r="O130" s="153"/>
      <c r="P130" s="153"/>
      <c r="Q130" s="152">
        <f>Q12+Q94</f>
        <v>149345980</v>
      </c>
      <c r="R130" s="152">
        <f>R12+R94</f>
        <v>290466631</v>
      </c>
      <c r="S130" s="152">
        <f>S12+S94</f>
        <v>439812611</v>
      </c>
      <c r="T130" s="154">
        <f>S130/N130*100</f>
        <v>20.135616723711365</v>
      </c>
      <c r="U130" s="152">
        <f>N130-S130</f>
        <v>1744439389</v>
      </c>
      <c r="V130" s="42">
        <f t="shared" si="12"/>
        <v>872219694.5</v>
      </c>
      <c r="W130" s="22">
        <f t="shared" si="20"/>
        <v>6.8373969670166259</v>
      </c>
      <c r="X130" s="22">
        <f t="shared" si="11"/>
        <v>6.8373969670166259</v>
      </c>
    </row>
    <row r="131" spans="1:26" x14ac:dyDescent="0.25">
      <c r="A131" s="155"/>
      <c r="B131" s="156"/>
      <c r="C131" s="157"/>
      <c r="D131" s="158"/>
      <c r="E131" s="158"/>
      <c r="F131" s="158"/>
      <c r="G131" s="159"/>
      <c r="H131" s="159"/>
      <c r="I131" s="158"/>
      <c r="J131" s="160"/>
      <c r="K131" s="161"/>
      <c r="L131" s="162"/>
      <c r="M131" s="162"/>
      <c r="N131" s="162"/>
      <c r="O131" s="163"/>
      <c r="P131" s="163"/>
      <c r="Q131" s="162"/>
      <c r="R131" s="164"/>
      <c r="S131" s="165"/>
      <c r="T131" s="166"/>
      <c r="W131" s="166"/>
      <c r="X131" s="166"/>
    </row>
    <row r="132" spans="1:26" x14ac:dyDescent="0.25">
      <c r="A132" s="167"/>
      <c r="B132" s="167"/>
      <c r="C132" s="168"/>
      <c r="D132" s="169"/>
      <c r="E132" s="169"/>
      <c r="F132" s="169"/>
      <c r="G132" s="170"/>
      <c r="H132" s="170"/>
      <c r="I132" s="169"/>
      <c r="J132" s="171"/>
      <c r="K132" s="171"/>
      <c r="L132" s="172"/>
      <c r="M132" s="172"/>
      <c r="N132" s="172"/>
      <c r="O132" s="162"/>
      <c r="P132" s="162"/>
      <c r="Q132" s="173"/>
      <c r="R132" s="174"/>
      <c r="S132" s="173"/>
      <c r="T132" s="175"/>
      <c r="W132" s="175"/>
      <c r="X132" s="175"/>
    </row>
    <row r="133" spans="1:26" x14ac:dyDescent="0.25">
      <c r="A133" s="167"/>
      <c r="B133" s="167"/>
      <c r="C133" s="168"/>
      <c r="D133" s="169"/>
      <c r="E133" s="169"/>
      <c r="F133" s="169"/>
      <c r="G133" s="170"/>
      <c r="H133" s="170"/>
      <c r="I133" s="169"/>
      <c r="J133" s="171"/>
      <c r="K133" s="171"/>
      <c r="L133" s="172"/>
      <c r="M133" s="172"/>
      <c r="N133" s="172"/>
      <c r="O133" s="162"/>
      <c r="P133" s="162"/>
      <c r="Q133" s="173"/>
      <c r="R133" s="174"/>
      <c r="S133" s="173"/>
      <c r="T133" s="175"/>
      <c r="W133" s="175"/>
      <c r="X133" s="175"/>
    </row>
    <row r="134" spans="1:26" x14ac:dyDescent="0.25">
      <c r="A134" s="497"/>
      <c r="B134" s="497"/>
      <c r="C134" s="497"/>
      <c r="D134" s="497"/>
      <c r="E134" s="497"/>
      <c r="F134" s="497"/>
      <c r="G134" s="497"/>
      <c r="H134" s="497"/>
      <c r="I134" s="497"/>
      <c r="J134" s="497"/>
      <c r="K134" s="176"/>
      <c r="L134" s="176"/>
      <c r="M134" s="275"/>
      <c r="N134" s="275"/>
      <c r="O134" s="162"/>
      <c r="P134" s="162"/>
      <c r="Q134" s="178"/>
      <c r="R134" s="179"/>
      <c r="S134" s="179"/>
      <c r="T134" s="180"/>
      <c r="W134" s="180"/>
      <c r="X134" s="180"/>
    </row>
    <row r="135" spans="1:26" x14ac:dyDescent="0.25">
      <c r="A135" s="176"/>
      <c r="B135" s="176"/>
      <c r="C135" s="176"/>
      <c r="D135" s="495" t="s">
        <v>168</v>
      </c>
      <c r="E135" s="495"/>
      <c r="F135" s="495"/>
      <c r="G135" s="495"/>
      <c r="H135" s="495"/>
      <c r="I135" s="495"/>
      <c r="J135" s="495"/>
      <c r="K135" s="495"/>
      <c r="L135" s="495"/>
      <c r="M135" s="275"/>
      <c r="N135" s="275"/>
      <c r="O135" s="163"/>
      <c r="P135" s="163"/>
      <c r="Q135" s="181"/>
      <c r="R135" s="498"/>
      <c r="S135" s="498"/>
      <c r="T135" s="498"/>
    </row>
    <row r="136" spans="1:26" x14ac:dyDescent="0.25">
      <c r="A136" s="495" t="s">
        <v>169</v>
      </c>
      <c r="B136" s="495"/>
      <c r="C136" s="495"/>
      <c r="D136" s="495"/>
      <c r="E136" s="495"/>
      <c r="F136" s="495"/>
      <c r="G136" s="495"/>
      <c r="H136" s="495"/>
      <c r="I136" s="495"/>
      <c r="J136" s="495"/>
      <c r="K136" s="275" t="s">
        <v>170</v>
      </c>
      <c r="L136" s="176"/>
      <c r="N136" s="496" t="s">
        <v>171</v>
      </c>
      <c r="O136" s="496"/>
      <c r="P136" s="496"/>
      <c r="Q136" s="496"/>
      <c r="R136" s="496" t="s">
        <v>172</v>
      </c>
      <c r="S136" s="496"/>
      <c r="T136" s="496"/>
      <c r="U136" s="496"/>
      <c r="W136" s="182"/>
      <c r="X136" s="182"/>
    </row>
    <row r="137" spans="1:26" x14ac:dyDescent="0.25">
      <c r="A137" s="275"/>
      <c r="B137" s="275"/>
      <c r="C137" s="275"/>
      <c r="D137" s="495" t="s">
        <v>173</v>
      </c>
      <c r="E137" s="495"/>
      <c r="F137" s="495"/>
      <c r="G137" s="495"/>
      <c r="H137" s="495"/>
      <c r="I137" s="495"/>
      <c r="J137" s="495"/>
      <c r="K137" s="275" t="s">
        <v>174</v>
      </c>
      <c r="L137" s="176"/>
      <c r="N137" s="496" t="s">
        <v>174</v>
      </c>
      <c r="O137" s="496"/>
      <c r="P137" s="496"/>
      <c r="Q137" s="496"/>
      <c r="R137" s="495" t="s">
        <v>175</v>
      </c>
      <c r="S137" s="495"/>
      <c r="T137" s="495"/>
      <c r="U137" s="495"/>
      <c r="W137" s="176"/>
      <c r="X137" s="176"/>
    </row>
    <row r="138" spans="1:26" x14ac:dyDescent="0.25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N138" s="183"/>
      <c r="O138" s="277"/>
      <c r="P138" s="277"/>
      <c r="Q138" s="277"/>
      <c r="R138" s="185"/>
      <c r="S138" s="185"/>
      <c r="T138" s="185"/>
      <c r="W138" s="185"/>
      <c r="X138" s="185"/>
    </row>
    <row r="139" spans="1:26" x14ac:dyDescent="0.25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N139" s="183"/>
      <c r="O139" s="277"/>
      <c r="P139" s="277"/>
      <c r="Q139" s="277"/>
      <c r="R139" s="185"/>
      <c r="S139" s="185"/>
      <c r="T139" s="185"/>
      <c r="W139" s="185"/>
      <c r="X139" s="185"/>
    </row>
    <row r="140" spans="1:26" x14ac:dyDescent="0.25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275"/>
      <c r="L140" s="275"/>
      <c r="N140" s="164"/>
      <c r="O140" s="186"/>
      <c r="P140" s="186"/>
      <c r="Q140" s="186"/>
      <c r="R140" s="185"/>
      <c r="S140" s="185"/>
      <c r="T140" s="185"/>
      <c r="W140" s="185"/>
      <c r="X140" s="185"/>
    </row>
    <row r="141" spans="1:26" x14ac:dyDescent="0.25">
      <c r="A141" s="499"/>
      <c r="B141" s="499"/>
      <c r="C141" s="499"/>
      <c r="D141" s="499"/>
      <c r="E141" s="499"/>
      <c r="F141" s="499"/>
      <c r="G141" s="499"/>
      <c r="H141" s="499"/>
      <c r="I141" s="499"/>
      <c r="J141" s="499"/>
      <c r="K141" s="275"/>
      <c r="L141" s="176"/>
      <c r="N141" s="183"/>
      <c r="O141" s="187"/>
      <c r="P141" s="186"/>
      <c r="Q141" s="186"/>
      <c r="R141" s="186"/>
      <c r="S141" s="186"/>
      <c r="T141" s="186"/>
      <c r="W141" s="186"/>
      <c r="X141" s="186"/>
    </row>
    <row r="142" spans="1:26" x14ac:dyDescent="0.25">
      <c r="A142" s="499" t="s">
        <v>176</v>
      </c>
      <c r="B142" s="499"/>
      <c r="C142" s="499"/>
      <c r="D142" s="499"/>
      <c r="E142" s="499"/>
      <c r="F142" s="499"/>
      <c r="G142" s="499"/>
      <c r="H142" s="499"/>
      <c r="I142" s="499"/>
      <c r="J142" s="499"/>
      <c r="K142" s="276" t="s">
        <v>177</v>
      </c>
      <c r="L142" s="189"/>
      <c r="N142" s="500" t="s">
        <v>178</v>
      </c>
      <c r="O142" s="500"/>
      <c r="P142" s="500"/>
      <c r="Q142" s="500"/>
      <c r="R142" s="501" t="s">
        <v>179</v>
      </c>
      <c r="S142" s="501"/>
      <c r="T142" s="501"/>
      <c r="U142" s="501"/>
    </row>
    <row r="143" spans="1:26" x14ac:dyDescent="0.25">
      <c r="A143" s="502" t="s">
        <v>180</v>
      </c>
      <c r="B143" s="502"/>
      <c r="C143" s="502"/>
      <c r="D143" s="502"/>
      <c r="E143" s="502"/>
      <c r="F143" s="502"/>
      <c r="G143" s="502"/>
      <c r="H143" s="502"/>
      <c r="I143" s="502"/>
      <c r="J143" s="502"/>
      <c r="K143" s="275" t="s">
        <v>181</v>
      </c>
      <c r="L143" s="176"/>
      <c r="N143" s="503" t="s">
        <v>182</v>
      </c>
      <c r="O143" s="503"/>
      <c r="P143" s="503"/>
      <c r="Q143" s="503"/>
      <c r="R143" s="504" t="s">
        <v>183</v>
      </c>
      <c r="S143" s="504"/>
      <c r="T143" s="504"/>
      <c r="U143" s="504"/>
    </row>
    <row r="144" spans="1:26" x14ac:dyDescent="0.25">
      <c r="A144" s="190"/>
      <c r="B144" s="190"/>
      <c r="C144" s="190"/>
      <c r="D144" s="495"/>
      <c r="E144" s="495"/>
      <c r="F144" s="495"/>
      <c r="G144" s="495"/>
      <c r="H144" s="495"/>
      <c r="I144" s="190"/>
      <c r="J144" s="190"/>
      <c r="K144" s="190"/>
      <c r="L144" s="190"/>
      <c r="M144" s="190"/>
      <c r="N144" s="190"/>
      <c r="O144" s="163"/>
      <c r="P144" s="163"/>
      <c r="Q144" s="191"/>
      <c r="R144" s="191"/>
      <c r="S144" s="191"/>
      <c r="T144" s="191"/>
      <c r="W144" s="191"/>
      <c r="X144" s="191"/>
    </row>
    <row r="145" spans="1:24" x14ac:dyDescent="0.25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63"/>
      <c r="P145" s="163"/>
      <c r="Q145" s="191"/>
      <c r="R145" s="191"/>
      <c r="S145" s="191"/>
      <c r="T145" s="191"/>
      <c r="W145" s="191"/>
      <c r="X145" s="191"/>
    </row>
    <row r="146" spans="1:24" x14ac:dyDescent="0.25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62"/>
      <c r="P146" s="162"/>
      <c r="Q146" s="191"/>
      <c r="R146" s="191"/>
      <c r="S146" s="191"/>
      <c r="T146" s="191"/>
      <c r="W146" s="191"/>
      <c r="X146" s="191"/>
    </row>
    <row r="147" spans="1:24" x14ac:dyDescent="0.25">
      <c r="A147" s="190"/>
      <c r="B147" s="190"/>
      <c r="C147" s="190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90"/>
      <c r="O147" s="163"/>
      <c r="P147" s="163"/>
      <c r="Q147" s="191"/>
      <c r="R147" s="191"/>
      <c r="S147" s="191"/>
      <c r="T147" s="191"/>
      <c r="W147" s="191"/>
      <c r="X147" s="191"/>
    </row>
    <row r="148" spans="1:24" x14ac:dyDescent="0.25">
      <c r="A148" s="190"/>
      <c r="B148" s="190"/>
      <c r="C148" s="190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0"/>
      <c r="O148" s="163"/>
      <c r="P148" s="163"/>
      <c r="Q148" s="191"/>
      <c r="R148" s="191"/>
      <c r="S148" s="191"/>
      <c r="T148" s="191"/>
      <c r="W148" s="191"/>
      <c r="X148" s="191"/>
    </row>
    <row r="149" spans="1:24" x14ac:dyDescent="0.25">
      <c r="A149" s="190"/>
      <c r="B149" s="190"/>
      <c r="C149" s="190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90"/>
      <c r="O149" s="163"/>
      <c r="P149" s="163"/>
      <c r="Q149" s="191"/>
      <c r="R149" s="191"/>
      <c r="S149" s="191"/>
      <c r="T149" s="191"/>
      <c r="U149" s="1"/>
      <c r="W149" s="191"/>
      <c r="X149" s="191"/>
    </row>
    <row r="150" spans="1:24" x14ac:dyDescent="0.25">
      <c r="A150" s="190"/>
      <c r="B150" s="190"/>
      <c r="C150" s="190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90"/>
      <c r="O150" s="162"/>
      <c r="P150" s="162"/>
      <c r="Q150" s="191"/>
      <c r="R150" s="191"/>
      <c r="S150" s="191"/>
      <c r="T150" s="191"/>
      <c r="U150" s="1"/>
      <c r="W150" s="191"/>
      <c r="X150" s="191"/>
    </row>
    <row r="151" spans="1:24" x14ac:dyDescent="0.25">
      <c r="A151" s="190"/>
      <c r="B151" s="190"/>
      <c r="C151" s="190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190"/>
      <c r="O151" s="163"/>
      <c r="P151" s="163"/>
      <c r="Q151" s="191"/>
      <c r="R151" s="191"/>
      <c r="S151" s="191"/>
      <c r="T151" s="191"/>
      <c r="U151" s="1"/>
      <c r="W151" s="191"/>
      <c r="X151" s="191"/>
    </row>
    <row r="152" spans="1:24" x14ac:dyDescent="0.25">
      <c r="A152" s="190"/>
      <c r="B152" s="190"/>
      <c r="C152" s="190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190"/>
      <c r="O152" s="163"/>
      <c r="P152" s="163"/>
      <c r="Q152" s="191"/>
      <c r="R152" s="191"/>
      <c r="S152" s="191"/>
      <c r="T152" s="191"/>
      <c r="U152" s="1"/>
      <c r="W152" s="191"/>
      <c r="X152" s="191"/>
    </row>
    <row r="153" spans="1:24" x14ac:dyDescent="0.25">
      <c r="A153" s="190"/>
      <c r="B153" s="190"/>
      <c r="C153" s="190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190"/>
      <c r="O153" s="162"/>
      <c r="P153" s="162"/>
      <c r="Q153" s="191"/>
      <c r="R153" s="191"/>
      <c r="S153" s="191"/>
      <c r="T153" s="191"/>
      <c r="U153" s="1"/>
      <c r="W153" s="191"/>
      <c r="X153" s="191"/>
    </row>
    <row r="154" spans="1:24" x14ac:dyDescent="0.25">
      <c r="A154" s="190"/>
      <c r="B154" s="190"/>
      <c r="C154" s="190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90"/>
      <c r="O154" s="172"/>
      <c r="P154" s="172"/>
      <c r="Q154" s="191"/>
      <c r="R154" s="191"/>
      <c r="S154" s="191"/>
      <c r="T154" s="191"/>
      <c r="U154" s="1"/>
      <c r="W154" s="191"/>
      <c r="X154" s="191"/>
    </row>
    <row r="155" spans="1:24" x14ac:dyDescent="0.25">
      <c r="A155" s="193"/>
      <c r="B155" s="193"/>
      <c r="C155" s="193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O155" s="194"/>
      <c r="P155" s="194"/>
      <c r="Q155" s="195"/>
      <c r="R155" s="195"/>
      <c r="S155" s="195"/>
      <c r="T155" s="195"/>
      <c r="U155" s="1"/>
      <c r="W155" s="195"/>
      <c r="X155" s="195"/>
    </row>
    <row r="156" spans="1:24" x14ac:dyDescent="0.25"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O156" s="275"/>
      <c r="P156" s="275"/>
      <c r="Q156" s="195"/>
      <c r="R156" s="195"/>
      <c r="S156" s="195"/>
      <c r="T156" s="195"/>
      <c r="U156" s="1"/>
      <c r="W156" s="195"/>
      <c r="X156" s="195"/>
    </row>
    <row r="157" spans="1:24" x14ac:dyDescent="0.25">
      <c r="O157" s="275"/>
      <c r="P157" s="275"/>
      <c r="Q157" s="195"/>
      <c r="R157" s="195"/>
      <c r="S157" s="195"/>
      <c r="T157" s="195"/>
      <c r="U157" s="1"/>
      <c r="W157" s="195"/>
      <c r="X157" s="195"/>
    </row>
    <row r="158" spans="1:24" x14ac:dyDescent="0.25">
      <c r="O158" s="275"/>
      <c r="P158" s="275"/>
      <c r="Q158" s="195"/>
      <c r="R158" s="195"/>
      <c r="S158" s="195"/>
      <c r="T158" s="195"/>
      <c r="U158" s="1"/>
      <c r="W158" s="195"/>
      <c r="X158" s="195"/>
    </row>
    <row r="159" spans="1:24" x14ac:dyDescent="0.25">
      <c r="O159" s="275"/>
      <c r="P159" s="275"/>
      <c r="Q159" s="195"/>
      <c r="R159" s="195"/>
      <c r="S159" s="195"/>
      <c r="T159" s="195"/>
      <c r="U159" s="1"/>
      <c r="W159" s="195"/>
      <c r="X159" s="195"/>
    </row>
    <row r="160" spans="1:24" x14ac:dyDescent="0.25">
      <c r="O160" s="275"/>
      <c r="P160" s="275"/>
      <c r="Q160" s="195"/>
      <c r="R160" s="195"/>
      <c r="S160" s="195"/>
      <c r="T160" s="195"/>
      <c r="U160" s="1"/>
      <c r="W160" s="195"/>
      <c r="X160" s="195"/>
    </row>
    <row r="161" spans="15:24" x14ac:dyDescent="0.25">
      <c r="O161" s="275"/>
      <c r="P161" s="275"/>
      <c r="Q161" s="195"/>
      <c r="R161" s="195"/>
      <c r="S161" s="195"/>
      <c r="T161" s="195"/>
      <c r="U161" s="1"/>
      <c r="W161" s="195"/>
      <c r="X161" s="195"/>
    </row>
    <row r="162" spans="15:24" x14ac:dyDescent="0.25">
      <c r="O162" s="276"/>
      <c r="P162" s="276"/>
      <c r="Q162" s="195"/>
      <c r="R162" s="195"/>
      <c r="S162" s="195"/>
      <c r="T162" s="195"/>
      <c r="U162" s="1"/>
      <c r="W162" s="195"/>
      <c r="X162" s="195"/>
    </row>
    <row r="163" spans="15:24" x14ac:dyDescent="0.25">
      <c r="O163" s="275"/>
      <c r="P163" s="275"/>
      <c r="Q163" s="195"/>
      <c r="R163" s="195"/>
      <c r="S163" s="195"/>
      <c r="T163" s="195"/>
      <c r="U163" s="1"/>
      <c r="W163" s="195"/>
      <c r="X163" s="195"/>
    </row>
    <row r="164" spans="15:24" x14ac:dyDescent="0.25">
      <c r="O164" s="190"/>
      <c r="P164" s="190"/>
      <c r="Q164" s="195"/>
      <c r="R164" s="195"/>
      <c r="S164" s="195"/>
      <c r="T164" s="195"/>
      <c r="U164" s="1"/>
      <c r="W164" s="195"/>
      <c r="X164" s="195"/>
    </row>
    <row r="165" spans="15:24" x14ac:dyDescent="0.25">
      <c r="O165" s="190"/>
      <c r="P165" s="190"/>
      <c r="Q165" s="195"/>
      <c r="R165" s="195"/>
      <c r="S165" s="195"/>
      <c r="T165" s="195"/>
      <c r="U165" s="1"/>
      <c r="W165" s="195"/>
      <c r="X165" s="195"/>
    </row>
    <row r="166" spans="15:24" x14ac:dyDescent="0.25">
      <c r="O166" s="190"/>
      <c r="P166" s="190"/>
      <c r="Q166" s="195"/>
      <c r="R166" s="195"/>
      <c r="S166" s="195"/>
      <c r="T166" s="195"/>
      <c r="U166" s="1"/>
      <c r="W166" s="195"/>
      <c r="X166" s="195"/>
    </row>
    <row r="167" spans="15:24" x14ac:dyDescent="0.25">
      <c r="O167" s="190"/>
      <c r="P167" s="190"/>
      <c r="Q167" s="195"/>
      <c r="R167" s="195"/>
      <c r="S167" s="195"/>
      <c r="T167" s="195"/>
      <c r="U167" s="1"/>
      <c r="W167" s="195"/>
      <c r="X167" s="195"/>
    </row>
    <row r="168" spans="15:24" x14ac:dyDescent="0.25">
      <c r="O168" s="190"/>
      <c r="P168" s="190"/>
      <c r="Q168" s="195"/>
      <c r="R168" s="195"/>
      <c r="S168" s="195"/>
      <c r="T168" s="195"/>
      <c r="U168" s="1"/>
      <c r="W168" s="195"/>
      <c r="X168" s="195"/>
    </row>
    <row r="169" spans="15:24" x14ac:dyDescent="0.25">
      <c r="O169" s="190"/>
      <c r="P169" s="190"/>
      <c r="Q169" s="195"/>
      <c r="R169" s="195"/>
      <c r="S169" s="195"/>
      <c r="T169" s="195"/>
      <c r="U169" s="1"/>
      <c r="W169" s="195"/>
      <c r="X169" s="195"/>
    </row>
    <row r="170" spans="15:24" x14ac:dyDescent="0.25">
      <c r="O170" s="190"/>
      <c r="P170" s="190"/>
      <c r="Q170" s="195"/>
      <c r="R170" s="195"/>
      <c r="S170" s="195"/>
      <c r="T170" s="195"/>
      <c r="U170" s="1"/>
      <c r="W170" s="195"/>
      <c r="X170" s="195"/>
    </row>
    <row r="171" spans="15:24" x14ac:dyDescent="0.25">
      <c r="O171" s="190"/>
      <c r="P171" s="190"/>
      <c r="Q171" s="195"/>
      <c r="R171" s="195"/>
      <c r="S171" s="195"/>
      <c r="T171" s="195"/>
      <c r="U171" s="1"/>
      <c r="W171" s="195"/>
      <c r="X171" s="195"/>
    </row>
    <row r="172" spans="15:24" x14ac:dyDescent="0.25">
      <c r="O172" s="190"/>
      <c r="P172" s="190"/>
      <c r="Q172" s="195"/>
      <c r="R172" s="195"/>
      <c r="S172" s="195"/>
      <c r="T172" s="195"/>
      <c r="U172" s="1"/>
      <c r="W172" s="195"/>
      <c r="X172" s="195"/>
    </row>
    <row r="173" spans="15:24" x14ac:dyDescent="0.25">
      <c r="O173" s="190"/>
      <c r="P173" s="190"/>
      <c r="Q173" s="195"/>
      <c r="R173" s="195"/>
      <c r="S173" s="195"/>
      <c r="T173" s="195"/>
      <c r="U173" s="1"/>
      <c r="W173" s="195"/>
      <c r="X173" s="195"/>
    </row>
    <row r="174" spans="15:24" x14ac:dyDescent="0.25">
      <c r="O174" s="190"/>
      <c r="P174" s="190"/>
      <c r="Q174" s="195"/>
      <c r="R174" s="195"/>
      <c r="S174" s="195"/>
      <c r="T174" s="195"/>
      <c r="U174" s="1"/>
      <c r="W174" s="195"/>
      <c r="X174" s="195"/>
    </row>
    <row r="175" spans="15:24" x14ac:dyDescent="0.25">
      <c r="O175" s="190"/>
      <c r="P175" s="190"/>
      <c r="Q175" s="195"/>
      <c r="R175" s="195"/>
      <c r="S175" s="195"/>
      <c r="T175" s="195"/>
      <c r="U175" s="1"/>
      <c r="W175" s="195"/>
      <c r="X175" s="195"/>
    </row>
    <row r="176" spans="15:24" x14ac:dyDescent="0.25">
      <c r="Q176" s="195"/>
      <c r="R176" s="195"/>
      <c r="S176" s="195"/>
      <c r="T176" s="195"/>
      <c r="U176" s="1"/>
      <c r="W176" s="195"/>
      <c r="X176" s="195"/>
    </row>
    <row r="177" spans="17:24" x14ac:dyDescent="0.25">
      <c r="Q177" s="195"/>
      <c r="R177" s="195"/>
      <c r="S177" s="195"/>
      <c r="T177" s="195"/>
      <c r="U177" s="1"/>
      <c r="W177" s="195"/>
      <c r="X177" s="195"/>
    </row>
    <row r="178" spans="17:24" x14ac:dyDescent="0.25">
      <c r="Q178" s="195"/>
      <c r="R178" s="195"/>
      <c r="S178" s="195"/>
      <c r="T178" s="195"/>
      <c r="U178" s="1"/>
      <c r="W178" s="195"/>
      <c r="X178" s="195"/>
    </row>
    <row r="179" spans="17:24" x14ac:dyDescent="0.25">
      <c r="Q179" s="195"/>
      <c r="R179" s="195"/>
      <c r="S179" s="195"/>
      <c r="T179" s="195"/>
      <c r="U179" s="1"/>
      <c r="W179" s="195"/>
      <c r="X179" s="195"/>
    </row>
    <row r="180" spans="17:24" x14ac:dyDescent="0.25">
      <c r="Q180" s="195"/>
      <c r="R180" s="195"/>
      <c r="S180" s="195"/>
      <c r="T180" s="195"/>
      <c r="U180" s="1"/>
      <c r="W180" s="195"/>
      <c r="X180" s="195"/>
    </row>
    <row r="181" spans="17:24" x14ac:dyDescent="0.25">
      <c r="Q181" s="195"/>
      <c r="R181" s="195"/>
      <c r="S181" s="195"/>
      <c r="T181" s="195"/>
      <c r="U181" s="1"/>
      <c r="W181" s="195"/>
      <c r="X181" s="195"/>
    </row>
    <row r="182" spans="17:24" x14ac:dyDescent="0.25">
      <c r="Q182" s="195"/>
      <c r="R182" s="195"/>
      <c r="S182" s="195"/>
      <c r="T182" s="195"/>
      <c r="U182" s="1"/>
      <c r="W182" s="195"/>
      <c r="X182" s="195"/>
    </row>
    <row r="183" spans="17:24" x14ac:dyDescent="0.25">
      <c r="Q183" s="195"/>
      <c r="R183" s="195"/>
      <c r="S183" s="195"/>
      <c r="T183" s="195"/>
      <c r="U183" s="1"/>
      <c r="W183" s="195"/>
      <c r="X183" s="195"/>
    </row>
    <row r="184" spans="17:24" x14ac:dyDescent="0.25">
      <c r="Q184" s="195"/>
      <c r="R184" s="195"/>
      <c r="S184" s="195"/>
      <c r="T184" s="195"/>
      <c r="U184" s="1"/>
      <c r="W184" s="195"/>
      <c r="X184" s="195"/>
    </row>
    <row r="185" spans="17:24" x14ac:dyDescent="0.25">
      <c r="Q185" s="195"/>
      <c r="R185" s="195"/>
      <c r="S185" s="195"/>
      <c r="T185" s="195"/>
      <c r="U185" s="1"/>
      <c r="W185" s="195"/>
      <c r="X185" s="195"/>
    </row>
    <row r="186" spans="17:24" x14ac:dyDescent="0.25">
      <c r="Q186" s="195"/>
      <c r="R186" s="195"/>
      <c r="S186" s="195"/>
      <c r="T186" s="195"/>
      <c r="U186" s="1"/>
      <c r="W186" s="195"/>
      <c r="X186" s="195"/>
    </row>
    <row r="187" spans="17:24" x14ac:dyDescent="0.25">
      <c r="Q187" s="195"/>
      <c r="R187" s="195"/>
      <c r="S187" s="195"/>
      <c r="T187" s="195"/>
      <c r="U187" s="1"/>
      <c r="W187" s="195"/>
      <c r="X187" s="195"/>
    </row>
    <row r="188" spans="17:24" x14ac:dyDescent="0.25">
      <c r="Q188" s="195"/>
      <c r="R188" s="195"/>
      <c r="S188" s="195"/>
      <c r="T188" s="195"/>
      <c r="U188" s="1"/>
      <c r="W188" s="195"/>
      <c r="X188" s="195"/>
    </row>
    <row r="189" spans="17:24" x14ac:dyDescent="0.25">
      <c r="Q189" s="195"/>
      <c r="R189" s="195"/>
      <c r="S189" s="195"/>
      <c r="T189" s="195"/>
      <c r="U189" s="1"/>
      <c r="W189" s="195"/>
      <c r="X189" s="195"/>
    </row>
    <row r="190" spans="17:24" x14ac:dyDescent="0.25">
      <c r="Q190" s="195"/>
      <c r="R190" s="195"/>
      <c r="S190" s="195"/>
      <c r="T190" s="195"/>
      <c r="U190" s="1"/>
      <c r="W190" s="195"/>
      <c r="X190" s="195"/>
    </row>
    <row r="191" spans="17:24" x14ac:dyDescent="0.25">
      <c r="Q191" s="195"/>
      <c r="R191" s="195"/>
      <c r="S191" s="195"/>
      <c r="T191" s="195"/>
      <c r="U191" s="1"/>
      <c r="W191" s="195"/>
      <c r="X191" s="195"/>
    </row>
    <row r="192" spans="17:24" x14ac:dyDescent="0.25">
      <c r="Q192" s="195"/>
      <c r="R192" s="195"/>
      <c r="S192" s="195"/>
      <c r="T192" s="195"/>
      <c r="U192" s="1"/>
      <c r="W192" s="195"/>
      <c r="X192" s="195"/>
    </row>
    <row r="193" spans="17:24" x14ac:dyDescent="0.25">
      <c r="Q193" s="195"/>
      <c r="R193" s="195"/>
      <c r="S193" s="195"/>
      <c r="T193" s="195"/>
      <c r="U193" s="1"/>
      <c r="W193" s="195"/>
      <c r="X193" s="195"/>
    </row>
    <row r="194" spans="17:24" x14ac:dyDescent="0.25">
      <c r="Q194" s="195"/>
      <c r="R194" s="195"/>
      <c r="S194" s="195"/>
      <c r="T194" s="195"/>
      <c r="U194" s="1"/>
      <c r="W194" s="195"/>
      <c r="X194" s="195"/>
    </row>
    <row r="195" spans="17:24" x14ac:dyDescent="0.25">
      <c r="Q195" s="195"/>
      <c r="R195" s="195"/>
      <c r="S195" s="195"/>
      <c r="T195" s="195"/>
      <c r="U195" s="1"/>
      <c r="W195" s="195"/>
      <c r="X195" s="195"/>
    </row>
    <row r="196" spans="17:24" x14ac:dyDescent="0.25">
      <c r="Q196" s="195"/>
      <c r="R196" s="195"/>
      <c r="S196" s="195"/>
      <c r="T196" s="195"/>
      <c r="U196" s="1"/>
      <c r="W196" s="195"/>
      <c r="X196" s="195"/>
    </row>
    <row r="197" spans="17:24" x14ac:dyDescent="0.25">
      <c r="Q197" s="195"/>
      <c r="R197" s="195"/>
      <c r="S197" s="195"/>
      <c r="T197" s="195"/>
      <c r="U197" s="1"/>
      <c r="W197" s="195"/>
      <c r="X197" s="195"/>
    </row>
    <row r="198" spans="17:24" x14ac:dyDescent="0.25">
      <c r="Q198" s="195"/>
      <c r="R198" s="195"/>
      <c r="S198" s="195"/>
      <c r="T198" s="195"/>
      <c r="U198" s="1"/>
      <c r="W198" s="195"/>
      <c r="X198" s="195"/>
    </row>
    <row r="199" spans="17:24" x14ac:dyDescent="0.25">
      <c r="Q199" s="195"/>
      <c r="R199" s="195"/>
      <c r="S199" s="195"/>
      <c r="T199" s="195"/>
      <c r="U199" s="1"/>
      <c r="W199" s="195"/>
      <c r="X199" s="195"/>
    </row>
    <row r="200" spans="17:24" x14ac:dyDescent="0.25">
      <c r="Q200" s="195"/>
      <c r="R200" s="195"/>
      <c r="S200" s="195"/>
      <c r="T200" s="195"/>
      <c r="U200" s="1"/>
      <c r="W200" s="195"/>
      <c r="X200" s="195"/>
    </row>
    <row r="201" spans="17:24" x14ac:dyDescent="0.25">
      <c r="Q201" s="195"/>
      <c r="R201" s="195"/>
      <c r="S201" s="195"/>
      <c r="T201" s="195"/>
      <c r="U201" s="1"/>
      <c r="W201" s="195"/>
      <c r="X201" s="195"/>
    </row>
    <row r="202" spans="17:24" x14ac:dyDescent="0.25">
      <c r="Q202" s="195"/>
      <c r="R202" s="195"/>
      <c r="S202" s="195"/>
      <c r="T202" s="195"/>
      <c r="U202" s="1"/>
      <c r="W202" s="195"/>
      <c r="X202" s="195"/>
    </row>
    <row r="203" spans="17:24" x14ac:dyDescent="0.25">
      <c r="Q203" s="195"/>
      <c r="R203" s="195"/>
      <c r="S203" s="195"/>
      <c r="T203" s="195"/>
      <c r="U203" s="1"/>
      <c r="W203" s="195"/>
      <c r="X203" s="195"/>
    </row>
    <row r="204" spans="17:24" x14ac:dyDescent="0.25">
      <c r="Q204" s="195"/>
      <c r="R204" s="195"/>
      <c r="S204" s="195"/>
      <c r="T204" s="195"/>
      <c r="U204" s="1"/>
      <c r="W204" s="195"/>
      <c r="X204" s="195"/>
    </row>
    <row r="205" spans="17:24" x14ac:dyDescent="0.25">
      <c r="Q205" s="195"/>
      <c r="R205" s="195"/>
      <c r="S205" s="195"/>
      <c r="T205" s="195"/>
      <c r="U205" s="1"/>
      <c r="W205" s="195"/>
      <c r="X205" s="195"/>
    </row>
    <row r="206" spans="17:24" x14ac:dyDescent="0.25">
      <c r="Q206" s="195"/>
      <c r="R206" s="195"/>
      <c r="S206" s="195"/>
      <c r="T206" s="195"/>
      <c r="U206" s="1"/>
      <c r="W206" s="195"/>
      <c r="X206" s="195"/>
    </row>
    <row r="207" spans="17:24" x14ac:dyDescent="0.25">
      <c r="Q207" s="195"/>
      <c r="R207" s="195"/>
      <c r="S207" s="195"/>
      <c r="T207" s="195"/>
      <c r="U207" s="1"/>
      <c r="W207" s="195"/>
      <c r="X207" s="195"/>
    </row>
    <row r="208" spans="17:24" x14ac:dyDescent="0.25">
      <c r="Q208" s="195"/>
      <c r="R208" s="195"/>
      <c r="S208" s="195"/>
      <c r="T208" s="195"/>
      <c r="U208" s="1"/>
      <c r="W208" s="195"/>
      <c r="X208" s="195"/>
    </row>
    <row r="209" spans="17:24" x14ac:dyDescent="0.25">
      <c r="Q209" s="195"/>
      <c r="R209" s="195"/>
      <c r="S209" s="195"/>
      <c r="T209" s="195"/>
      <c r="U209" s="1"/>
      <c r="W209" s="195"/>
      <c r="X209" s="195"/>
    </row>
    <row r="210" spans="17:24" x14ac:dyDescent="0.25">
      <c r="Q210" s="195"/>
      <c r="R210" s="195"/>
      <c r="S210" s="195"/>
      <c r="T210" s="195"/>
      <c r="U210" s="1"/>
      <c r="W210" s="195"/>
      <c r="X210" s="195"/>
    </row>
    <row r="211" spans="17:24" x14ac:dyDescent="0.25">
      <c r="Q211" s="195"/>
      <c r="R211" s="195"/>
      <c r="S211" s="195"/>
      <c r="T211" s="195"/>
      <c r="U211" s="1"/>
      <c r="W211" s="195"/>
      <c r="X211" s="195"/>
    </row>
    <row r="212" spans="17:24" x14ac:dyDescent="0.25">
      <c r="Q212" s="195"/>
      <c r="R212" s="195"/>
      <c r="S212" s="195"/>
      <c r="T212" s="195"/>
      <c r="U212" s="1"/>
      <c r="W212" s="195"/>
      <c r="X212" s="195"/>
    </row>
    <row r="213" spans="17:24" x14ac:dyDescent="0.25">
      <c r="Q213" s="195"/>
      <c r="R213" s="195"/>
      <c r="S213" s="195"/>
      <c r="T213" s="195"/>
      <c r="U213" s="1"/>
      <c r="W213" s="195"/>
      <c r="X213" s="195"/>
    </row>
    <row r="214" spans="17:24" x14ac:dyDescent="0.25">
      <c r="Q214" s="195"/>
      <c r="R214" s="195"/>
      <c r="S214" s="195"/>
      <c r="T214" s="195"/>
      <c r="U214" s="1"/>
      <c r="W214" s="195"/>
      <c r="X214" s="195"/>
    </row>
    <row r="215" spans="17:24" x14ac:dyDescent="0.25">
      <c r="Q215" s="195"/>
      <c r="R215" s="195"/>
      <c r="S215" s="195"/>
      <c r="T215" s="195"/>
      <c r="U215" s="1"/>
      <c r="W215" s="195"/>
      <c r="X215" s="195"/>
    </row>
    <row r="216" spans="17:24" x14ac:dyDescent="0.25">
      <c r="Q216" s="195"/>
      <c r="R216" s="195"/>
      <c r="S216" s="195"/>
      <c r="T216" s="195"/>
      <c r="U216" s="1"/>
      <c r="W216" s="195"/>
      <c r="X216" s="195"/>
    </row>
    <row r="217" spans="17:24" x14ac:dyDescent="0.25">
      <c r="Q217" s="195"/>
      <c r="R217" s="195"/>
      <c r="S217" s="195"/>
      <c r="T217" s="195"/>
      <c r="U217" s="1"/>
      <c r="W217" s="195"/>
      <c r="X217" s="195"/>
    </row>
    <row r="218" spans="17:24" x14ac:dyDescent="0.25">
      <c r="Q218" s="195"/>
      <c r="R218" s="195"/>
      <c r="S218" s="195"/>
      <c r="T218" s="195"/>
      <c r="U218" s="1"/>
      <c r="W218" s="195"/>
      <c r="X218" s="195"/>
    </row>
    <row r="219" spans="17:24" x14ac:dyDescent="0.25">
      <c r="Q219" s="195"/>
      <c r="R219" s="195"/>
      <c r="S219" s="195"/>
      <c r="T219" s="195"/>
      <c r="U219" s="1"/>
      <c r="W219" s="195"/>
      <c r="X219" s="195"/>
    </row>
    <row r="220" spans="17:24" x14ac:dyDescent="0.25">
      <c r="Q220" s="195"/>
      <c r="R220" s="195"/>
      <c r="S220" s="195"/>
      <c r="T220" s="195"/>
      <c r="U220" s="1"/>
      <c r="W220" s="195"/>
      <c r="X220" s="195"/>
    </row>
    <row r="221" spans="17:24" x14ac:dyDescent="0.25">
      <c r="Q221" s="195"/>
      <c r="R221" s="195"/>
      <c r="S221" s="195"/>
      <c r="T221" s="195"/>
      <c r="U221" s="1"/>
      <c r="W221" s="195"/>
      <c r="X221" s="195"/>
    </row>
    <row r="222" spans="17:24" x14ac:dyDescent="0.25">
      <c r="Q222" s="195"/>
      <c r="R222" s="195"/>
      <c r="S222" s="195"/>
      <c r="T222" s="195"/>
      <c r="U222" s="1"/>
      <c r="W222" s="195"/>
      <c r="X222" s="195"/>
    </row>
    <row r="223" spans="17:24" x14ac:dyDescent="0.25">
      <c r="Q223" s="195"/>
      <c r="R223" s="195"/>
      <c r="S223" s="195"/>
      <c r="T223" s="195"/>
      <c r="U223" s="1"/>
      <c r="W223" s="195"/>
      <c r="X223" s="195"/>
    </row>
    <row r="224" spans="17:24" x14ac:dyDescent="0.25">
      <c r="Q224" s="195"/>
      <c r="R224" s="195"/>
      <c r="S224" s="195"/>
      <c r="T224" s="195"/>
      <c r="U224" s="1"/>
      <c r="W224" s="195"/>
      <c r="X224" s="195"/>
    </row>
    <row r="225" spans="17:24" x14ac:dyDescent="0.25">
      <c r="Q225" s="195"/>
      <c r="R225" s="195"/>
      <c r="S225" s="195"/>
      <c r="T225" s="195"/>
      <c r="U225" s="1"/>
      <c r="W225" s="195"/>
      <c r="X225" s="195"/>
    </row>
    <row r="226" spans="17:24" x14ac:dyDescent="0.25">
      <c r="Q226" s="195"/>
      <c r="R226" s="195"/>
      <c r="S226" s="195"/>
      <c r="T226" s="195"/>
      <c r="U226" s="1"/>
      <c r="W226" s="195"/>
      <c r="X226" s="195"/>
    </row>
    <row r="227" spans="17:24" x14ac:dyDescent="0.25">
      <c r="Q227" s="195"/>
      <c r="R227" s="195"/>
      <c r="S227" s="195"/>
      <c r="T227" s="195"/>
      <c r="U227" s="1"/>
      <c r="W227" s="195"/>
      <c r="X227" s="195"/>
    </row>
    <row r="228" spans="17:24" x14ac:dyDescent="0.25">
      <c r="Q228" s="195"/>
      <c r="R228" s="195"/>
      <c r="S228" s="195"/>
      <c r="T228" s="195"/>
      <c r="U228" s="1"/>
      <c r="W228" s="195"/>
      <c r="X228" s="195"/>
    </row>
    <row r="229" spans="17:24" x14ac:dyDescent="0.25">
      <c r="Q229" s="195"/>
      <c r="R229" s="195"/>
      <c r="S229" s="195"/>
      <c r="T229" s="195"/>
      <c r="U229" s="1"/>
      <c r="W229" s="195"/>
      <c r="X229" s="195"/>
    </row>
    <row r="230" spans="17:24" x14ac:dyDescent="0.25">
      <c r="Q230" s="195"/>
      <c r="R230" s="195"/>
      <c r="S230" s="195"/>
      <c r="T230" s="195"/>
      <c r="U230" s="1"/>
      <c r="W230" s="195"/>
      <c r="X230" s="195"/>
    </row>
    <row r="231" spans="17:24" x14ac:dyDescent="0.25">
      <c r="Q231" s="195"/>
      <c r="R231" s="195"/>
      <c r="S231" s="195"/>
      <c r="T231" s="195"/>
      <c r="U231" s="1"/>
      <c r="W231" s="195"/>
      <c r="X231" s="195"/>
    </row>
    <row r="232" spans="17:24" x14ac:dyDescent="0.25">
      <c r="Q232" s="195"/>
      <c r="R232" s="195"/>
      <c r="S232" s="195"/>
      <c r="T232" s="195"/>
      <c r="U232" s="1"/>
      <c r="W232" s="195"/>
      <c r="X232" s="195"/>
    </row>
    <row r="233" spans="17:24" x14ac:dyDescent="0.25">
      <c r="Q233" s="195"/>
      <c r="R233" s="195"/>
      <c r="S233" s="195"/>
      <c r="T233" s="195"/>
      <c r="U233" s="1"/>
      <c r="W233" s="195"/>
      <c r="X233" s="195"/>
    </row>
    <row r="234" spans="17:24" x14ac:dyDescent="0.25">
      <c r="Q234" s="195"/>
      <c r="R234" s="195"/>
      <c r="S234" s="195"/>
      <c r="T234" s="195"/>
      <c r="U234" s="1"/>
      <c r="W234" s="195"/>
      <c r="X234" s="195"/>
    </row>
    <row r="235" spans="17:24" x14ac:dyDescent="0.25">
      <c r="Q235" s="195"/>
      <c r="R235" s="195"/>
      <c r="S235" s="195"/>
      <c r="T235" s="195"/>
      <c r="U235" s="1"/>
      <c r="W235" s="195"/>
      <c r="X235" s="195"/>
    </row>
    <row r="236" spans="17:24" x14ac:dyDescent="0.25">
      <c r="Q236" s="195"/>
      <c r="R236" s="195"/>
      <c r="S236" s="195"/>
      <c r="T236" s="195"/>
      <c r="U236" s="1"/>
      <c r="W236" s="195"/>
      <c r="X236" s="195"/>
    </row>
    <row r="237" spans="17:24" x14ac:dyDescent="0.25">
      <c r="Q237" s="195"/>
      <c r="R237" s="195"/>
      <c r="S237" s="195"/>
      <c r="T237" s="195"/>
      <c r="U237" s="1"/>
      <c r="W237" s="195"/>
      <c r="X237" s="195"/>
    </row>
    <row r="238" spans="17:24" x14ac:dyDescent="0.25">
      <c r="Q238" s="195"/>
      <c r="R238" s="195"/>
      <c r="S238" s="195"/>
      <c r="T238" s="195"/>
      <c r="U238" s="1"/>
      <c r="W238" s="195"/>
      <c r="X238" s="195"/>
    </row>
    <row r="239" spans="17:24" x14ac:dyDescent="0.25">
      <c r="Q239" s="195"/>
      <c r="R239" s="195"/>
      <c r="S239" s="195"/>
      <c r="T239" s="195"/>
      <c r="U239" s="1"/>
      <c r="W239" s="195"/>
      <c r="X239" s="195"/>
    </row>
    <row r="240" spans="17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</sheetData>
  <mergeCells count="51">
    <mergeCell ref="R136:U136"/>
    <mergeCell ref="N136:Q136"/>
    <mergeCell ref="A136:J136"/>
    <mergeCell ref="A143:J143"/>
    <mergeCell ref="N143:Q143"/>
    <mergeCell ref="R143:U143"/>
    <mergeCell ref="D144:H144"/>
    <mergeCell ref="D137:J137"/>
    <mergeCell ref="N137:Q137"/>
    <mergeCell ref="R137:U137"/>
    <mergeCell ref="A141:J141"/>
    <mergeCell ref="A142:J142"/>
    <mergeCell ref="N142:Q142"/>
    <mergeCell ref="R142:U142"/>
    <mergeCell ref="D135:J135"/>
    <mergeCell ref="K135:L135"/>
    <mergeCell ref="R135:T135"/>
    <mergeCell ref="B82:F82"/>
    <mergeCell ref="B84:F84"/>
    <mergeCell ref="B90:F90"/>
    <mergeCell ref="B92:F92"/>
    <mergeCell ref="B109:G109"/>
    <mergeCell ref="A134:J134"/>
    <mergeCell ref="V7:V8"/>
    <mergeCell ref="A9:I9"/>
    <mergeCell ref="J9:K9"/>
    <mergeCell ref="B18:F18"/>
    <mergeCell ref="B76:F76"/>
    <mergeCell ref="B24:G24"/>
    <mergeCell ref="B26:F26"/>
    <mergeCell ref="B28:F28"/>
    <mergeCell ref="B30:F30"/>
    <mergeCell ref="B36:F36"/>
    <mergeCell ref="B38:F38"/>
    <mergeCell ref="B40:F40"/>
    <mergeCell ref="B42:F42"/>
    <mergeCell ref="B50:F50"/>
    <mergeCell ref="B62:F62"/>
    <mergeCell ref="B74:F74"/>
    <mergeCell ref="B20:F20"/>
    <mergeCell ref="A3:U3"/>
    <mergeCell ref="A4:U4"/>
    <mergeCell ref="A5:U5"/>
    <mergeCell ref="A7:I8"/>
    <mergeCell ref="J7:K8"/>
    <mergeCell ref="L7:L8"/>
    <mergeCell ref="M7:M8"/>
    <mergeCell ref="N7:N8"/>
    <mergeCell ref="O7:P7"/>
    <mergeCell ref="Q7:S7"/>
    <mergeCell ref="U7:U8"/>
  </mergeCells>
  <pageMargins left="0.25" right="0.25" top="0.75" bottom="0.75" header="0.3" footer="0.3"/>
  <pageSetup paperSize="5" scale="7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71"/>
  <sheetViews>
    <sheetView topLeftCell="J90" zoomScale="90" zoomScaleNormal="90" workbookViewId="0">
      <selection activeCell="AB90" sqref="AB90"/>
    </sheetView>
  </sheetViews>
  <sheetFormatPr defaultRowHeight="15.75" x14ac:dyDescent="0.25"/>
  <cols>
    <col min="1" max="1" width="5.28515625" style="1" hidden="1" customWidth="1"/>
    <col min="2" max="2" width="3.85546875" style="1" hidden="1" customWidth="1"/>
    <col min="3" max="3" width="2" style="1" hidden="1" customWidth="1"/>
    <col min="4" max="5" width="8.7109375" style="1" hidden="1" customWidth="1"/>
    <col min="6" max="7" width="8.5703125" style="1" hidden="1" customWidth="1"/>
    <col min="8" max="8" width="0.28515625" style="1" hidden="1" customWidth="1"/>
    <col min="9" max="9" width="6.85546875" style="1" hidden="1" customWidth="1"/>
    <col min="10" max="10" width="7" style="1" customWidth="1"/>
    <col min="11" max="11" width="77.5703125" style="1" customWidth="1"/>
    <col min="12" max="12" width="16.140625" style="1" customWidth="1"/>
    <col min="13" max="14" width="20.42578125" style="1" hidden="1" customWidth="1"/>
    <col min="15" max="15" width="14.140625" style="1" hidden="1" customWidth="1"/>
    <col min="16" max="16" width="14.5703125" style="1" hidden="1" customWidth="1"/>
    <col min="17" max="17" width="17.42578125" style="1" hidden="1" customWidth="1"/>
    <col min="18" max="18" width="17.140625" style="196" hidden="1" customWidth="1"/>
    <col min="19" max="19" width="15.85546875" style="1" customWidth="1"/>
    <col min="20" max="20" width="14.42578125" style="1" hidden="1" customWidth="1"/>
    <col min="21" max="21" width="18.5703125" style="4" customWidth="1"/>
    <col min="22" max="22" width="0.140625" style="1" customWidth="1"/>
    <col min="23" max="23" width="13.85546875" style="1" customWidth="1"/>
    <col min="24" max="24" width="13.85546875" style="1" hidden="1" customWidth="1"/>
    <col min="25" max="25" width="15.140625" style="1" customWidth="1"/>
    <col min="26" max="26" width="13.85546875" style="1" customWidth="1"/>
    <col min="27" max="27" width="0" style="1" hidden="1" customWidth="1"/>
    <col min="28" max="28" width="43.7109375" style="1" customWidth="1"/>
    <col min="29" max="16384" width="9.140625" style="1"/>
  </cols>
  <sheetData>
    <row r="1" spans="1:28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8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8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</row>
    <row r="4" spans="1:28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</row>
    <row r="5" spans="1:28" ht="18" x14ac:dyDescent="0.25">
      <c r="A5" s="482" t="s">
        <v>271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482"/>
      <c r="W5" s="482"/>
      <c r="X5" s="482"/>
      <c r="Y5" s="482"/>
      <c r="Z5" s="482"/>
      <c r="AA5" s="482"/>
      <c r="AB5" s="482"/>
    </row>
    <row r="6" spans="1:28" ht="16.5" thickBo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8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6</v>
      </c>
      <c r="M7" s="488" t="s">
        <v>7</v>
      </c>
      <c r="N7" s="488" t="s">
        <v>8</v>
      </c>
      <c r="O7" s="490" t="s">
        <v>9</v>
      </c>
      <c r="P7" s="490"/>
      <c r="Q7" s="491" t="s">
        <v>10</v>
      </c>
      <c r="R7" s="492"/>
      <c r="S7" s="492"/>
      <c r="T7" s="11"/>
      <c r="U7" s="493" t="s">
        <v>11</v>
      </c>
      <c r="V7" s="490" t="s">
        <v>12</v>
      </c>
      <c r="W7" s="11"/>
      <c r="X7" s="296"/>
      <c r="Y7" s="298"/>
      <c r="Z7" s="297"/>
      <c r="AB7" s="299"/>
    </row>
    <row r="8" spans="1:28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279" t="s">
        <v>14</v>
      </c>
      <c r="Q8" s="279" t="s">
        <v>13</v>
      </c>
      <c r="R8" s="14" t="s">
        <v>14</v>
      </c>
      <c r="S8" s="279" t="s">
        <v>15</v>
      </c>
      <c r="T8" s="279" t="s">
        <v>16</v>
      </c>
      <c r="U8" s="493"/>
      <c r="V8" s="490"/>
      <c r="W8" s="279" t="s">
        <v>266</v>
      </c>
      <c r="X8" s="280" t="s">
        <v>17</v>
      </c>
      <c r="Y8" s="304" t="s">
        <v>260</v>
      </c>
      <c r="Z8" s="305" t="s">
        <v>265</v>
      </c>
      <c r="AA8" s="306"/>
      <c r="AB8" s="307" t="s">
        <v>267</v>
      </c>
    </row>
    <row r="9" spans="1:28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/>
      <c r="K9" s="494"/>
      <c r="L9" s="279"/>
      <c r="M9" s="279"/>
      <c r="N9" s="279"/>
      <c r="O9" s="279"/>
      <c r="P9" s="279"/>
      <c r="Q9" s="279"/>
      <c r="R9" s="14"/>
      <c r="S9" s="279"/>
      <c r="T9" s="279"/>
      <c r="U9" s="279"/>
      <c r="V9" s="15"/>
      <c r="W9" s="279"/>
      <c r="X9" s="280" t="s">
        <v>27</v>
      </c>
      <c r="Y9" s="308"/>
      <c r="Z9" s="305"/>
      <c r="AA9" s="306"/>
      <c r="AB9" s="309"/>
    </row>
    <row r="10" spans="1:28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v>2184252000</v>
      </c>
      <c r="M10" s="19">
        <f>M12+M94</f>
        <v>0</v>
      </c>
      <c r="N10" s="19">
        <f>N12+N94</f>
        <v>2376002000</v>
      </c>
      <c r="O10" s="19" t="e">
        <f>O12</f>
        <v>#REF!</v>
      </c>
      <c r="P10" s="19"/>
      <c r="Q10" s="19">
        <f>Q12+Q94</f>
        <v>149345980</v>
      </c>
      <c r="R10" s="19">
        <v>144885166</v>
      </c>
      <c r="S10" s="19">
        <v>439812611</v>
      </c>
      <c r="T10" s="20">
        <f>S10/N10*100</f>
        <v>18.510616194767511</v>
      </c>
      <c r="U10" s="21">
        <f>L10-S10</f>
        <v>1744439389</v>
      </c>
      <c r="V10" s="21">
        <f>U10/2</f>
        <v>872219694.5</v>
      </c>
      <c r="W10" s="22">
        <f>S10/L10*100</f>
        <v>20.135616723711365</v>
      </c>
      <c r="X10" s="22">
        <f>Q10/N10*100</f>
        <v>6.2855999279461878</v>
      </c>
      <c r="Y10" s="310">
        <v>19.45</v>
      </c>
      <c r="Z10" s="311">
        <f>W10-Y10</f>
        <v>0.68561672371136595</v>
      </c>
      <c r="AA10" s="306"/>
      <c r="AB10" s="310"/>
    </row>
    <row r="11" spans="1:28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  <c r="Y11" s="310"/>
      <c r="Z11" s="310"/>
      <c r="AA11" s="306"/>
      <c r="AB11" s="310"/>
    </row>
    <row r="12" spans="1:28" ht="0.75" customHeight="1" x14ac:dyDescent="0.25">
      <c r="A12" s="34"/>
      <c r="B12" s="35" t="s">
        <v>31</v>
      </c>
      <c r="C12" s="36"/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L14+L16+L18+L20+L22+L24+L26+L28+L30+L36+L38+L40+L42+L50+L62+L74+L76+L82+L84+L90+L92</f>
        <v>1528107000</v>
      </c>
      <c r="M12" s="41">
        <f>M14+M16+M18+M20+M22+M24+M26+M28+M30+M36+M38+M40+M42+M50+M62+M74+M76+M82+M84+M90+M92</f>
        <v>0</v>
      </c>
      <c r="N12" s="41">
        <f>L12-M12</f>
        <v>1528107000</v>
      </c>
      <c r="O12" s="41" t="e">
        <f>#REF!</f>
        <v>#REF!</v>
      </c>
      <c r="P12" s="41"/>
      <c r="Q12" s="41">
        <f>Q14+Q16+Q18+Q20+Q22+Q24+Q26+Q28+Q30+Q36+Q38+Q40+Q42+Q50+Q62+Q74+Q76+Q82+Q84+Q90+Q92</f>
        <v>110105980</v>
      </c>
      <c r="R12" s="41">
        <v>250486631</v>
      </c>
      <c r="S12" s="41">
        <f>Q12+R12</f>
        <v>360592611</v>
      </c>
      <c r="T12" s="20">
        <f>S12/N12*100</f>
        <v>23.597340434930274</v>
      </c>
      <c r="U12" s="42">
        <f>N12-S12</f>
        <v>1167514389</v>
      </c>
      <c r="V12" s="42">
        <f>U12/2</f>
        <v>583757194.5</v>
      </c>
      <c r="W12" s="22">
        <f>S12/L12*100</f>
        <v>23.597340434930274</v>
      </c>
      <c r="X12" s="22">
        <f t="shared" ref="X12:X74" si="0">Q12/N12*100</f>
        <v>7.2053841779404184</v>
      </c>
      <c r="Y12" s="310"/>
      <c r="Z12" s="310"/>
      <c r="AA12" s="306"/>
      <c r="AB12" s="310"/>
    </row>
    <row r="13" spans="1:28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76" si="1">U13/2</f>
        <v>0</v>
      </c>
      <c r="W13" s="22"/>
      <c r="X13" s="22"/>
      <c r="Y13" s="310"/>
      <c r="Z13" s="310"/>
      <c r="AA13" s="306"/>
      <c r="AB13" s="310"/>
    </row>
    <row r="14" spans="1:28" ht="17.25" x14ac:dyDescent="0.3">
      <c r="A14" s="232"/>
      <c r="B14" s="233" t="s">
        <v>236</v>
      </c>
      <c r="C14" s="234"/>
      <c r="D14" s="235"/>
      <c r="E14" s="236"/>
      <c r="F14" s="236"/>
      <c r="G14" s="237"/>
      <c r="H14" s="238"/>
      <c r="I14" s="239"/>
      <c r="J14" s="49"/>
      <c r="K14" s="197" t="s">
        <v>184</v>
      </c>
      <c r="L14" s="52">
        <v>42000000</v>
      </c>
      <c r="M14" s="52">
        <v>0</v>
      </c>
      <c r="N14" s="52">
        <f>L14-M14</f>
        <v>42000000</v>
      </c>
      <c r="O14" s="53"/>
      <c r="P14" s="53"/>
      <c r="Q14" s="52">
        <v>3500000</v>
      </c>
      <c r="R14" s="52">
        <v>7000000</v>
      </c>
      <c r="S14" s="52">
        <f t="shared" ref="S14:S16" si="2">Q14+R14</f>
        <v>10500000</v>
      </c>
      <c r="T14" s="54">
        <f>S14/N14*100</f>
        <v>25</v>
      </c>
      <c r="U14" s="52">
        <f>N14-S14</f>
        <v>31500000</v>
      </c>
      <c r="V14" s="42">
        <f t="shared" si="1"/>
        <v>15750000</v>
      </c>
      <c r="W14" s="22">
        <f>S14/L14*100</f>
        <v>25</v>
      </c>
      <c r="X14" s="22">
        <f t="shared" si="0"/>
        <v>8.3333333333333321</v>
      </c>
      <c r="Y14" s="310">
        <v>25</v>
      </c>
      <c r="Z14" s="311">
        <f>W14-Y14</f>
        <v>0</v>
      </c>
      <c r="AA14" s="300">
        <f>Q14/N14*100</f>
        <v>8.3333333333333321</v>
      </c>
      <c r="AB14" s="310"/>
    </row>
    <row r="15" spans="1:28" x14ac:dyDescent="0.25">
      <c r="A15" s="240"/>
      <c r="B15" s="241"/>
      <c r="C15" s="241"/>
      <c r="D15" s="241"/>
      <c r="E15" s="242"/>
      <c r="F15" s="242"/>
      <c r="G15" s="242"/>
      <c r="H15" s="242"/>
      <c r="I15" s="242"/>
      <c r="J15" s="64"/>
      <c r="K15" s="68"/>
      <c r="L15" s="30"/>
      <c r="M15" s="30"/>
      <c r="N15" s="31"/>
      <c r="O15" s="30"/>
      <c r="P15" s="30"/>
      <c r="Q15" s="68"/>
      <c r="R15" s="29"/>
      <c r="S15" s="29"/>
      <c r="T15" s="32"/>
      <c r="U15" s="43"/>
      <c r="V15" s="42">
        <f t="shared" si="1"/>
        <v>0</v>
      </c>
      <c r="W15" s="22"/>
      <c r="X15" s="22"/>
      <c r="Y15" s="310"/>
      <c r="Z15" s="310"/>
      <c r="AA15" s="300" t="e">
        <f t="shared" ref="AA15:AA78" si="3">Q15/N15*100</f>
        <v>#DIV/0!</v>
      </c>
      <c r="AB15" s="310"/>
    </row>
    <row r="16" spans="1:28" ht="17.25" x14ac:dyDescent="0.3">
      <c r="A16" s="232"/>
      <c r="B16" s="233" t="s">
        <v>237</v>
      </c>
      <c r="C16" s="243"/>
      <c r="D16" s="235"/>
      <c r="E16" s="236"/>
      <c r="F16" s="236"/>
      <c r="G16" s="237"/>
      <c r="H16" s="238"/>
      <c r="I16" s="239"/>
      <c r="J16" s="49"/>
      <c r="K16" s="197" t="s">
        <v>185</v>
      </c>
      <c r="L16" s="52">
        <v>4740000</v>
      </c>
      <c r="M16" s="52">
        <v>0</v>
      </c>
      <c r="N16" s="52">
        <f>L16-M16</f>
        <v>4740000</v>
      </c>
      <c r="O16" s="53"/>
      <c r="P16" s="53"/>
      <c r="Q16" s="52">
        <v>0</v>
      </c>
      <c r="R16" s="52">
        <v>1620000</v>
      </c>
      <c r="S16" s="52">
        <f t="shared" si="2"/>
        <v>1620000</v>
      </c>
      <c r="T16" s="54">
        <f>S16/N16*100</f>
        <v>34.177215189873415</v>
      </c>
      <c r="U16" s="52">
        <f t="shared" ref="U16:U26" si="4">N16-S16</f>
        <v>3120000</v>
      </c>
      <c r="V16" s="42">
        <f t="shared" si="1"/>
        <v>1560000</v>
      </c>
      <c r="W16" s="22">
        <f>S16/L16*100</f>
        <v>34.177215189873415</v>
      </c>
      <c r="X16" s="22">
        <f t="shared" si="0"/>
        <v>0</v>
      </c>
      <c r="Y16" s="301">
        <v>21.9</v>
      </c>
      <c r="Z16" s="311">
        <f>W16-Y16</f>
        <v>12.277215189873417</v>
      </c>
      <c r="AA16" s="302">
        <f t="shared" si="3"/>
        <v>0</v>
      </c>
      <c r="AB16" s="310"/>
    </row>
    <row r="17" spans="1:28" x14ac:dyDescent="0.25">
      <c r="A17" s="240"/>
      <c r="B17" s="244"/>
      <c r="C17" s="244"/>
      <c r="D17" s="241"/>
      <c r="E17" s="242"/>
      <c r="F17" s="242"/>
      <c r="G17" s="242"/>
      <c r="H17" s="242"/>
      <c r="I17" s="242"/>
      <c r="J17" s="64"/>
      <c r="K17" s="77"/>
      <c r="L17" s="30"/>
      <c r="M17" s="30"/>
      <c r="N17" s="31"/>
      <c r="O17" s="30"/>
      <c r="P17" s="30"/>
      <c r="Q17" s="68"/>
      <c r="R17" s="29"/>
      <c r="S17" s="29"/>
      <c r="T17" s="32"/>
      <c r="U17" s="43"/>
      <c r="V17" s="42">
        <f t="shared" si="1"/>
        <v>0</v>
      </c>
      <c r="W17" s="22"/>
      <c r="X17" s="22"/>
      <c r="Y17" s="310"/>
      <c r="Z17" s="310"/>
      <c r="AA17" s="300" t="e">
        <f t="shared" si="3"/>
        <v>#DIV/0!</v>
      </c>
      <c r="AB17" s="310"/>
    </row>
    <row r="18" spans="1:28" ht="17.25" x14ac:dyDescent="0.3">
      <c r="A18" s="240"/>
      <c r="B18" s="505" t="s">
        <v>43</v>
      </c>
      <c r="C18" s="506"/>
      <c r="D18" s="506"/>
      <c r="E18" s="506"/>
      <c r="F18" s="507"/>
      <c r="G18" s="242"/>
      <c r="H18" s="242"/>
      <c r="I18" s="242"/>
      <c r="J18" s="81"/>
      <c r="K18" s="197" t="s">
        <v>186</v>
      </c>
      <c r="L18" s="52">
        <v>19754000</v>
      </c>
      <c r="M18" s="52">
        <v>0</v>
      </c>
      <c r="N18" s="52">
        <f>L18-M18</f>
        <v>19754000</v>
      </c>
      <c r="O18" s="83"/>
      <c r="P18" s="83"/>
      <c r="Q18" s="84">
        <v>0</v>
      </c>
      <c r="R18" s="84">
        <v>19693400</v>
      </c>
      <c r="S18" s="84">
        <f>Q18+R18</f>
        <v>19693400</v>
      </c>
      <c r="T18" s="54">
        <f>S18/N18*100</f>
        <v>99.693226688265668</v>
      </c>
      <c r="U18" s="52">
        <f t="shared" si="4"/>
        <v>60600</v>
      </c>
      <c r="V18" s="42">
        <f t="shared" si="1"/>
        <v>30300</v>
      </c>
      <c r="W18" s="22">
        <f>S18/L18*100</f>
        <v>99.693226688265668</v>
      </c>
      <c r="X18" s="22">
        <f t="shared" si="0"/>
        <v>0</v>
      </c>
      <c r="Y18" s="310">
        <v>100</v>
      </c>
      <c r="Z18" s="311">
        <f>W18-Y18</f>
        <v>-0.30677331173433231</v>
      </c>
      <c r="AA18" s="302">
        <f t="shared" si="3"/>
        <v>0</v>
      </c>
      <c r="AB18" s="310"/>
    </row>
    <row r="19" spans="1:28" x14ac:dyDescent="0.25">
      <c r="A19" s="240"/>
      <c r="B19" s="244"/>
      <c r="C19" s="244"/>
      <c r="D19" s="241"/>
      <c r="E19" s="242"/>
      <c r="F19" s="242"/>
      <c r="G19" s="242"/>
      <c r="H19" s="242"/>
      <c r="I19" s="242"/>
      <c r="J19" s="64"/>
      <c r="K19" s="77"/>
      <c r="L19" s="30"/>
      <c r="M19" s="30"/>
      <c r="N19" s="31"/>
      <c r="O19" s="30"/>
      <c r="P19" s="30"/>
      <c r="Q19" s="68"/>
      <c r="R19" s="29"/>
      <c r="S19" s="29"/>
      <c r="T19" s="32"/>
      <c r="U19" s="43"/>
      <c r="V19" s="42">
        <f t="shared" si="1"/>
        <v>0</v>
      </c>
      <c r="W19" s="22"/>
      <c r="X19" s="22"/>
      <c r="Y19" s="310"/>
      <c r="Z19" s="310"/>
      <c r="AA19" s="300" t="e">
        <f t="shared" si="3"/>
        <v>#DIV/0!</v>
      </c>
      <c r="AB19" s="310"/>
    </row>
    <row r="20" spans="1:28" ht="17.25" x14ac:dyDescent="0.3">
      <c r="A20" s="240"/>
      <c r="B20" s="505" t="s">
        <v>238</v>
      </c>
      <c r="C20" s="506"/>
      <c r="D20" s="506"/>
      <c r="E20" s="506"/>
      <c r="F20" s="507"/>
      <c r="G20" s="245"/>
      <c r="H20" s="245"/>
      <c r="I20" s="246"/>
      <c r="J20" s="97"/>
      <c r="K20" s="197" t="s">
        <v>92</v>
      </c>
      <c r="L20" s="52">
        <v>4468000</v>
      </c>
      <c r="M20" s="52">
        <v>0</v>
      </c>
      <c r="N20" s="52">
        <f>L20-M20</f>
        <v>4468000</v>
      </c>
      <c r="O20" s="53"/>
      <c r="P20" s="53"/>
      <c r="Q20" s="84">
        <v>274000</v>
      </c>
      <c r="R20" s="84">
        <v>490000</v>
      </c>
      <c r="S20" s="84">
        <f>Q20+R20</f>
        <v>764000</v>
      </c>
      <c r="T20" s="54">
        <f>S20/N20*100</f>
        <v>17.099373321396598</v>
      </c>
      <c r="U20" s="52">
        <f t="shared" si="4"/>
        <v>3704000</v>
      </c>
      <c r="V20" s="42">
        <f t="shared" si="1"/>
        <v>1852000</v>
      </c>
      <c r="W20" s="22">
        <f>S20/L20*100</f>
        <v>17.099373321396598</v>
      </c>
      <c r="X20" s="22">
        <f t="shared" si="0"/>
        <v>6.1324977618621306</v>
      </c>
      <c r="Y20" s="310">
        <v>24.61</v>
      </c>
      <c r="Z20" s="311">
        <f>W20-Y20</f>
        <v>-7.5106266786034013</v>
      </c>
      <c r="AA20" s="302">
        <f t="shared" si="3"/>
        <v>6.1324977618621306</v>
      </c>
      <c r="AB20" s="310" t="s">
        <v>268</v>
      </c>
    </row>
    <row r="21" spans="1:28" x14ac:dyDescent="0.25">
      <c r="A21" s="240"/>
      <c r="B21" s="244"/>
      <c r="C21" s="247"/>
      <c r="D21" s="242"/>
      <c r="E21" s="242"/>
      <c r="F21" s="242"/>
      <c r="G21" s="241"/>
      <c r="H21" s="241"/>
      <c r="I21" s="242"/>
      <c r="J21" s="64"/>
      <c r="K21" s="92"/>
      <c r="L21" s="30"/>
      <c r="M21" s="30"/>
      <c r="N21" s="31"/>
      <c r="O21" s="66"/>
      <c r="P21" s="66"/>
      <c r="Q21" s="68"/>
      <c r="R21" s="29"/>
      <c r="S21" s="29"/>
      <c r="T21" s="32"/>
      <c r="U21" s="43"/>
      <c r="V21" s="42">
        <f t="shared" si="1"/>
        <v>0</v>
      </c>
      <c r="W21" s="22"/>
      <c r="X21" s="22"/>
      <c r="Y21" s="310"/>
      <c r="Z21" s="310"/>
      <c r="AA21" s="300" t="e">
        <f t="shared" si="3"/>
        <v>#DIV/0!</v>
      </c>
      <c r="AB21" s="310"/>
    </row>
    <row r="22" spans="1:28" ht="17.25" x14ac:dyDescent="0.3">
      <c r="A22" s="232"/>
      <c r="B22" s="233" t="s">
        <v>239</v>
      </c>
      <c r="C22" s="243"/>
      <c r="D22" s="235"/>
      <c r="E22" s="236"/>
      <c r="F22" s="236"/>
      <c r="G22" s="237"/>
      <c r="H22" s="239"/>
      <c r="I22" s="239"/>
      <c r="J22" s="106"/>
      <c r="K22" s="197" t="s">
        <v>187</v>
      </c>
      <c r="L22" s="108">
        <v>3020000</v>
      </c>
      <c r="M22" s="108">
        <v>0</v>
      </c>
      <c r="N22" s="52">
        <f>L22-M22</f>
        <v>3020000</v>
      </c>
      <c r="O22" s="108"/>
      <c r="P22" s="108"/>
      <c r="Q22" s="108">
        <v>350000</v>
      </c>
      <c r="R22" s="108">
        <v>350000</v>
      </c>
      <c r="S22" s="108">
        <f t="shared" ref="S22" si="5">Q22+R22</f>
        <v>700000</v>
      </c>
      <c r="T22" s="54">
        <f>S22/N22*100</f>
        <v>23.178807947019866</v>
      </c>
      <c r="U22" s="52">
        <f t="shared" si="4"/>
        <v>2320000</v>
      </c>
      <c r="V22" s="42">
        <f t="shared" si="1"/>
        <v>1160000</v>
      </c>
      <c r="W22" s="22">
        <f>S22/L22*100</f>
        <v>23.178807947019866</v>
      </c>
      <c r="X22" s="22">
        <f t="shared" si="0"/>
        <v>11.589403973509933</v>
      </c>
      <c r="Y22" s="310">
        <v>24.84</v>
      </c>
      <c r="Z22" s="311">
        <f>W22-Y22</f>
        <v>-1.6611920529801338</v>
      </c>
      <c r="AA22" s="302">
        <f t="shared" si="3"/>
        <v>11.589403973509933</v>
      </c>
      <c r="AB22" s="310"/>
    </row>
    <row r="23" spans="1:28" x14ac:dyDescent="0.25">
      <c r="A23" s="240"/>
      <c r="B23" s="244"/>
      <c r="C23" s="247"/>
      <c r="D23" s="242"/>
      <c r="E23" s="242"/>
      <c r="F23" s="242"/>
      <c r="G23" s="241"/>
      <c r="H23" s="241"/>
      <c r="I23" s="242"/>
      <c r="J23" s="64"/>
      <c r="K23" s="28"/>
      <c r="L23" s="66"/>
      <c r="M23" s="66"/>
      <c r="N23" s="31"/>
      <c r="O23" s="66"/>
      <c r="P23" s="66"/>
      <c r="Q23" s="68"/>
      <c r="R23" s="29"/>
      <c r="S23" s="29"/>
      <c r="T23" s="32"/>
      <c r="U23" s="43"/>
      <c r="V23" s="42">
        <f t="shared" si="1"/>
        <v>0</v>
      </c>
      <c r="W23" s="22"/>
      <c r="X23" s="22"/>
      <c r="Y23" s="310"/>
      <c r="Z23" s="310"/>
      <c r="AA23" s="300" t="e">
        <f t="shared" si="3"/>
        <v>#DIV/0!</v>
      </c>
      <c r="AB23" s="310"/>
    </row>
    <row r="24" spans="1:28" ht="17.25" x14ac:dyDescent="0.3">
      <c r="A24" s="232"/>
      <c r="B24" s="505" t="s">
        <v>240</v>
      </c>
      <c r="C24" s="506"/>
      <c r="D24" s="506"/>
      <c r="E24" s="506"/>
      <c r="F24" s="506"/>
      <c r="G24" s="507"/>
      <c r="H24" s="238"/>
      <c r="I24" s="239"/>
      <c r="J24" s="106"/>
      <c r="K24" s="197" t="s">
        <v>88</v>
      </c>
      <c r="L24" s="52">
        <v>12200000</v>
      </c>
      <c r="M24" s="52">
        <v>0</v>
      </c>
      <c r="N24" s="52">
        <f>L24-M24</f>
        <v>12200000</v>
      </c>
      <c r="O24" s="52"/>
      <c r="P24" s="52"/>
      <c r="Q24" s="52">
        <v>190000</v>
      </c>
      <c r="R24" s="52">
        <v>772000</v>
      </c>
      <c r="S24" s="52">
        <f t="shared" ref="S24" si="6">Q24+R24</f>
        <v>962000</v>
      </c>
      <c r="T24" s="54">
        <f>S24/N24*100</f>
        <v>7.8852459016393439</v>
      </c>
      <c r="U24" s="52">
        <f t="shared" si="4"/>
        <v>11238000</v>
      </c>
      <c r="V24" s="42">
        <f t="shared" si="1"/>
        <v>5619000</v>
      </c>
      <c r="W24" s="22">
        <f>S24/L24*100</f>
        <v>7.8852459016393439</v>
      </c>
      <c r="X24" s="22">
        <f>Q24/N24*100</f>
        <v>1.557377049180328</v>
      </c>
      <c r="Y24" s="310">
        <v>55.74</v>
      </c>
      <c r="Z24" s="311">
        <f>W24-Y24</f>
        <v>-47.854754098360658</v>
      </c>
      <c r="AA24" s="302">
        <f t="shared" si="3"/>
        <v>1.557377049180328</v>
      </c>
      <c r="AB24" s="310" t="s">
        <v>269</v>
      </c>
    </row>
    <row r="25" spans="1:28" x14ac:dyDescent="0.25">
      <c r="A25" s="240"/>
      <c r="B25" s="244"/>
      <c r="C25" s="247"/>
      <c r="D25" s="242"/>
      <c r="E25" s="242"/>
      <c r="F25" s="242"/>
      <c r="G25" s="241"/>
      <c r="H25" s="241"/>
      <c r="I25" s="242"/>
      <c r="J25" s="64"/>
      <c r="K25" s="28"/>
      <c r="L25" s="66"/>
      <c r="M25" s="66"/>
      <c r="N25" s="67"/>
      <c r="O25" s="66"/>
      <c r="P25" s="66"/>
      <c r="Q25" s="68"/>
      <c r="R25" s="29"/>
      <c r="S25" s="29"/>
      <c r="T25" s="32"/>
      <c r="U25" s="43"/>
      <c r="V25" s="42">
        <f t="shared" si="1"/>
        <v>0</v>
      </c>
      <c r="W25" s="22"/>
      <c r="X25" s="22"/>
      <c r="Y25" s="310"/>
      <c r="Z25" s="310"/>
      <c r="AA25" s="300" t="e">
        <f t="shared" si="3"/>
        <v>#DIV/0!</v>
      </c>
      <c r="AB25" s="310"/>
    </row>
    <row r="26" spans="1:28" ht="17.25" x14ac:dyDescent="0.3">
      <c r="A26" s="240"/>
      <c r="B26" s="505" t="s">
        <v>241</v>
      </c>
      <c r="C26" s="506"/>
      <c r="D26" s="506"/>
      <c r="E26" s="506"/>
      <c r="F26" s="507"/>
      <c r="G26" s="241"/>
      <c r="H26" s="241"/>
      <c r="I26" s="242"/>
      <c r="J26" s="81"/>
      <c r="K26" s="197" t="s">
        <v>188</v>
      </c>
      <c r="L26" s="52">
        <v>3600000</v>
      </c>
      <c r="M26" s="52">
        <v>0</v>
      </c>
      <c r="N26" s="52">
        <f t="shared" ref="N26:N82" si="7">L26-M26</f>
        <v>3600000</v>
      </c>
      <c r="O26" s="116"/>
      <c r="P26" s="116"/>
      <c r="Q26" s="84">
        <v>0</v>
      </c>
      <c r="R26" s="84">
        <v>600000</v>
      </c>
      <c r="S26" s="84">
        <f>Q26+R26</f>
        <v>600000</v>
      </c>
      <c r="T26" s="54">
        <f>S26/N26*100</f>
        <v>16.666666666666664</v>
      </c>
      <c r="U26" s="52">
        <f t="shared" si="4"/>
        <v>3000000</v>
      </c>
      <c r="V26" s="42">
        <f t="shared" si="1"/>
        <v>1500000</v>
      </c>
      <c r="W26" s="22">
        <f>S26/L26*100</f>
        <v>16.666666666666664</v>
      </c>
      <c r="X26" s="22">
        <f t="shared" si="0"/>
        <v>0</v>
      </c>
      <c r="Y26" s="310">
        <v>24.99</v>
      </c>
      <c r="Z26" s="311">
        <f>W26-Y26</f>
        <v>-8.3233333333333341</v>
      </c>
      <c r="AA26" s="302">
        <f t="shared" si="3"/>
        <v>0</v>
      </c>
      <c r="AB26" s="310" t="s">
        <v>268</v>
      </c>
    </row>
    <row r="27" spans="1:28" x14ac:dyDescent="0.25">
      <c r="A27" s="240"/>
      <c r="B27" s="244"/>
      <c r="C27" s="247"/>
      <c r="D27" s="242"/>
      <c r="E27" s="242"/>
      <c r="F27" s="242"/>
      <c r="G27" s="241"/>
      <c r="H27" s="241"/>
      <c r="I27" s="242"/>
      <c r="J27" s="64"/>
      <c r="K27" s="28"/>
      <c r="L27" s="66"/>
      <c r="M27" s="66"/>
      <c r="N27" s="31"/>
      <c r="O27" s="66"/>
      <c r="P27" s="66"/>
      <c r="Q27" s="29"/>
      <c r="R27" s="29"/>
      <c r="S27" s="29"/>
      <c r="T27" s="32"/>
      <c r="U27" s="43"/>
      <c r="V27" s="42">
        <f t="shared" si="1"/>
        <v>0</v>
      </c>
      <c r="W27" s="22"/>
      <c r="X27" s="22"/>
      <c r="Y27" s="310"/>
      <c r="Z27" s="310"/>
      <c r="AA27" s="300" t="e">
        <f t="shared" si="3"/>
        <v>#DIV/0!</v>
      </c>
      <c r="AB27" s="310"/>
    </row>
    <row r="28" spans="1:28" ht="17.25" x14ac:dyDescent="0.3">
      <c r="A28" s="240"/>
      <c r="B28" s="505" t="s">
        <v>242</v>
      </c>
      <c r="C28" s="506"/>
      <c r="D28" s="506"/>
      <c r="E28" s="506"/>
      <c r="F28" s="507"/>
      <c r="G28" s="241"/>
      <c r="H28" s="241"/>
      <c r="I28" s="242"/>
      <c r="J28" s="81"/>
      <c r="K28" s="197" t="s">
        <v>189</v>
      </c>
      <c r="L28" s="52">
        <v>50388000</v>
      </c>
      <c r="M28" s="52">
        <v>0</v>
      </c>
      <c r="N28" s="52">
        <f t="shared" si="7"/>
        <v>50388000</v>
      </c>
      <c r="O28" s="116"/>
      <c r="P28" s="116"/>
      <c r="Q28" s="84">
        <v>0</v>
      </c>
      <c r="R28" s="84">
        <v>10998000</v>
      </c>
      <c r="S28" s="84">
        <f>Q28+R28</f>
        <v>10998000</v>
      </c>
      <c r="T28" s="54">
        <f>S28/N28*100</f>
        <v>21.826625386996902</v>
      </c>
      <c r="U28" s="52">
        <f t="shared" ref="U28:U88" si="8">N28-S28</f>
        <v>39390000</v>
      </c>
      <c r="V28" s="42">
        <f t="shared" si="1"/>
        <v>19695000</v>
      </c>
      <c r="W28" s="22">
        <f>S28/L28*100</f>
        <v>21.826625386996902</v>
      </c>
      <c r="X28" s="22">
        <f t="shared" si="0"/>
        <v>0</v>
      </c>
      <c r="Y28" s="310">
        <v>24.31</v>
      </c>
      <c r="Z28" s="311">
        <f>W28-Y28</f>
        <v>-2.4833746130030967</v>
      </c>
      <c r="AA28" s="302">
        <f t="shared" si="3"/>
        <v>0</v>
      </c>
      <c r="AB28" s="310"/>
    </row>
    <row r="29" spans="1:28" x14ac:dyDescent="0.25">
      <c r="A29" s="240"/>
      <c r="B29" s="248"/>
      <c r="C29" s="249"/>
      <c r="D29" s="242"/>
      <c r="E29" s="242"/>
      <c r="F29" s="242"/>
      <c r="G29" s="241"/>
      <c r="H29" s="241"/>
      <c r="I29" s="242"/>
      <c r="J29" s="64"/>
      <c r="K29" s="28"/>
      <c r="L29" s="66"/>
      <c r="M29" s="66"/>
      <c r="N29" s="67"/>
      <c r="O29" s="66"/>
      <c r="P29" s="66"/>
      <c r="Q29" s="68"/>
      <c r="R29" s="29"/>
      <c r="S29" s="29"/>
      <c r="T29" s="32"/>
      <c r="U29" s="43"/>
      <c r="V29" s="42">
        <f t="shared" si="1"/>
        <v>0</v>
      </c>
      <c r="W29" s="22"/>
      <c r="X29" s="22"/>
      <c r="Y29" s="310"/>
      <c r="Z29" s="310"/>
      <c r="AA29" s="300" t="e">
        <f t="shared" si="3"/>
        <v>#DIV/0!</v>
      </c>
      <c r="AB29" s="310"/>
    </row>
    <row r="30" spans="1:28" ht="17.25" x14ac:dyDescent="0.3">
      <c r="A30" s="240"/>
      <c r="B30" s="505" t="s">
        <v>243</v>
      </c>
      <c r="C30" s="506"/>
      <c r="D30" s="506"/>
      <c r="E30" s="506"/>
      <c r="F30" s="507"/>
      <c r="G30" s="241"/>
      <c r="H30" s="241"/>
      <c r="I30" s="242"/>
      <c r="J30" s="81"/>
      <c r="K30" s="197" t="s">
        <v>190</v>
      </c>
      <c r="L30" s="52">
        <f>L34+L32</f>
        <v>33005000</v>
      </c>
      <c r="M30" s="52">
        <v>0</v>
      </c>
      <c r="N30" s="52">
        <f t="shared" si="7"/>
        <v>33005000</v>
      </c>
      <c r="O30" s="116"/>
      <c r="P30" s="116"/>
      <c r="Q30" s="52">
        <v>2849000</v>
      </c>
      <c r="R30" s="84">
        <v>4159350</v>
      </c>
      <c r="S30" s="84">
        <f>Q30+R30</f>
        <v>7008350</v>
      </c>
      <c r="T30" s="54">
        <f>S30/N30*100</f>
        <v>21.234206938342677</v>
      </c>
      <c r="U30" s="117">
        <f t="shared" si="8"/>
        <v>25996650</v>
      </c>
      <c r="V30" s="42">
        <f t="shared" si="1"/>
        <v>12998325</v>
      </c>
      <c r="W30" s="22">
        <f>S30/L30*100</f>
        <v>21.234206938342677</v>
      </c>
      <c r="X30" s="22">
        <f t="shared" si="0"/>
        <v>8.6320254506892908</v>
      </c>
      <c r="Y30" s="310">
        <v>23.48</v>
      </c>
      <c r="Z30" s="311">
        <f>W30-Y30</f>
        <v>-2.2457930616573236</v>
      </c>
      <c r="AA30" s="300">
        <f t="shared" si="3"/>
        <v>8.6320254506892908</v>
      </c>
      <c r="AB30" s="310"/>
    </row>
    <row r="31" spans="1:28" x14ac:dyDescent="0.25">
      <c r="A31" s="240"/>
      <c r="B31" s="244"/>
      <c r="C31" s="247"/>
      <c r="D31" s="242"/>
      <c r="E31" s="242"/>
      <c r="F31" s="242"/>
      <c r="G31" s="241"/>
      <c r="H31" s="241"/>
      <c r="I31" s="242"/>
      <c r="J31" s="64"/>
      <c r="K31" s="28"/>
      <c r="L31" s="66"/>
      <c r="M31" s="66"/>
      <c r="N31" s="67"/>
      <c r="O31" s="66"/>
      <c r="P31" s="66"/>
      <c r="Q31" s="68"/>
      <c r="R31" s="29"/>
      <c r="S31" s="29"/>
      <c r="T31" s="32"/>
      <c r="U31" s="43"/>
      <c r="V31" s="42">
        <f t="shared" si="1"/>
        <v>0</v>
      </c>
      <c r="W31" s="22"/>
      <c r="X31" s="22"/>
      <c r="Y31" s="310"/>
      <c r="Z31" s="310"/>
      <c r="AA31" s="300" t="e">
        <f t="shared" si="3"/>
        <v>#DIV/0!</v>
      </c>
      <c r="AB31" s="310"/>
    </row>
    <row r="32" spans="1:28" ht="0.75" customHeight="1" x14ac:dyDescent="0.25">
      <c r="A32" s="240"/>
      <c r="B32" s="244"/>
      <c r="C32" s="247"/>
      <c r="D32" s="242"/>
      <c r="E32" s="242"/>
      <c r="F32" s="242"/>
      <c r="G32" s="241"/>
      <c r="H32" s="241"/>
      <c r="I32" s="242"/>
      <c r="J32" s="64"/>
      <c r="K32" s="56" t="s">
        <v>191</v>
      </c>
      <c r="L32" s="66">
        <v>15750000</v>
      </c>
      <c r="M32" s="66">
        <v>0</v>
      </c>
      <c r="N32" s="126">
        <f t="shared" si="7"/>
        <v>15750000</v>
      </c>
      <c r="O32" s="66"/>
      <c r="P32" s="66"/>
      <c r="Q32" s="68">
        <v>2385000</v>
      </c>
      <c r="R32" s="84">
        <v>2385000</v>
      </c>
      <c r="S32" s="84">
        <f>Q32+R32</f>
        <v>4770000</v>
      </c>
      <c r="T32" s="54">
        <f>S32/N32*100</f>
        <v>30.285714285714288</v>
      </c>
      <c r="U32" s="43">
        <f t="shared" si="8"/>
        <v>10980000</v>
      </c>
      <c r="V32" s="42"/>
      <c r="W32" s="22">
        <f>S32/L32*100</f>
        <v>30.285714285714288</v>
      </c>
      <c r="X32" s="22">
        <f t="shared" si="0"/>
        <v>15.142857142857144</v>
      </c>
      <c r="Y32" s="310"/>
      <c r="Z32" s="310"/>
      <c r="AA32" s="300"/>
      <c r="AB32" s="310"/>
    </row>
    <row r="33" spans="1:28" hidden="1" x14ac:dyDescent="0.25">
      <c r="A33" s="240"/>
      <c r="B33" s="244"/>
      <c r="C33" s="247"/>
      <c r="D33" s="242"/>
      <c r="E33" s="242"/>
      <c r="F33" s="242"/>
      <c r="G33" s="241"/>
      <c r="H33" s="241"/>
      <c r="I33" s="242"/>
      <c r="J33" s="64"/>
      <c r="K33" s="28"/>
      <c r="L33" s="66"/>
      <c r="M33" s="66"/>
      <c r="N33" s="127"/>
      <c r="O33" s="66"/>
      <c r="P33" s="66"/>
      <c r="Q33" s="68"/>
      <c r="R33" s="29"/>
      <c r="S33" s="29"/>
      <c r="T33" s="32"/>
      <c r="U33" s="43"/>
      <c r="V33" s="42"/>
      <c r="W33" s="22"/>
      <c r="X33" s="22"/>
      <c r="Y33" s="310"/>
      <c r="Z33" s="310"/>
      <c r="AA33" s="300"/>
      <c r="AB33" s="310"/>
    </row>
    <row r="34" spans="1:28" hidden="1" x14ac:dyDescent="0.25">
      <c r="A34" s="240"/>
      <c r="B34" s="244"/>
      <c r="C34" s="247"/>
      <c r="D34" s="242"/>
      <c r="E34" s="242"/>
      <c r="F34" s="242"/>
      <c r="G34" s="241"/>
      <c r="H34" s="241"/>
      <c r="I34" s="242"/>
      <c r="J34" s="64"/>
      <c r="K34" s="56" t="s">
        <v>192</v>
      </c>
      <c r="L34" s="30">
        <v>17255000</v>
      </c>
      <c r="M34" s="30">
        <v>0</v>
      </c>
      <c r="N34" s="126">
        <f t="shared" si="7"/>
        <v>17255000</v>
      </c>
      <c r="O34" s="66"/>
      <c r="P34" s="66"/>
      <c r="Q34" s="68">
        <v>464000</v>
      </c>
      <c r="R34" s="84">
        <v>1774350</v>
      </c>
      <c r="S34" s="84">
        <f>Q34+R34</f>
        <v>2238350</v>
      </c>
      <c r="T34" s="20">
        <f>S34/N34*100</f>
        <v>12.972181976238772</v>
      </c>
      <c r="U34" s="43">
        <f t="shared" si="8"/>
        <v>15016650</v>
      </c>
      <c r="V34" s="42">
        <f t="shared" si="1"/>
        <v>7508325</v>
      </c>
      <c r="W34" s="22">
        <f>S34/L34*100</f>
        <v>12.972181976238772</v>
      </c>
      <c r="X34" s="22">
        <f t="shared" si="0"/>
        <v>2.6890756302521011</v>
      </c>
      <c r="Y34" s="310"/>
      <c r="Z34" s="310"/>
      <c r="AA34" s="300">
        <f t="shared" si="3"/>
        <v>2.6890756302521011</v>
      </c>
      <c r="AB34" s="310"/>
    </row>
    <row r="35" spans="1:28" hidden="1" x14ac:dyDescent="0.25">
      <c r="A35" s="240"/>
      <c r="B35" s="244"/>
      <c r="C35" s="247"/>
      <c r="D35" s="242"/>
      <c r="E35" s="242"/>
      <c r="F35" s="242"/>
      <c r="G35" s="241"/>
      <c r="H35" s="241"/>
      <c r="I35" s="242"/>
      <c r="J35" s="64"/>
      <c r="K35" s="28"/>
      <c r="L35" s="66"/>
      <c r="M35" s="66"/>
      <c r="N35" s="67"/>
      <c r="O35" s="66"/>
      <c r="P35" s="66"/>
      <c r="Q35" s="68"/>
      <c r="R35" s="29"/>
      <c r="S35" s="29"/>
      <c r="T35" s="32"/>
      <c r="U35" s="43"/>
      <c r="V35" s="42">
        <f t="shared" si="1"/>
        <v>0</v>
      </c>
      <c r="W35" s="22"/>
      <c r="X35" s="22"/>
      <c r="Y35" s="310"/>
      <c r="Z35" s="310"/>
      <c r="AA35" s="300" t="e">
        <f t="shared" si="3"/>
        <v>#DIV/0!</v>
      </c>
      <c r="AB35" s="310"/>
    </row>
    <row r="36" spans="1:28" ht="17.25" x14ac:dyDescent="0.3">
      <c r="A36" s="240"/>
      <c r="B36" s="505" t="s">
        <v>244</v>
      </c>
      <c r="C36" s="506"/>
      <c r="D36" s="506"/>
      <c r="E36" s="506"/>
      <c r="F36" s="507"/>
      <c r="G36" s="248"/>
      <c r="H36" s="248"/>
      <c r="I36" s="250"/>
      <c r="J36" s="122"/>
      <c r="K36" s="197" t="s">
        <v>193</v>
      </c>
      <c r="L36" s="52">
        <v>136360000</v>
      </c>
      <c r="M36" s="52">
        <v>0</v>
      </c>
      <c r="N36" s="52">
        <f t="shared" si="7"/>
        <v>136360000</v>
      </c>
      <c r="O36" s="116"/>
      <c r="P36" s="116"/>
      <c r="Q36" s="84">
        <v>9928000</v>
      </c>
      <c r="R36" s="84">
        <v>26092500</v>
      </c>
      <c r="S36" s="84">
        <f>Q36+R36</f>
        <v>36020500</v>
      </c>
      <c r="T36" s="54">
        <f>S36/N36*100</f>
        <v>26.415737753006745</v>
      </c>
      <c r="U36" s="52">
        <f t="shared" si="8"/>
        <v>100339500</v>
      </c>
      <c r="V36" s="42">
        <f t="shared" si="1"/>
        <v>50169750</v>
      </c>
      <c r="W36" s="22">
        <f>S36/L36*100</f>
        <v>26.415737753006745</v>
      </c>
      <c r="X36" s="22">
        <f t="shared" si="0"/>
        <v>7.2807274860662945</v>
      </c>
      <c r="Y36" s="310">
        <v>25.67</v>
      </c>
      <c r="Z36" s="311">
        <f>W36-Y36</f>
        <v>0.74573775300674328</v>
      </c>
      <c r="AA36" s="302">
        <f t="shared" si="3"/>
        <v>7.2807274860662945</v>
      </c>
      <c r="AB36" s="310"/>
    </row>
    <row r="37" spans="1:28" x14ac:dyDescent="0.25">
      <c r="A37" s="240"/>
      <c r="B37" s="244"/>
      <c r="C37" s="247"/>
      <c r="D37" s="242"/>
      <c r="E37" s="242"/>
      <c r="F37" s="242"/>
      <c r="G37" s="241"/>
      <c r="H37" s="241"/>
      <c r="I37" s="242"/>
      <c r="J37" s="64"/>
      <c r="K37" s="28"/>
      <c r="L37" s="66"/>
      <c r="M37" s="66"/>
      <c r="N37" s="67"/>
      <c r="O37" s="66"/>
      <c r="P37" s="66"/>
      <c r="Q37" s="68"/>
      <c r="R37" s="29"/>
      <c r="S37" s="29"/>
      <c r="T37" s="32"/>
      <c r="U37" s="43"/>
      <c r="V37" s="42">
        <f t="shared" si="1"/>
        <v>0</v>
      </c>
      <c r="W37" s="22"/>
      <c r="X37" s="22"/>
      <c r="Y37" s="310"/>
      <c r="Z37" s="310"/>
      <c r="AA37" s="300" t="e">
        <f t="shared" si="3"/>
        <v>#DIV/0!</v>
      </c>
      <c r="AB37" s="310"/>
    </row>
    <row r="38" spans="1:28" ht="17.25" x14ac:dyDescent="0.3">
      <c r="A38" s="240"/>
      <c r="B38" s="505" t="s">
        <v>245</v>
      </c>
      <c r="C38" s="506"/>
      <c r="D38" s="506"/>
      <c r="E38" s="506"/>
      <c r="F38" s="507"/>
      <c r="G38" s="248"/>
      <c r="H38" s="248"/>
      <c r="I38" s="250"/>
      <c r="J38" s="122"/>
      <c r="K38" s="197" t="s">
        <v>194</v>
      </c>
      <c r="L38" s="52">
        <v>1980000</v>
      </c>
      <c r="M38" s="52">
        <v>0</v>
      </c>
      <c r="N38" s="52">
        <f t="shared" si="7"/>
        <v>1980000</v>
      </c>
      <c r="O38" s="116"/>
      <c r="P38" s="116"/>
      <c r="Q38" s="84">
        <v>0</v>
      </c>
      <c r="R38" s="84">
        <v>0</v>
      </c>
      <c r="S38" s="84">
        <f>Q38+R38</f>
        <v>0</v>
      </c>
      <c r="T38" s="54">
        <f>S38/N38*100</f>
        <v>0</v>
      </c>
      <c r="U38" s="52">
        <f t="shared" si="8"/>
        <v>1980000</v>
      </c>
      <c r="V38" s="42">
        <f t="shared" si="1"/>
        <v>990000</v>
      </c>
      <c r="W38" s="22">
        <f>S38/L38*100</f>
        <v>0</v>
      </c>
      <c r="X38" s="22">
        <f t="shared" si="0"/>
        <v>0</v>
      </c>
      <c r="Y38" s="310">
        <v>22.73</v>
      </c>
      <c r="Z38" s="311">
        <f>W38-Y38</f>
        <v>-22.73</v>
      </c>
      <c r="AA38" s="302">
        <f t="shared" si="3"/>
        <v>0</v>
      </c>
      <c r="AB38" s="310" t="s">
        <v>268</v>
      </c>
    </row>
    <row r="39" spans="1:28" x14ac:dyDescent="0.25">
      <c r="A39" s="240"/>
      <c r="B39" s="244"/>
      <c r="C39" s="247"/>
      <c r="D39" s="242"/>
      <c r="E39" s="242"/>
      <c r="F39" s="242"/>
      <c r="G39" s="241"/>
      <c r="H39" s="241"/>
      <c r="I39" s="242"/>
      <c r="J39" s="64"/>
      <c r="K39" s="28"/>
      <c r="L39" s="66"/>
      <c r="M39" s="66"/>
      <c r="N39" s="67"/>
      <c r="O39" s="66"/>
      <c r="P39" s="66"/>
      <c r="Q39" s="68"/>
      <c r="R39" s="29"/>
      <c r="S39" s="29"/>
      <c r="T39" s="32"/>
      <c r="U39" s="43"/>
      <c r="V39" s="42">
        <f t="shared" si="1"/>
        <v>0</v>
      </c>
      <c r="W39" s="22"/>
      <c r="X39" s="22"/>
      <c r="Y39" s="310"/>
      <c r="Z39" s="310"/>
      <c r="AA39" s="300" t="e">
        <f t="shared" si="3"/>
        <v>#DIV/0!</v>
      </c>
      <c r="AB39" s="310"/>
    </row>
    <row r="40" spans="1:28" ht="17.25" x14ac:dyDescent="0.3">
      <c r="A40" s="240"/>
      <c r="B40" s="505" t="s">
        <v>246</v>
      </c>
      <c r="C40" s="506"/>
      <c r="D40" s="506"/>
      <c r="E40" s="506"/>
      <c r="F40" s="507"/>
      <c r="G40" s="248"/>
      <c r="H40" s="248"/>
      <c r="I40" s="250"/>
      <c r="J40" s="122"/>
      <c r="K40" s="197" t="s">
        <v>195</v>
      </c>
      <c r="L40" s="52">
        <v>1700000</v>
      </c>
      <c r="M40" s="52">
        <v>0</v>
      </c>
      <c r="N40" s="52">
        <f t="shared" si="7"/>
        <v>1700000</v>
      </c>
      <c r="O40" s="116"/>
      <c r="P40" s="116"/>
      <c r="Q40" s="84">
        <v>0</v>
      </c>
      <c r="R40" s="84">
        <v>500000</v>
      </c>
      <c r="S40" s="84">
        <f>Q40+R40</f>
        <v>500000</v>
      </c>
      <c r="T40" s="54">
        <f>S40/N40*100</f>
        <v>29.411764705882355</v>
      </c>
      <c r="U40" s="52">
        <f t="shared" si="8"/>
        <v>1200000</v>
      </c>
      <c r="V40" s="42">
        <f t="shared" si="1"/>
        <v>600000</v>
      </c>
      <c r="W40" s="22">
        <f>S40/L40*100</f>
        <v>29.411764705882355</v>
      </c>
      <c r="X40" s="22">
        <f t="shared" si="0"/>
        <v>0</v>
      </c>
      <c r="Y40" s="310">
        <v>23.53</v>
      </c>
      <c r="Z40" s="311">
        <f>W40-Y40</f>
        <v>5.8817647058823539</v>
      </c>
      <c r="AA40" s="302">
        <f t="shared" si="3"/>
        <v>0</v>
      </c>
      <c r="AB40" s="310"/>
    </row>
    <row r="41" spans="1:28" x14ac:dyDescent="0.25">
      <c r="A41" s="240"/>
      <c r="B41" s="244"/>
      <c r="C41" s="247"/>
      <c r="D41" s="242"/>
      <c r="E41" s="242"/>
      <c r="F41" s="242"/>
      <c r="G41" s="241"/>
      <c r="H41" s="241"/>
      <c r="I41" s="242"/>
      <c r="J41" s="64"/>
      <c r="K41" s="28"/>
      <c r="L41" s="66"/>
      <c r="M41" s="66"/>
      <c r="N41" s="67"/>
      <c r="O41" s="66"/>
      <c r="P41" s="66"/>
      <c r="Q41" s="68"/>
      <c r="R41" s="29"/>
      <c r="S41" s="29"/>
      <c r="T41" s="32"/>
      <c r="U41" s="43"/>
      <c r="V41" s="42">
        <f t="shared" si="1"/>
        <v>0</v>
      </c>
      <c r="W41" s="22"/>
      <c r="X41" s="22"/>
      <c r="Y41" s="310"/>
      <c r="Z41" s="310"/>
      <c r="AA41" s="300" t="e">
        <f t="shared" si="3"/>
        <v>#DIV/0!</v>
      </c>
      <c r="AB41" s="310"/>
    </row>
    <row r="42" spans="1:28" ht="17.25" x14ac:dyDescent="0.3">
      <c r="A42" s="240"/>
      <c r="B42" s="505" t="s">
        <v>246</v>
      </c>
      <c r="C42" s="506"/>
      <c r="D42" s="506"/>
      <c r="E42" s="506"/>
      <c r="F42" s="507"/>
      <c r="G42" s="251"/>
      <c r="H42" s="251"/>
      <c r="I42" s="251"/>
      <c r="J42" s="98"/>
      <c r="K42" s="197" t="s">
        <v>196</v>
      </c>
      <c r="L42" s="131">
        <f>L44+L46+L48</f>
        <v>231900000</v>
      </c>
      <c r="M42" s="131">
        <f>M44+M46+M48</f>
        <v>0</v>
      </c>
      <c r="N42" s="52">
        <f t="shared" si="7"/>
        <v>231900000</v>
      </c>
      <c r="O42" s="116"/>
      <c r="P42" s="116"/>
      <c r="Q42" s="84">
        <v>16251100</v>
      </c>
      <c r="R42" s="84">
        <v>36628149</v>
      </c>
      <c r="S42" s="84">
        <f>Q42+R42</f>
        <v>52879249</v>
      </c>
      <c r="T42" s="54">
        <f>S42/N42*100</f>
        <v>22.802608451918928</v>
      </c>
      <c r="U42" s="52">
        <f t="shared" si="8"/>
        <v>179020751</v>
      </c>
      <c r="V42" s="42">
        <f t="shared" si="1"/>
        <v>89510375.5</v>
      </c>
      <c r="W42" s="22">
        <f>S42/L42*100</f>
        <v>22.802608451918928</v>
      </c>
      <c r="X42" s="22">
        <f t="shared" si="0"/>
        <v>7.0078050884001719</v>
      </c>
      <c r="Y42" s="310">
        <v>23.72</v>
      </c>
      <c r="Z42" s="311">
        <f>W42-Y42</f>
        <v>-0.9173915480810706</v>
      </c>
      <c r="AA42" s="300">
        <f t="shared" si="3"/>
        <v>7.0078050884001719</v>
      </c>
      <c r="AB42" s="310"/>
    </row>
    <row r="43" spans="1:28" x14ac:dyDescent="0.25">
      <c r="A43" s="240"/>
      <c r="B43" s="244"/>
      <c r="C43" s="247"/>
      <c r="D43" s="242"/>
      <c r="E43" s="242"/>
      <c r="F43" s="242"/>
      <c r="G43" s="241"/>
      <c r="H43" s="241"/>
      <c r="I43" s="242"/>
      <c r="J43" s="64"/>
      <c r="K43" s="28"/>
      <c r="L43" s="66"/>
      <c r="M43" s="66"/>
      <c r="N43" s="67"/>
      <c r="O43" s="66"/>
      <c r="P43" s="66"/>
      <c r="Q43" s="68"/>
      <c r="R43" s="29"/>
      <c r="S43" s="29"/>
      <c r="T43" s="32"/>
      <c r="U43" s="43"/>
      <c r="V43" s="42">
        <f t="shared" si="1"/>
        <v>0</v>
      </c>
      <c r="W43" s="22"/>
      <c r="X43" s="22"/>
      <c r="Y43" s="310"/>
      <c r="Z43" s="310"/>
      <c r="AA43" s="300" t="e">
        <f t="shared" si="3"/>
        <v>#DIV/0!</v>
      </c>
      <c r="AB43" s="310"/>
    </row>
    <row r="44" spans="1:28" ht="0.75" customHeight="1" x14ac:dyDescent="0.25">
      <c r="A44" s="240"/>
      <c r="B44" s="244"/>
      <c r="C44" s="247"/>
      <c r="D44" s="242"/>
      <c r="E44" s="242"/>
      <c r="F44" s="242"/>
      <c r="G44" s="241"/>
      <c r="H44" s="241"/>
      <c r="I44" s="242"/>
      <c r="J44" s="64"/>
      <c r="K44" s="28" t="s">
        <v>197</v>
      </c>
      <c r="L44" s="66">
        <v>27000000</v>
      </c>
      <c r="M44" s="66">
        <v>0</v>
      </c>
      <c r="N44" s="126">
        <f t="shared" si="7"/>
        <v>27000000</v>
      </c>
      <c r="O44" s="66"/>
      <c r="P44" s="66"/>
      <c r="Q44" s="68">
        <v>1677546</v>
      </c>
      <c r="R44" s="84">
        <v>3326971</v>
      </c>
      <c r="S44" s="84">
        <f>Q44+R44</f>
        <v>5004517</v>
      </c>
      <c r="T44" s="54">
        <f>S44/N44*100</f>
        <v>18.535248148148149</v>
      </c>
      <c r="U44" s="43">
        <f t="shared" si="8"/>
        <v>21995483</v>
      </c>
      <c r="V44" s="42"/>
      <c r="W44" s="22">
        <f>S44/L44*100</f>
        <v>18.535248148148149</v>
      </c>
      <c r="X44" s="22">
        <f t="shared" si="0"/>
        <v>6.2131333333333334</v>
      </c>
      <c r="Y44" s="310"/>
      <c r="Z44" s="310"/>
      <c r="AA44" s="300"/>
      <c r="AB44" s="310"/>
    </row>
    <row r="45" spans="1:28" hidden="1" x14ac:dyDescent="0.25">
      <c r="A45" s="240"/>
      <c r="B45" s="244"/>
      <c r="C45" s="247"/>
      <c r="D45" s="242"/>
      <c r="E45" s="242"/>
      <c r="F45" s="242"/>
      <c r="G45" s="241"/>
      <c r="H45" s="241"/>
      <c r="I45" s="242"/>
      <c r="J45" s="64"/>
      <c r="K45" s="28"/>
      <c r="L45" s="66"/>
      <c r="M45" s="66"/>
      <c r="N45" s="67"/>
      <c r="O45" s="66"/>
      <c r="P45" s="66"/>
      <c r="Q45" s="68"/>
      <c r="R45" s="29"/>
      <c r="S45" s="29"/>
      <c r="T45" s="32"/>
      <c r="U45" s="43"/>
      <c r="V45" s="42"/>
      <c r="W45" s="22"/>
      <c r="X45" s="22"/>
      <c r="Y45" s="310"/>
      <c r="Z45" s="310"/>
      <c r="AA45" s="300"/>
      <c r="AB45" s="310"/>
    </row>
    <row r="46" spans="1:28" hidden="1" x14ac:dyDescent="0.25">
      <c r="A46" s="240"/>
      <c r="B46" s="244"/>
      <c r="C46" s="247"/>
      <c r="D46" s="242"/>
      <c r="E46" s="242"/>
      <c r="F46" s="242"/>
      <c r="G46" s="241"/>
      <c r="H46" s="241"/>
      <c r="I46" s="242"/>
      <c r="J46" s="64"/>
      <c r="K46" s="28" t="s">
        <v>198</v>
      </c>
      <c r="L46" s="66">
        <v>900000</v>
      </c>
      <c r="M46" s="66">
        <v>0</v>
      </c>
      <c r="N46" s="126">
        <f t="shared" si="7"/>
        <v>900000</v>
      </c>
      <c r="O46" s="66"/>
      <c r="P46" s="66"/>
      <c r="Q46" s="68">
        <v>45950</v>
      </c>
      <c r="R46" s="84">
        <v>91900</v>
      </c>
      <c r="S46" s="84">
        <f>Q46+R46</f>
        <v>137850</v>
      </c>
      <c r="T46" s="54">
        <f>S46/N46*100</f>
        <v>15.316666666666666</v>
      </c>
      <c r="U46" s="43">
        <f t="shared" si="8"/>
        <v>762150</v>
      </c>
      <c r="V46" s="42"/>
      <c r="W46" s="22">
        <f>S46/L46*100</f>
        <v>15.316666666666666</v>
      </c>
      <c r="X46" s="22">
        <f t="shared" si="0"/>
        <v>5.1055555555555552</v>
      </c>
      <c r="Y46" s="310"/>
      <c r="Z46" s="310"/>
      <c r="AA46" s="300"/>
      <c r="AB46" s="310"/>
    </row>
    <row r="47" spans="1:28" hidden="1" x14ac:dyDescent="0.25">
      <c r="A47" s="240"/>
      <c r="B47" s="244"/>
      <c r="C47" s="247"/>
      <c r="D47" s="242"/>
      <c r="E47" s="242"/>
      <c r="F47" s="242"/>
      <c r="G47" s="241"/>
      <c r="H47" s="241"/>
      <c r="I47" s="242"/>
      <c r="J47" s="64"/>
      <c r="K47" s="28"/>
      <c r="L47" s="66"/>
      <c r="M47" s="66"/>
      <c r="N47" s="67"/>
      <c r="O47" s="66"/>
      <c r="P47" s="66"/>
      <c r="Q47" s="68"/>
      <c r="R47" s="29"/>
      <c r="S47" s="29"/>
      <c r="T47" s="32"/>
      <c r="U47" s="43"/>
      <c r="V47" s="42"/>
      <c r="W47" s="22"/>
      <c r="X47" s="22"/>
      <c r="Y47" s="310"/>
      <c r="Z47" s="310"/>
      <c r="AA47" s="300"/>
      <c r="AB47" s="310"/>
    </row>
    <row r="48" spans="1:28" hidden="1" x14ac:dyDescent="0.25">
      <c r="A48" s="240"/>
      <c r="B48" s="244"/>
      <c r="C48" s="247"/>
      <c r="D48" s="242"/>
      <c r="E48" s="242"/>
      <c r="F48" s="242"/>
      <c r="G48" s="241"/>
      <c r="H48" s="241"/>
      <c r="I48" s="242"/>
      <c r="J48" s="64"/>
      <c r="K48" s="56" t="s">
        <v>199</v>
      </c>
      <c r="L48" s="30">
        <v>204000000</v>
      </c>
      <c r="M48" s="30">
        <v>0</v>
      </c>
      <c r="N48" s="31">
        <v>204000000</v>
      </c>
      <c r="O48" s="66"/>
      <c r="P48" s="66"/>
      <c r="Q48" s="225">
        <v>14527604</v>
      </c>
      <c r="R48" s="84">
        <v>33209278</v>
      </c>
      <c r="S48" s="84">
        <f>Q48+R48</f>
        <v>47736882</v>
      </c>
      <c r="T48" s="54">
        <f>S48/N48*100</f>
        <v>23.400432352941177</v>
      </c>
      <c r="U48" s="43">
        <f>N48-S48</f>
        <v>156263118</v>
      </c>
      <c r="V48" s="42">
        <f t="shared" si="1"/>
        <v>78131559</v>
      </c>
      <c r="W48" s="22">
        <f>S48/L48*100</f>
        <v>23.400432352941177</v>
      </c>
      <c r="X48" s="22">
        <f t="shared" si="0"/>
        <v>7.1213745098039212</v>
      </c>
      <c r="Y48" s="310"/>
      <c r="Z48" s="310"/>
      <c r="AA48" s="300">
        <f t="shared" si="3"/>
        <v>7.1213745098039212</v>
      </c>
      <c r="AB48" s="310"/>
    </row>
    <row r="49" spans="1:28" hidden="1" x14ac:dyDescent="0.25">
      <c r="A49" s="240"/>
      <c r="B49" s="244"/>
      <c r="C49" s="247"/>
      <c r="D49" s="242"/>
      <c r="E49" s="242"/>
      <c r="F49" s="242"/>
      <c r="G49" s="241"/>
      <c r="H49" s="241"/>
      <c r="I49" s="242"/>
      <c r="J49" s="64"/>
      <c r="K49" s="28"/>
      <c r="L49" s="66"/>
      <c r="M49" s="66"/>
      <c r="N49" s="67"/>
      <c r="O49" s="66"/>
      <c r="P49" s="66"/>
      <c r="Q49" s="68"/>
      <c r="R49" s="29"/>
      <c r="S49" s="29"/>
      <c r="T49" s="32"/>
      <c r="U49" s="43"/>
      <c r="V49" s="42">
        <f t="shared" si="1"/>
        <v>0</v>
      </c>
      <c r="W49" s="22"/>
      <c r="X49" s="22"/>
      <c r="Y49" s="310"/>
      <c r="Z49" s="310"/>
      <c r="AA49" s="300" t="e">
        <f t="shared" si="3"/>
        <v>#DIV/0!</v>
      </c>
      <c r="AB49" s="310"/>
    </row>
    <row r="50" spans="1:28" ht="17.25" x14ac:dyDescent="0.3">
      <c r="A50" s="240"/>
      <c r="B50" s="505" t="s">
        <v>247</v>
      </c>
      <c r="C50" s="506"/>
      <c r="D50" s="506"/>
      <c r="E50" s="506"/>
      <c r="F50" s="507"/>
      <c r="G50" s="251"/>
      <c r="H50" s="251"/>
      <c r="I50" s="251"/>
      <c r="J50" s="98"/>
      <c r="K50" s="197" t="s">
        <v>200</v>
      </c>
      <c r="L50" s="131">
        <f>L52+L54+L56+L58+L60</f>
        <v>727622000</v>
      </c>
      <c r="M50" s="131">
        <f>M52+M54+M56+M58+M60</f>
        <v>0</v>
      </c>
      <c r="N50" s="52">
        <f t="shared" si="7"/>
        <v>727622000</v>
      </c>
      <c r="O50" s="116"/>
      <c r="P50" s="116"/>
      <c r="Q50" s="120">
        <v>54478880</v>
      </c>
      <c r="R50" s="121">
        <v>116618602</v>
      </c>
      <c r="S50" s="121">
        <f>Q50+R50</f>
        <v>171097482</v>
      </c>
      <c r="T50" s="54">
        <f>S50/N50*100</f>
        <v>23.514610883123378</v>
      </c>
      <c r="U50" s="117">
        <f t="shared" si="8"/>
        <v>556524518</v>
      </c>
      <c r="V50" s="42">
        <f t="shared" si="1"/>
        <v>278262259</v>
      </c>
      <c r="W50" s="22">
        <f>S50/L50*100</f>
        <v>23.514610883123378</v>
      </c>
      <c r="X50" s="22">
        <f t="shared" si="0"/>
        <v>7.4872502480683654</v>
      </c>
      <c r="Y50" s="310">
        <v>20.190000000000001</v>
      </c>
      <c r="Z50" s="311">
        <f>W50-Y50</f>
        <v>3.3246108831233769</v>
      </c>
      <c r="AA50" s="302">
        <f t="shared" si="3"/>
        <v>7.4872502480683654</v>
      </c>
      <c r="AB50" s="310"/>
    </row>
    <row r="51" spans="1:28" x14ac:dyDescent="0.25">
      <c r="A51" s="240"/>
      <c r="B51" s="244"/>
      <c r="C51" s="247"/>
      <c r="D51" s="242"/>
      <c r="E51" s="242"/>
      <c r="F51" s="242"/>
      <c r="G51" s="241"/>
      <c r="H51" s="241"/>
      <c r="I51" s="242"/>
      <c r="J51" s="64"/>
      <c r="K51" s="28"/>
      <c r="L51" s="66"/>
      <c r="M51" s="30"/>
      <c r="N51" s="67"/>
      <c r="O51" s="66"/>
      <c r="P51" s="66"/>
      <c r="Q51" s="68"/>
      <c r="R51" s="29"/>
      <c r="S51" s="29"/>
      <c r="T51" s="32"/>
      <c r="U51" s="43"/>
      <c r="V51" s="42">
        <f t="shared" si="1"/>
        <v>0</v>
      </c>
      <c r="W51" s="22"/>
      <c r="X51" s="22"/>
      <c r="Y51" s="310"/>
      <c r="Z51" s="310"/>
      <c r="AA51" s="300" t="e">
        <f t="shared" si="3"/>
        <v>#DIV/0!</v>
      </c>
      <c r="AB51" s="310"/>
    </row>
    <row r="52" spans="1:28" hidden="1" x14ac:dyDescent="0.25">
      <c r="A52" s="240"/>
      <c r="B52" s="244"/>
      <c r="C52" s="247"/>
      <c r="D52" s="242"/>
      <c r="E52" s="242"/>
      <c r="F52" s="242"/>
      <c r="G52" s="241"/>
      <c r="H52" s="241"/>
      <c r="I52" s="242"/>
      <c r="J52" s="64"/>
      <c r="K52" s="56" t="s">
        <v>201</v>
      </c>
      <c r="L52" s="66">
        <v>3300000</v>
      </c>
      <c r="M52" s="30">
        <v>0</v>
      </c>
      <c r="N52" s="126">
        <f t="shared" si="7"/>
        <v>3300000</v>
      </c>
      <c r="O52" s="66"/>
      <c r="P52" s="66"/>
      <c r="Q52" s="68">
        <v>0</v>
      </c>
      <c r="R52" s="84">
        <v>275000</v>
      </c>
      <c r="S52" s="84">
        <f>Q52+R52</f>
        <v>275000</v>
      </c>
      <c r="T52" s="54">
        <f>S52/N52*100</f>
        <v>8.3333333333333321</v>
      </c>
      <c r="U52" s="43">
        <f t="shared" si="8"/>
        <v>3025000</v>
      </c>
      <c r="V52" s="42"/>
      <c r="W52" s="22"/>
      <c r="X52" s="22">
        <f t="shared" si="0"/>
        <v>0</v>
      </c>
      <c r="Y52" s="310"/>
      <c r="Z52" s="310"/>
      <c r="AA52" s="300"/>
      <c r="AB52" s="310"/>
    </row>
    <row r="53" spans="1:28" hidden="1" x14ac:dyDescent="0.25">
      <c r="A53" s="240"/>
      <c r="B53" s="244"/>
      <c r="C53" s="247"/>
      <c r="D53" s="242"/>
      <c r="E53" s="242"/>
      <c r="F53" s="242"/>
      <c r="G53" s="241"/>
      <c r="H53" s="241"/>
      <c r="I53" s="242"/>
      <c r="J53" s="64"/>
      <c r="K53" s="56"/>
      <c r="L53" s="66"/>
      <c r="M53" s="30"/>
      <c r="N53" s="67"/>
      <c r="O53" s="66"/>
      <c r="P53" s="66"/>
      <c r="Q53" s="68"/>
      <c r="R53" s="29"/>
      <c r="S53" s="29"/>
      <c r="T53" s="32"/>
      <c r="U53" s="43"/>
      <c r="V53" s="42"/>
      <c r="W53" s="22"/>
      <c r="X53" s="22"/>
      <c r="Y53" s="310"/>
      <c r="Z53" s="310"/>
      <c r="AA53" s="300"/>
      <c r="AB53" s="310"/>
    </row>
    <row r="54" spans="1:28" hidden="1" x14ac:dyDescent="0.25">
      <c r="A54" s="240"/>
      <c r="B54" s="244"/>
      <c r="C54" s="247"/>
      <c r="D54" s="242"/>
      <c r="E54" s="242"/>
      <c r="F54" s="242"/>
      <c r="G54" s="241"/>
      <c r="H54" s="241"/>
      <c r="I54" s="242"/>
      <c r="J54" s="64"/>
      <c r="K54" s="56" t="s">
        <v>202</v>
      </c>
      <c r="L54" s="66">
        <v>314472000</v>
      </c>
      <c r="M54" s="30">
        <v>0</v>
      </c>
      <c r="N54" s="126">
        <f t="shared" si="7"/>
        <v>314472000</v>
      </c>
      <c r="O54" s="66"/>
      <c r="P54" s="66"/>
      <c r="Q54" s="76">
        <v>27483733</v>
      </c>
      <c r="R54" s="84">
        <v>51502466</v>
      </c>
      <c r="S54" s="84">
        <f>Q54+R54</f>
        <v>78986199</v>
      </c>
      <c r="T54" s="54">
        <f>S54/N54*100</f>
        <v>25.117084827902008</v>
      </c>
      <c r="U54" s="43">
        <f t="shared" si="8"/>
        <v>235485801</v>
      </c>
      <c r="V54" s="42"/>
      <c r="W54" s="22"/>
      <c r="X54" s="22">
        <f t="shared" si="0"/>
        <v>8.7396439110636237</v>
      </c>
      <c r="Y54" s="310"/>
      <c r="Z54" s="310"/>
      <c r="AA54" s="300"/>
      <c r="AB54" s="310"/>
    </row>
    <row r="55" spans="1:28" hidden="1" x14ac:dyDescent="0.25">
      <c r="A55" s="240"/>
      <c r="B55" s="244"/>
      <c r="C55" s="247"/>
      <c r="D55" s="242"/>
      <c r="E55" s="242"/>
      <c r="F55" s="242"/>
      <c r="G55" s="241"/>
      <c r="H55" s="241"/>
      <c r="I55" s="242"/>
      <c r="J55" s="64"/>
      <c r="K55" s="56"/>
      <c r="L55" s="66"/>
      <c r="M55" s="30"/>
      <c r="N55" s="67"/>
      <c r="O55" s="66"/>
      <c r="P55" s="66"/>
      <c r="Q55" s="68"/>
      <c r="R55" s="29"/>
      <c r="S55" s="29"/>
      <c r="T55" s="32"/>
      <c r="U55" s="43"/>
      <c r="V55" s="42"/>
      <c r="W55" s="22"/>
      <c r="X55" s="22"/>
      <c r="Y55" s="310"/>
      <c r="Z55" s="310"/>
      <c r="AA55" s="300"/>
      <c r="AB55" s="310"/>
    </row>
    <row r="56" spans="1:28" hidden="1" x14ac:dyDescent="0.25">
      <c r="A56" s="240"/>
      <c r="B56" s="244"/>
      <c r="C56" s="247"/>
      <c r="D56" s="242"/>
      <c r="E56" s="242"/>
      <c r="F56" s="242"/>
      <c r="G56" s="241"/>
      <c r="H56" s="241"/>
      <c r="I56" s="242"/>
      <c r="J56" s="64"/>
      <c r="K56" s="56" t="s">
        <v>203</v>
      </c>
      <c r="L56" s="66">
        <v>357430000</v>
      </c>
      <c r="M56" s="30">
        <v>0</v>
      </c>
      <c r="N56" s="126">
        <f t="shared" si="7"/>
        <v>357430000</v>
      </c>
      <c r="O56" s="66"/>
      <c r="P56" s="66"/>
      <c r="Q56" s="76">
        <v>30269468</v>
      </c>
      <c r="R56" s="84">
        <v>56578946</v>
      </c>
      <c r="S56" s="84">
        <f>Q56+R56</f>
        <v>86848414</v>
      </c>
      <c r="T56" s="54">
        <f>S56/N56*100</f>
        <v>24.298020311669418</v>
      </c>
      <c r="U56" s="43">
        <f t="shared" si="8"/>
        <v>270581586</v>
      </c>
      <c r="V56" s="42"/>
      <c r="W56" s="22"/>
      <c r="X56" s="22">
        <f t="shared" si="0"/>
        <v>8.4686422516296886</v>
      </c>
      <c r="Y56" s="310"/>
      <c r="Z56" s="310"/>
      <c r="AA56" s="300"/>
      <c r="AB56" s="310"/>
    </row>
    <row r="57" spans="1:28" hidden="1" x14ac:dyDescent="0.25">
      <c r="A57" s="240"/>
      <c r="B57" s="244"/>
      <c r="C57" s="247"/>
      <c r="D57" s="242"/>
      <c r="E57" s="242"/>
      <c r="F57" s="242"/>
      <c r="G57" s="241"/>
      <c r="H57" s="241"/>
      <c r="I57" s="242"/>
      <c r="J57" s="64"/>
      <c r="K57" s="56"/>
      <c r="L57" s="66"/>
      <c r="M57" s="30"/>
      <c r="N57" s="67"/>
      <c r="O57" s="66"/>
      <c r="P57" s="66"/>
      <c r="Q57" s="68"/>
      <c r="R57" s="29"/>
      <c r="S57" s="29"/>
      <c r="T57" s="32"/>
      <c r="U57" s="43"/>
      <c r="V57" s="42"/>
      <c r="W57" s="22"/>
      <c r="X57" s="22"/>
      <c r="Y57" s="310"/>
      <c r="Z57" s="310"/>
      <c r="AA57" s="300"/>
      <c r="AB57" s="310"/>
    </row>
    <row r="58" spans="1:28" hidden="1" x14ac:dyDescent="0.25">
      <c r="A58" s="240"/>
      <c r="B58" s="244"/>
      <c r="C58" s="247"/>
      <c r="D58" s="242"/>
      <c r="E58" s="242"/>
      <c r="F58" s="242"/>
      <c r="G58" s="241"/>
      <c r="H58" s="241"/>
      <c r="I58" s="242"/>
      <c r="J58" s="64"/>
      <c r="K58" s="56" t="s">
        <v>204</v>
      </c>
      <c r="L58" s="66">
        <v>10800000</v>
      </c>
      <c r="M58" s="30">
        <v>0</v>
      </c>
      <c r="N58" s="126">
        <f t="shared" si="7"/>
        <v>10800000</v>
      </c>
      <c r="O58" s="66"/>
      <c r="P58" s="66"/>
      <c r="Q58" s="68">
        <v>900000</v>
      </c>
      <c r="R58" s="84">
        <v>1800000</v>
      </c>
      <c r="S58" s="84">
        <f>Q58+R58</f>
        <v>2700000</v>
      </c>
      <c r="T58" s="54">
        <f>S58/N58*100</f>
        <v>25</v>
      </c>
      <c r="U58" s="43">
        <f t="shared" si="8"/>
        <v>8100000</v>
      </c>
      <c r="V58" s="42"/>
      <c r="W58" s="22"/>
      <c r="X58" s="22">
        <f t="shared" si="0"/>
        <v>8.3333333333333321</v>
      </c>
      <c r="Y58" s="310"/>
      <c r="Z58" s="310"/>
      <c r="AA58" s="300"/>
      <c r="AB58" s="310"/>
    </row>
    <row r="59" spans="1:28" hidden="1" x14ac:dyDescent="0.25">
      <c r="A59" s="240"/>
      <c r="B59" s="244"/>
      <c r="C59" s="247"/>
      <c r="D59" s="242"/>
      <c r="E59" s="242"/>
      <c r="F59" s="242"/>
      <c r="G59" s="241"/>
      <c r="H59" s="241"/>
      <c r="I59" s="242"/>
      <c r="J59" s="64"/>
      <c r="K59" s="28"/>
      <c r="L59" s="66"/>
      <c r="M59" s="30"/>
      <c r="N59" s="67"/>
      <c r="O59" s="66"/>
      <c r="P59" s="66"/>
      <c r="Q59" s="68"/>
      <c r="R59" s="29"/>
      <c r="S59" s="29"/>
      <c r="T59" s="32"/>
      <c r="U59" s="43"/>
      <c r="V59" s="42"/>
      <c r="W59" s="22"/>
      <c r="X59" s="22"/>
      <c r="Y59" s="310"/>
      <c r="Z59" s="310"/>
      <c r="AA59" s="300"/>
      <c r="AB59" s="310"/>
    </row>
    <row r="60" spans="1:28" hidden="1" x14ac:dyDescent="0.25">
      <c r="A60" s="240"/>
      <c r="B60" s="244"/>
      <c r="C60" s="247"/>
      <c r="D60" s="242"/>
      <c r="E60" s="242"/>
      <c r="F60" s="242"/>
      <c r="G60" s="241"/>
      <c r="H60" s="241"/>
      <c r="I60" s="242"/>
      <c r="J60" s="64"/>
      <c r="K60" s="56" t="s">
        <v>205</v>
      </c>
      <c r="L60" s="30">
        <v>41620000</v>
      </c>
      <c r="M60" s="30">
        <v>0</v>
      </c>
      <c r="N60" s="126">
        <f t="shared" si="7"/>
        <v>41620000</v>
      </c>
      <c r="O60" s="66"/>
      <c r="P60" s="66"/>
      <c r="Q60" s="226">
        <v>3346648</v>
      </c>
      <c r="R60" s="84">
        <v>6462190</v>
      </c>
      <c r="S60" s="84">
        <f>Q60+R60</f>
        <v>9808838</v>
      </c>
      <c r="T60" s="54">
        <f>S60/N60*100</f>
        <v>23.567606919750119</v>
      </c>
      <c r="U60" s="117">
        <f t="shared" si="8"/>
        <v>31811162</v>
      </c>
      <c r="V60" s="42">
        <f t="shared" si="1"/>
        <v>15905581</v>
      </c>
      <c r="W60" s="22">
        <f t="shared" ref="W60" si="9">Q60/N60*100</f>
        <v>8.0409610764055746</v>
      </c>
      <c r="X60" s="22">
        <f t="shared" si="0"/>
        <v>8.0409610764055746</v>
      </c>
      <c r="Y60" s="310"/>
      <c r="Z60" s="310"/>
      <c r="AA60" s="300">
        <f t="shared" si="3"/>
        <v>8.0409610764055746</v>
      </c>
      <c r="AB60" s="310"/>
    </row>
    <row r="61" spans="1:28" hidden="1" x14ac:dyDescent="0.25">
      <c r="A61" s="240"/>
      <c r="B61" s="244"/>
      <c r="C61" s="247"/>
      <c r="D61" s="242"/>
      <c r="E61" s="242"/>
      <c r="F61" s="242"/>
      <c r="G61" s="241"/>
      <c r="H61" s="241"/>
      <c r="I61" s="242"/>
      <c r="J61" s="64"/>
      <c r="K61" s="28"/>
      <c r="L61" s="66"/>
      <c r="M61" s="66"/>
      <c r="N61" s="67"/>
      <c r="O61" s="66"/>
      <c r="P61" s="66"/>
      <c r="Q61" s="68"/>
      <c r="R61" s="29"/>
      <c r="S61" s="29"/>
      <c r="T61" s="32"/>
      <c r="U61" s="43"/>
      <c r="V61" s="42">
        <f t="shared" si="1"/>
        <v>0</v>
      </c>
      <c r="W61" s="22"/>
      <c r="X61" s="22"/>
      <c r="Y61" s="310"/>
      <c r="Z61" s="310"/>
      <c r="AA61" s="300" t="e">
        <f t="shared" si="3"/>
        <v>#DIV/0!</v>
      </c>
      <c r="AB61" s="310"/>
    </row>
    <row r="62" spans="1:28" ht="17.25" x14ac:dyDescent="0.3">
      <c r="A62" s="240"/>
      <c r="B62" s="505" t="s">
        <v>248</v>
      </c>
      <c r="C62" s="506"/>
      <c r="D62" s="506"/>
      <c r="E62" s="506"/>
      <c r="F62" s="507"/>
      <c r="G62" s="248"/>
      <c r="H62" s="248"/>
      <c r="I62" s="250"/>
      <c r="J62" s="122"/>
      <c r="K62" s="198" t="s">
        <v>206</v>
      </c>
      <c r="L62" s="52">
        <f>L64+L66+L68+L70+L72</f>
        <v>108870000</v>
      </c>
      <c r="M62" s="52">
        <f>M70+M72</f>
        <v>0</v>
      </c>
      <c r="N62" s="52">
        <f t="shared" si="7"/>
        <v>108870000</v>
      </c>
      <c r="O62" s="116"/>
      <c r="P62" s="116"/>
      <c r="Q62" s="84">
        <v>5165000</v>
      </c>
      <c r="R62" s="84">
        <v>20934630</v>
      </c>
      <c r="S62" s="84">
        <f>Q62+R62</f>
        <v>26099630</v>
      </c>
      <c r="T62" s="54">
        <f>S62/N62*100</f>
        <v>23.973206576651052</v>
      </c>
      <c r="U62" s="52">
        <f t="shared" si="8"/>
        <v>82770370</v>
      </c>
      <c r="V62" s="42">
        <f t="shared" si="1"/>
        <v>41385185</v>
      </c>
      <c r="W62" s="22">
        <f>S62/L62*100</f>
        <v>23.973206576651052</v>
      </c>
      <c r="X62" s="22">
        <f t="shared" si="0"/>
        <v>4.7441903187287586</v>
      </c>
      <c r="Y62" s="310">
        <v>20.67</v>
      </c>
      <c r="Z62" s="311">
        <f>W62-Y62</f>
        <v>3.3032065766510499</v>
      </c>
      <c r="AA62" s="302">
        <f t="shared" si="3"/>
        <v>4.7441903187287586</v>
      </c>
      <c r="AB62" s="310"/>
    </row>
    <row r="63" spans="1:28" x14ac:dyDescent="0.25">
      <c r="A63" s="240"/>
      <c r="B63" s="244"/>
      <c r="C63" s="247"/>
      <c r="D63" s="242"/>
      <c r="E63" s="242"/>
      <c r="F63" s="242"/>
      <c r="G63" s="241"/>
      <c r="H63" s="241"/>
      <c r="I63" s="242"/>
      <c r="J63" s="64"/>
      <c r="K63" s="28"/>
      <c r="L63" s="66"/>
      <c r="M63" s="66"/>
      <c r="N63" s="67"/>
      <c r="O63" s="66"/>
      <c r="P63" s="66"/>
      <c r="Q63" s="68"/>
      <c r="R63" s="29"/>
      <c r="S63" s="29"/>
      <c r="T63" s="32"/>
      <c r="U63" s="43"/>
      <c r="V63" s="42">
        <f t="shared" si="1"/>
        <v>0</v>
      </c>
      <c r="W63" s="22"/>
      <c r="X63" s="22"/>
      <c r="Y63" s="310"/>
      <c r="Z63" s="310"/>
      <c r="AA63" s="300" t="e">
        <f t="shared" si="3"/>
        <v>#DIV/0!</v>
      </c>
      <c r="AB63" s="310"/>
    </row>
    <row r="64" spans="1:28" hidden="1" x14ac:dyDescent="0.25">
      <c r="A64" s="240"/>
      <c r="B64" s="244"/>
      <c r="C64" s="247"/>
      <c r="D64" s="242"/>
      <c r="E64" s="242"/>
      <c r="F64" s="242"/>
      <c r="G64" s="241"/>
      <c r="H64" s="241"/>
      <c r="I64" s="242"/>
      <c r="J64" s="64"/>
      <c r="K64" s="28" t="s">
        <v>207</v>
      </c>
      <c r="L64" s="66">
        <v>60090000</v>
      </c>
      <c r="M64" s="66">
        <v>0</v>
      </c>
      <c r="N64" s="126">
        <f t="shared" si="7"/>
        <v>60090000</v>
      </c>
      <c r="O64" s="66"/>
      <c r="P64" s="66"/>
      <c r="Q64" s="68">
        <v>5000000</v>
      </c>
      <c r="R64" s="84">
        <v>10000000</v>
      </c>
      <c r="S64" s="84">
        <f>Q64+R64</f>
        <v>15000000</v>
      </c>
      <c r="T64" s="54">
        <f>S64/N64*100</f>
        <v>24.962556165751373</v>
      </c>
      <c r="U64" s="43">
        <f t="shared" si="8"/>
        <v>45090000</v>
      </c>
      <c r="V64" s="42"/>
      <c r="W64" s="22"/>
      <c r="X64" s="22">
        <f t="shared" si="0"/>
        <v>8.320852055250457</v>
      </c>
      <c r="Y64" s="310"/>
      <c r="Z64" s="310"/>
      <c r="AA64" s="300"/>
      <c r="AB64" s="310"/>
    </row>
    <row r="65" spans="1:28" ht="0.75" customHeight="1" x14ac:dyDescent="0.25">
      <c r="A65" s="240"/>
      <c r="B65" s="244"/>
      <c r="C65" s="247"/>
      <c r="D65" s="242"/>
      <c r="E65" s="242"/>
      <c r="F65" s="242"/>
      <c r="G65" s="241"/>
      <c r="H65" s="241"/>
      <c r="I65" s="242"/>
      <c r="J65" s="64"/>
      <c r="K65" s="28"/>
      <c r="L65" s="66"/>
      <c r="M65" s="66"/>
      <c r="N65" s="67"/>
      <c r="O65" s="66"/>
      <c r="P65" s="66"/>
      <c r="Q65" s="68"/>
      <c r="R65" s="29"/>
      <c r="S65" s="29"/>
      <c r="T65" s="32"/>
      <c r="U65" s="43"/>
      <c r="V65" s="42"/>
      <c r="W65" s="22"/>
      <c r="X65" s="22"/>
      <c r="Y65" s="310"/>
      <c r="Z65" s="310"/>
      <c r="AA65" s="300"/>
      <c r="AB65" s="310"/>
    </row>
    <row r="66" spans="1:28" hidden="1" x14ac:dyDescent="0.25">
      <c r="A66" s="240"/>
      <c r="B66" s="244"/>
      <c r="C66" s="247"/>
      <c r="D66" s="242"/>
      <c r="E66" s="242"/>
      <c r="F66" s="242"/>
      <c r="G66" s="241"/>
      <c r="H66" s="241"/>
      <c r="I66" s="242"/>
      <c r="J66" s="64"/>
      <c r="K66" s="28" t="s">
        <v>208</v>
      </c>
      <c r="L66" s="66">
        <v>25700000</v>
      </c>
      <c r="M66" s="66">
        <v>0</v>
      </c>
      <c r="N66" s="126">
        <f t="shared" si="7"/>
        <v>25700000</v>
      </c>
      <c r="O66" s="66"/>
      <c r="P66" s="66"/>
      <c r="Q66" s="76">
        <v>0</v>
      </c>
      <c r="R66" s="84">
        <v>6665744</v>
      </c>
      <c r="S66" s="84">
        <f>Q66+R66</f>
        <v>6665744</v>
      </c>
      <c r="T66" s="54">
        <f>S66/N66*100</f>
        <v>25.936747081712063</v>
      </c>
      <c r="U66" s="43">
        <f t="shared" si="8"/>
        <v>19034256</v>
      </c>
      <c r="V66" s="42"/>
      <c r="W66" s="22">
        <f>S66/L66*100</f>
        <v>25.936747081712063</v>
      </c>
      <c r="X66" s="22">
        <f t="shared" si="0"/>
        <v>0</v>
      </c>
      <c r="Y66" s="310"/>
      <c r="Z66" s="310"/>
      <c r="AA66" s="300"/>
      <c r="AB66" s="310"/>
    </row>
    <row r="67" spans="1:28" hidden="1" x14ac:dyDescent="0.25">
      <c r="A67" s="240"/>
      <c r="B67" s="244"/>
      <c r="C67" s="247"/>
      <c r="D67" s="242"/>
      <c r="E67" s="242"/>
      <c r="F67" s="242"/>
      <c r="G67" s="241"/>
      <c r="H67" s="241"/>
      <c r="I67" s="242"/>
      <c r="J67" s="64"/>
      <c r="K67" s="28"/>
      <c r="L67" s="66"/>
      <c r="M67" s="66"/>
      <c r="N67" s="67"/>
      <c r="O67" s="66"/>
      <c r="P67" s="66"/>
      <c r="Q67" s="68"/>
      <c r="R67" s="29"/>
      <c r="S67" s="29"/>
      <c r="T67" s="32"/>
      <c r="U67" s="43"/>
      <c r="V67" s="42"/>
      <c r="W67" s="22"/>
      <c r="X67" s="22"/>
      <c r="Y67" s="310"/>
      <c r="Z67" s="310"/>
      <c r="AA67" s="300"/>
      <c r="AB67" s="310"/>
    </row>
    <row r="68" spans="1:28" hidden="1" x14ac:dyDescent="0.25">
      <c r="A68" s="240"/>
      <c r="B68" s="244"/>
      <c r="C68" s="247"/>
      <c r="D68" s="242"/>
      <c r="E68" s="242"/>
      <c r="F68" s="242"/>
      <c r="G68" s="241"/>
      <c r="H68" s="241"/>
      <c r="I68" s="242"/>
      <c r="J68" s="64"/>
      <c r="K68" s="28" t="s">
        <v>209</v>
      </c>
      <c r="L68" s="66">
        <v>11180000</v>
      </c>
      <c r="M68" s="66">
        <v>0</v>
      </c>
      <c r="N68" s="126">
        <f t="shared" si="7"/>
        <v>11180000</v>
      </c>
      <c r="O68" s="66"/>
      <c r="P68" s="66"/>
      <c r="Q68" s="227">
        <v>0</v>
      </c>
      <c r="R68" s="84">
        <v>4268886</v>
      </c>
      <c r="S68" s="84">
        <f>Q68+R68</f>
        <v>4268886</v>
      </c>
      <c r="T68" s="54">
        <f>S68/N68*100</f>
        <v>38.183237924865828</v>
      </c>
      <c r="U68" s="43">
        <f t="shared" si="8"/>
        <v>6911114</v>
      </c>
      <c r="V68" s="42"/>
      <c r="W68" s="22">
        <f>S68/L68*100</f>
        <v>38.183237924865828</v>
      </c>
      <c r="X68" s="22">
        <f t="shared" si="0"/>
        <v>0</v>
      </c>
      <c r="Y68" s="310"/>
      <c r="Z68" s="310"/>
      <c r="AA68" s="300"/>
      <c r="AB68" s="310"/>
    </row>
    <row r="69" spans="1:28" hidden="1" x14ac:dyDescent="0.25">
      <c r="A69" s="240"/>
      <c r="B69" s="244"/>
      <c r="C69" s="247"/>
      <c r="D69" s="242"/>
      <c r="E69" s="242"/>
      <c r="F69" s="242"/>
      <c r="G69" s="241"/>
      <c r="H69" s="241"/>
      <c r="I69" s="242"/>
      <c r="J69" s="64"/>
      <c r="K69" s="28"/>
      <c r="L69" s="66"/>
      <c r="M69" s="66"/>
      <c r="N69" s="67"/>
      <c r="O69" s="66"/>
      <c r="P69" s="66"/>
      <c r="Q69" s="68"/>
      <c r="R69" s="29"/>
      <c r="S69" s="29"/>
      <c r="T69" s="32"/>
      <c r="U69" s="43"/>
      <c r="V69" s="42"/>
      <c r="W69" s="22"/>
      <c r="X69" s="22"/>
      <c r="Y69" s="310"/>
      <c r="Z69" s="310"/>
      <c r="AA69" s="300"/>
      <c r="AB69" s="310"/>
    </row>
    <row r="70" spans="1:28" hidden="1" x14ac:dyDescent="0.25">
      <c r="A70" s="240"/>
      <c r="B70" s="244"/>
      <c r="C70" s="247"/>
      <c r="D70" s="242"/>
      <c r="E70" s="242"/>
      <c r="F70" s="242"/>
      <c r="G70" s="241"/>
      <c r="H70" s="241"/>
      <c r="I70" s="242"/>
      <c r="J70" s="64"/>
      <c r="K70" s="56" t="s">
        <v>210</v>
      </c>
      <c r="L70" s="30">
        <v>11500000</v>
      </c>
      <c r="M70" s="30">
        <v>0</v>
      </c>
      <c r="N70" s="126">
        <f t="shared" si="7"/>
        <v>11500000</v>
      </c>
      <c r="O70" s="66"/>
      <c r="P70" s="66"/>
      <c r="Q70" s="76">
        <v>0</v>
      </c>
      <c r="R70" s="84">
        <v>0</v>
      </c>
      <c r="S70" s="84">
        <f>Q70+R70</f>
        <v>0</v>
      </c>
      <c r="T70" s="20">
        <f>S70/N70*100</f>
        <v>0</v>
      </c>
      <c r="U70" s="117">
        <f t="shared" si="8"/>
        <v>11500000</v>
      </c>
      <c r="V70" s="42">
        <f t="shared" si="1"/>
        <v>5750000</v>
      </c>
      <c r="W70" s="22">
        <f>S70/L70*100</f>
        <v>0</v>
      </c>
      <c r="X70" s="22">
        <f t="shared" si="0"/>
        <v>0</v>
      </c>
      <c r="Y70" s="310"/>
      <c r="Z70" s="310"/>
      <c r="AA70" s="300">
        <f t="shared" si="3"/>
        <v>0</v>
      </c>
      <c r="AB70" s="310"/>
    </row>
    <row r="71" spans="1:28" hidden="1" x14ac:dyDescent="0.25">
      <c r="A71" s="240"/>
      <c r="B71" s="244"/>
      <c r="C71" s="247"/>
      <c r="D71" s="242"/>
      <c r="E71" s="242"/>
      <c r="F71" s="242"/>
      <c r="G71" s="241"/>
      <c r="H71" s="241"/>
      <c r="I71" s="242"/>
      <c r="J71" s="64"/>
      <c r="K71" s="56"/>
      <c r="L71" s="30" t="s">
        <v>212</v>
      </c>
      <c r="M71" s="30"/>
      <c r="N71" s="67"/>
      <c r="O71" s="66"/>
      <c r="P71" s="66"/>
      <c r="Q71" s="29"/>
      <c r="R71" s="29"/>
      <c r="S71" s="29"/>
      <c r="T71" s="32"/>
      <c r="U71" s="43"/>
      <c r="V71" s="42">
        <f t="shared" si="1"/>
        <v>0</v>
      </c>
      <c r="W71" s="22"/>
      <c r="X71" s="22"/>
      <c r="Y71" s="310"/>
      <c r="Z71" s="310"/>
      <c r="AA71" s="300" t="e">
        <f t="shared" si="3"/>
        <v>#DIV/0!</v>
      </c>
      <c r="AB71" s="310"/>
    </row>
    <row r="72" spans="1:28" hidden="1" x14ac:dyDescent="0.25">
      <c r="A72" s="240"/>
      <c r="B72" s="244"/>
      <c r="C72" s="247"/>
      <c r="D72" s="242"/>
      <c r="E72" s="242"/>
      <c r="F72" s="242"/>
      <c r="G72" s="241"/>
      <c r="H72" s="241"/>
      <c r="I72" s="242"/>
      <c r="J72" s="64"/>
      <c r="K72" s="56" t="s">
        <v>211</v>
      </c>
      <c r="L72" s="30">
        <v>400000</v>
      </c>
      <c r="M72" s="30">
        <v>0</v>
      </c>
      <c r="N72" s="126">
        <f t="shared" si="7"/>
        <v>400000</v>
      </c>
      <c r="O72" s="66"/>
      <c r="P72" s="66"/>
      <c r="Q72" s="29">
        <v>165000</v>
      </c>
      <c r="R72" s="84">
        <v>0</v>
      </c>
      <c r="S72" s="84">
        <f>Q72+R72</f>
        <v>165000</v>
      </c>
      <c r="T72" s="20">
        <f>S72/N72*100</f>
        <v>41.25</v>
      </c>
      <c r="U72" s="43">
        <f t="shared" si="8"/>
        <v>235000</v>
      </c>
      <c r="V72" s="42">
        <f t="shared" si="1"/>
        <v>117500</v>
      </c>
      <c r="W72" s="22">
        <f>S72/L72*100</f>
        <v>41.25</v>
      </c>
      <c r="X72" s="22">
        <f t="shared" si="0"/>
        <v>41.25</v>
      </c>
      <c r="Y72" s="310"/>
      <c r="Z72" s="310"/>
      <c r="AA72" s="300">
        <f t="shared" si="3"/>
        <v>41.25</v>
      </c>
      <c r="AB72" s="310"/>
    </row>
    <row r="73" spans="1:28" hidden="1" x14ac:dyDescent="0.25">
      <c r="A73" s="240"/>
      <c r="B73" s="244"/>
      <c r="C73" s="247"/>
      <c r="D73" s="242"/>
      <c r="E73" s="242"/>
      <c r="F73" s="242"/>
      <c r="G73" s="241"/>
      <c r="H73" s="241"/>
      <c r="I73" s="242"/>
      <c r="J73" s="64"/>
      <c r="K73" s="28"/>
      <c r="L73" s="66"/>
      <c r="M73" s="66"/>
      <c r="N73" s="67"/>
      <c r="O73" s="66"/>
      <c r="P73" s="66"/>
      <c r="Q73" s="68"/>
      <c r="R73" s="29"/>
      <c r="S73" s="29"/>
      <c r="T73" s="32"/>
      <c r="U73" s="43"/>
      <c r="V73" s="42">
        <f t="shared" si="1"/>
        <v>0</v>
      </c>
      <c r="W73" s="22"/>
      <c r="X73" s="22"/>
      <c r="Y73" s="310"/>
      <c r="Z73" s="310"/>
      <c r="AA73" s="300" t="e">
        <f t="shared" si="3"/>
        <v>#DIV/0!</v>
      </c>
      <c r="AB73" s="310"/>
    </row>
    <row r="74" spans="1:28" ht="17.25" x14ac:dyDescent="0.3">
      <c r="A74" s="240"/>
      <c r="B74" s="505" t="s">
        <v>249</v>
      </c>
      <c r="C74" s="506"/>
      <c r="D74" s="506"/>
      <c r="E74" s="506"/>
      <c r="F74" s="507"/>
      <c r="G74" s="248"/>
      <c r="H74" s="248"/>
      <c r="I74" s="250"/>
      <c r="J74" s="122"/>
      <c r="K74" s="197" t="s">
        <v>213</v>
      </c>
      <c r="L74" s="52">
        <v>1000000</v>
      </c>
      <c r="M74" s="52">
        <v>0</v>
      </c>
      <c r="N74" s="52">
        <f t="shared" si="7"/>
        <v>1000000</v>
      </c>
      <c r="O74" s="116"/>
      <c r="P74" s="116"/>
      <c r="Q74" s="84">
        <v>0</v>
      </c>
      <c r="R74" s="84">
        <v>500000</v>
      </c>
      <c r="S74" s="84">
        <f>Q74+R74</f>
        <v>500000</v>
      </c>
      <c r="T74" s="54">
        <f>S74/N74*100</f>
        <v>50</v>
      </c>
      <c r="U74" s="52">
        <f t="shared" si="8"/>
        <v>500000</v>
      </c>
      <c r="V74" s="42">
        <f t="shared" si="1"/>
        <v>250000</v>
      </c>
      <c r="W74" s="22">
        <f>S74/L74*100</f>
        <v>50</v>
      </c>
      <c r="X74" s="22">
        <f t="shared" si="0"/>
        <v>0</v>
      </c>
      <c r="Y74" s="310">
        <v>25</v>
      </c>
      <c r="Z74" s="311">
        <f>W74-Y74</f>
        <v>25</v>
      </c>
      <c r="AA74" s="302">
        <f t="shared" si="3"/>
        <v>0</v>
      </c>
      <c r="AB74" s="310"/>
    </row>
    <row r="75" spans="1:28" x14ac:dyDescent="0.25">
      <c r="A75" s="240"/>
      <c r="B75" s="244"/>
      <c r="C75" s="247"/>
      <c r="D75" s="242"/>
      <c r="E75" s="242"/>
      <c r="F75" s="242"/>
      <c r="G75" s="241"/>
      <c r="H75" s="241"/>
      <c r="I75" s="242"/>
      <c r="J75" s="64"/>
      <c r="K75" s="28"/>
      <c r="L75" s="66"/>
      <c r="M75" s="66"/>
      <c r="N75" s="67"/>
      <c r="O75" s="66"/>
      <c r="P75" s="66"/>
      <c r="Q75" s="68"/>
      <c r="R75" s="29"/>
      <c r="S75" s="29"/>
      <c r="T75" s="32"/>
      <c r="U75" s="43"/>
      <c r="V75" s="42">
        <f t="shared" si="1"/>
        <v>0</v>
      </c>
      <c r="W75" s="22"/>
      <c r="X75" s="22"/>
      <c r="Y75" s="310"/>
      <c r="Z75" s="310"/>
      <c r="AA75" s="300" t="e">
        <f t="shared" si="3"/>
        <v>#DIV/0!</v>
      </c>
      <c r="AB75" s="310"/>
    </row>
    <row r="76" spans="1:28" x14ac:dyDescent="0.25">
      <c r="A76" s="240"/>
      <c r="B76" s="505" t="s">
        <v>250</v>
      </c>
      <c r="C76" s="506"/>
      <c r="D76" s="506"/>
      <c r="E76" s="506"/>
      <c r="F76" s="507"/>
      <c r="G76" s="248"/>
      <c r="H76" s="248"/>
      <c r="I76" s="250"/>
      <c r="J76" s="122"/>
      <c r="K76" s="115" t="s">
        <v>214</v>
      </c>
      <c r="L76" s="52">
        <f>L78+L80</f>
        <v>60000000</v>
      </c>
      <c r="M76" s="52">
        <f>M78+M80</f>
        <v>0</v>
      </c>
      <c r="N76" s="52">
        <f t="shared" si="7"/>
        <v>60000000</v>
      </c>
      <c r="O76" s="116"/>
      <c r="P76" s="116"/>
      <c r="Q76" s="84">
        <v>0</v>
      </c>
      <c r="R76" s="84">
        <v>1810000</v>
      </c>
      <c r="S76" s="84">
        <f>Q76+R76</f>
        <v>1810000</v>
      </c>
      <c r="T76" s="54">
        <f>S76/N76*100</f>
        <v>3.0166666666666666</v>
      </c>
      <c r="U76" s="52">
        <f t="shared" si="8"/>
        <v>58190000</v>
      </c>
      <c r="V76" s="42">
        <f t="shared" si="1"/>
        <v>29095000</v>
      </c>
      <c r="W76" s="22">
        <f>S76/L76*100</f>
        <v>3.0166666666666666</v>
      </c>
      <c r="X76" s="22">
        <f t="shared" ref="X76:X130" si="10">Q76/N76*100</f>
        <v>0</v>
      </c>
      <c r="Y76" s="310">
        <v>4.01</v>
      </c>
      <c r="Z76" s="311">
        <f>W76-Y76</f>
        <v>-0.99333333333333318</v>
      </c>
      <c r="AA76" s="302">
        <f t="shared" si="3"/>
        <v>0</v>
      </c>
      <c r="AB76" s="310"/>
    </row>
    <row r="77" spans="1:28" x14ac:dyDescent="0.25">
      <c r="A77" s="240"/>
      <c r="B77" s="244"/>
      <c r="C77" s="247"/>
      <c r="D77" s="242"/>
      <c r="E77" s="242"/>
      <c r="F77" s="242"/>
      <c r="G77" s="241"/>
      <c r="H77" s="241"/>
      <c r="I77" s="242"/>
      <c r="J77" s="64"/>
      <c r="K77" s="28"/>
      <c r="L77" s="66"/>
      <c r="M77" s="66"/>
      <c r="N77" s="67"/>
      <c r="O77" s="66"/>
      <c r="P77" s="66"/>
      <c r="Q77" s="68"/>
      <c r="R77" s="29"/>
      <c r="S77" s="29"/>
      <c r="T77" s="32"/>
      <c r="U77" s="43"/>
      <c r="V77" s="42">
        <f t="shared" ref="V77:V130" si="11">U77/2</f>
        <v>0</v>
      </c>
      <c r="W77" s="22"/>
      <c r="X77" s="22"/>
      <c r="Y77" s="310"/>
      <c r="Z77" s="310"/>
      <c r="AA77" s="300" t="e">
        <f t="shared" si="3"/>
        <v>#DIV/0!</v>
      </c>
      <c r="AB77" s="310"/>
    </row>
    <row r="78" spans="1:28" hidden="1" x14ac:dyDescent="0.25">
      <c r="A78" s="240"/>
      <c r="B78" s="244"/>
      <c r="C78" s="247"/>
      <c r="D78" s="242"/>
      <c r="E78" s="242"/>
      <c r="F78" s="242"/>
      <c r="G78" s="241"/>
      <c r="H78" s="241"/>
      <c r="I78" s="242"/>
      <c r="J78" s="64"/>
      <c r="K78" s="56" t="s">
        <v>128</v>
      </c>
      <c r="L78" s="30">
        <v>28000000</v>
      </c>
      <c r="M78" s="30">
        <v>0</v>
      </c>
      <c r="N78" s="126">
        <f t="shared" si="7"/>
        <v>28000000</v>
      </c>
      <c r="O78" s="66"/>
      <c r="P78" s="66"/>
      <c r="Q78" s="76">
        <v>0</v>
      </c>
      <c r="R78" s="29">
        <v>1810000</v>
      </c>
      <c r="S78" s="29">
        <f>Q78+R78</f>
        <v>1810000</v>
      </c>
      <c r="T78" s="20">
        <f>S78/N78*100</f>
        <v>6.4642857142857144</v>
      </c>
      <c r="U78" s="43">
        <f t="shared" si="8"/>
        <v>26190000</v>
      </c>
      <c r="V78" s="42">
        <f t="shared" si="11"/>
        <v>13095000</v>
      </c>
      <c r="W78" s="22">
        <f>S78/L78*100</f>
        <v>6.4642857142857144</v>
      </c>
      <c r="X78" s="22">
        <f t="shared" si="10"/>
        <v>0</v>
      </c>
      <c r="Y78" s="310"/>
      <c r="Z78" s="310"/>
      <c r="AA78" s="300">
        <f t="shared" si="3"/>
        <v>0</v>
      </c>
      <c r="AB78" s="310"/>
    </row>
    <row r="79" spans="1:28" hidden="1" x14ac:dyDescent="0.25">
      <c r="A79" s="240"/>
      <c r="B79" s="244"/>
      <c r="C79" s="247"/>
      <c r="D79" s="242"/>
      <c r="E79" s="242"/>
      <c r="F79" s="242"/>
      <c r="G79" s="241"/>
      <c r="H79" s="241"/>
      <c r="I79" s="242"/>
      <c r="J79" s="64"/>
      <c r="K79" s="56"/>
      <c r="L79" s="30"/>
      <c r="M79" s="30"/>
      <c r="N79" s="67"/>
      <c r="O79" s="66"/>
      <c r="P79" s="66"/>
      <c r="Q79" s="29"/>
      <c r="R79" s="29"/>
      <c r="S79" s="29"/>
      <c r="T79" s="32"/>
      <c r="U79" s="43"/>
      <c r="V79" s="42">
        <f t="shared" si="11"/>
        <v>0</v>
      </c>
      <c r="W79" s="22"/>
      <c r="X79" s="22"/>
      <c r="Y79" s="310"/>
      <c r="Z79" s="310"/>
      <c r="AA79" s="300" t="e">
        <f t="shared" ref="AA79:AA129" si="12">Q79/N79*100</f>
        <v>#DIV/0!</v>
      </c>
      <c r="AB79" s="310"/>
    </row>
    <row r="80" spans="1:28" hidden="1" x14ac:dyDescent="0.25">
      <c r="A80" s="240"/>
      <c r="B80" s="244"/>
      <c r="C80" s="247"/>
      <c r="D80" s="242"/>
      <c r="E80" s="242"/>
      <c r="F80" s="242"/>
      <c r="G80" s="241"/>
      <c r="H80" s="241"/>
      <c r="I80" s="242"/>
      <c r="J80" s="64"/>
      <c r="K80" s="56" t="s">
        <v>129</v>
      </c>
      <c r="L80" s="30">
        <v>32000000</v>
      </c>
      <c r="M80" s="30">
        <v>0</v>
      </c>
      <c r="N80" s="126">
        <f t="shared" si="7"/>
        <v>32000000</v>
      </c>
      <c r="O80" s="66"/>
      <c r="P80" s="66"/>
      <c r="Q80" s="29">
        <v>0</v>
      </c>
      <c r="R80" s="29">
        <v>0</v>
      </c>
      <c r="S80" s="29">
        <f>Q80+R80</f>
        <v>0</v>
      </c>
      <c r="T80" s="20">
        <f>S80/N80*100</f>
        <v>0</v>
      </c>
      <c r="U80" s="43">
        <f t="shared" si="8"/>
        <v>32000000</v>
      </c>
      <c r="V80" s="42">
        <f t="shared" si="11"/>
        <v>16000000</v>
      </c>
      <c r="W80" s="22">
        <f>S80/L80*100</f>
        <v>0</v>
      </c>
      <c r="X80" s="22">
        <f t="shared" si="10"/>
        <v>0</v>
      </c>
      <c r="Y80" s="310"/>
      <c r="Z80" s="310"/>
      <c r="AA80" s="300">
        <f t="shared" si="12"/>
        <v>0</v>
      </c>
      <c r="AB80" s="310"/>
    </row>
    <row r="81" spans="1:28" hidden="1" x14ac:dyDescent="0.25">
      <c r="A81" s="240"/>
      <c r="B81" s="244"/>
      <c r="C81" s="247"/>
      <c r="D81" s="242"/>
      <c r="E81" s="242"/>
      <c r="F81" s="242"/>
      <c r="G81" s="241"/>
      <c r="H81" s="241"/>
      <c r="I81" s="242"/>
      <c r="J81" s="64"/>
      <c r="K81" s="28"/>
      <c r="L81" s="66"/>
      <c r="M81" s="66"/>
      <c r="N81" s="67"/>
      <c r="O81" s="66"/>
      <c r="P81" s="66"/>
      <c r="Q81" s="68"/>
      <c r="R81" s="29"/>
      <c r="S81" s="29"/>
      <c r="T81" s="32"/>
      <c r="U81" s="43"/>
      <c r="V81" s="42">
        <f t="shared" si="11"/>
        <v>0</v>
      </c>
      <c r="W81" s="22"/>
      <c r="X81" s="22"/>
      <c r="Y81" s="310"/>
      <c r="Z81" s="310"/>
      <c r="AA81" s="300" t="e">
        <f t="shared" si="12"/>
        <v>#DIV/0!</v>
      </c>
      <c r="AB81" s="310"/>
    </row>
    <row r="82" spans="1:28" x14ac:dyDescent="0.25">
      <c r="A82" s="240"/>
      <c r="B82" s="505" t="s">
        <v>251</v>
      </c>
      <c r="C82" s="506"/>
      <c r="D82" s="506"/>
      <c r="E82" s="506"/>
      <c r="F82" s="507"/>
      <c r="G82" s="248"/>
      <c r="H82" s="248"/>
      <c r="I82" s="250"/>
      <c r="J82" s="122"/>
      <c r="K82" s="115" t="s">
        <v>215</v>
      </c>
      <c r="L82" s="52">
        <v>10000000</v>
      </c>
      <c r="M82" s="52">
        <v>0</v>
      </c>
      <c r="N82" s="52">
        <f t="shared" si="7"/>
        <v>10000000</v>
      </c>
      <c r="O82" s="116"/>
      <c r="P82" s="116"/>
      <c r="Q82" s="84">
        <v>990000</v>
      </c>
      <c r="R82" s="84">
        <v>200000</v>
      </c>
      <c r="S82" s="84">
        <f>Q82+R82</f>
        <v>1190000</v>
      </c>
      <c r="T82" s="54">
        <f>S82/N82*100</f>
        <v>11.899999999999999</v>
      </c>
      <c r="U82" s="52">
        <f t="shared" si="8"/>
        <v>8810000</v>
      </c>
      <c r="V82" s="42">
        <f t="shared" si="11"/>
        <v>4405000</v>
      </c>
      <c r="W82" s="22">
        <f>S82/L82*100</f>
        <v>11.899999999999999</v>
      </c>
      <c r="X82" s="22">
        <f t="shared" si="10"/>
        <v>9.9</v>
      </c>
      <c r="Y82" s="310">
        <v>15</v>
      </c>
      <c r="Z82" s="311">
        <f>W82-Y82</f>
        <v>-3.1000000000000014</v>
      </c>
      <c r="AA82" s="302">
        <f t="shared" si="12"/>
        <v>9.9</v>
      </c>
      <c r="AB82" s="310"/>
    </row>
    <row r="83" spans="1:28" x14ac:dyDescent="0.25">
      <c r="A83" s="240"/>
      <c r="B83" s="244"/>
      <c r="C83" s="247"/>
      <c r="D83" s="242"/>
      <c r="E83" s="242"/>
      <c r="F83" s="242"/>
      <c r="G83" s="241"/>
      <c r="H83" s="241"/>
      <c r="I83" s="242"/>
      <c r="J83" s="64"/>
      <c r="K83" s="28"/>
      <c r="L83" s="66"/>
      <c r="M83" s="66"/>
      <c r="N83" s="67"/>
      <c r="O83" s="66"/>
      <c r="P83" s="66"/>
      <c r="Q83" s="68"/>
      <c r="R83" s="29"/>
      <c r="S83" s="29"/>
      <c r="T83" s="32"/>
      <c r="U83" s="43"/>
      <c r="V83" s="42">
        <f t="shared" si="11"/>
        <v>0</v>
      </c>
      <c r="W83" s="22"/>
      <c r="X83" s="22"/>
      <c r="Y83" s="310"/>
      <c r="Z83" s="310"/>
      <c r="AA83" s="300" t="e">
        <f t="shared" si="12"/>
        <v>#DIV/0!</v>
      </c>
      <c r="AB83" s="508" t="s">
        <v>272</v>
      </c>
    </row>
    <row r="84" spans="1:28" ht="15.75" customHeight="1" x14ac:dyDescent="0.25">
      <c r="A84" s="240"/>
      <c r="B84" s="505" t="s">
        <v>252</v>
      </c>
      <c r="C84" s="506"/>
      <c r="D84" s="506"/>
      <c r="E84" s="506"/>
      <c r="F84" s="507"/>
      <c r="G84" s="241"/>
      <c r="H84" s="241"/>
      <c r="I84" s="242"/>
      <c r="J84" s="204"/>
      <c r="K84" s="199" t="s">
        <v>216</v>
      </c>
      <c r="L84" s="205">
        <f>L86+L88</f>
        <v>48000000</v>
      </c>
      <c r="M84" s="205">
        <v>0</v>
      </c>
      <c r="N84" s="205">
        <f>L84-M84</f>
        <v>48000000</v>
      </c>
      <c r="O84" s="205"/>
      <c r="P84" s="205"/>
      <c r="Q84" s="206">
        <f>Q86+Q88</f>
        <v>0</v>
      </c>
      <c r="R84" s="84">
        <v>0</v>
      </c>
      <c r="S84" s="84">
        <f>Q84+R84</f>
        <v>0</v>
      </c>
      <c r="T84" s="54">
        <f>S84/N84*100</f>
        <v>0</v>
      </c>
      <c r="U84" s="52">
        <f t="shared" si="8"/>
        <v>48000000</v>
      </c>
      <c r="V84" s="42"/>
      <c r="W84" s="22">
        <f>S84/L84*100</f>
        <v>0</v>
      </c>
      <c r="X84" s="22">
        <f t="shared" si="10"/>
        <v>0</v>
      </c>
      <c r="Y84" s="310">
        <v>10.42</v>
      </c>
      <c r="Z84" s="311">
        <f>W84-Y84</f>
        <v>-10.42</v>
      </c>
      <c r="AA84" s="302">
        <f t="shared" si="12"/>
        <v>0</v>
      </c>
      <c r="AB84" s="509"/>
    </row>
    <row r="85" spans="1:28" ht="15" customHeight="1" x14ac:dyDescent="0.25">
      <c r="A85" s="240"/>
      <c r="B85" s="244"/>
      <c r="C85" s="247"/>
      <c r="D85" s="242"/>
      <c r="E85" s="242"/>
      <c r="F85" s="242"/>
      <c r="G85" s="241"/>
      <c r="H85" s="241"/>
      <c r="I85" s="242"/>
      <c r="J85" s="64"/>
      <c r="K85" s="28"/>
      <c r="L85" s="66"/>
      <c r="M85" s="66"/>
      <c r="N85" s="67"/>
      <c r="O85" s="66"/>
      <c r="P85" s="66"/>
      <c r="Q85" s="68"/>
      <c r="R85" s="29"/>
      <c r="S85" s="29"/>
      <c r="T85" s="32"/>
      <c r="U85" s="43"/>
      <c r="V85" s="42"/>
      <c r="W85" s="22"/>
      <c r="X85" s="22"/>
      <c r="Y85" s="310"/>
      <c r="Z85" s="310"/>
      <c r="AA85" s="300" t="e">
        <f t="shared" si="12"/>
        <v>#DIV/0!</v>
      </c>
      <c r="AB85" s="510"/>
    </row>
    <row r="86" spans="1:28" hidden="1" x14ac:dyDescent="0.25">
      <c r="A86" s="240"/>
      <c r="B86" s="244"/>
      <c r="C86" s="247"/>
      <c r="D86" s="242"/>
      <c r="E86" s="242"/>
      <c r="F86" s="242"/>
      <c r="G86" s="241"/>
      <c r="H86" s="241"/>
      <c r="I86" s="242"/>
      <c r="J86" s="64"/>
      <c r="K86" s="28" t="s">
        <v>217</v>
      </c>
      <c r="L86" s="66">
        <v>43000000</v>
      </c>
      <c r="M86" s="66">
        <v>0</v>
      </c>
      <c r="N86" s="126">
        <f t="shared" ref="N86" si="13">L86-M86</f>
        <v>43000000</v>
      </c>
      <c r="O86" s="66"/>
      <c r="P86" s="66"/>
      <c r="Q86" s="68"/>
      <c r="R86" s="29"/>
      <c r="S86" s="29"/>
      <c r="T86" s="32"/>
      <c r="U86" s="52">
        <f t="shared" si="8"/>
        <v>43000000</v>
      </c>
      <c r="V86" s="42"/>
      <c r="W86" s="22">
        <f>S86/L86*100</f>
        <v>0</v>
      </c>
      <c r="X86" s="22">
        <f t="shared" si="10"/>
        <v>0</v>
      </c>
      <c r="Y86" s="310"/>
      <c r="Z86" s="310"/>
      <c r="AA86" s="302">
        <f t="shared" si="12"/>
        <v>0</v>
      </c>
      <c r="AB86" s="310"/>
    </row>
    <row r="87" spans="1:28" hidden="1" x14ac:dyDescent="0.25">
      <c r="A87" s="240"/>
      <c r="B87" s="244"/>
      <c r="C87" s="247"/>
      <c r="D87" s="242"/>
      <c r="E87" s="242"/>
      <c r="F87" s="242"/>
      <c r="G87" s="241"/>
      <c r="H87" s="241"/>
      <c r="I87" s="242"/>
      <c r="J87" s="64"/>
      <c r="K87" s="28"/>
      <c r="L87" s="66"/>
      <c r="M87" s="66"/>
      <c r="N87" s="67"/>
      <c r="O87" s="66"/>
      <c r="P87" s="66"/>
      <c r="Q87" s="68"/>
      <c r="R87" s="29"/>
      <c r="S87" s="29"/>
      <c r="T87" s="32"/>
      <c r="U87" s="43"/>
      <c r="V87" s="42"/>
      <c r="W87" s="22"/>
      <c r="X87" s="22"/>
      <c r="Y87" s="310"/>
      <c r="Z87" s="310"/>
      <c r="AA87" s="300" t="e">
        <f t="shared" si="12"/>
        <v>#DIV/0!</v>
      </c>
      <c r="AB87" s="310"/>
    </row>
    <row r="88" spans="1:28" hidden="1" x14ac:dyDescent="0.25">
      <c r="A88" s="240"/>
      <c r="B88" s="244"/>
      <c r="C88" s="247"/>
      <c r="D88" s="242"/>
      <c r="E88" s="242"/>
      <c r="F88" s="242"/>
      <c r="G88" s="241"/>
      <c r="H88" s="241"/>
      <c r="I88" s="242"/>
      <c r="J88" s="64"/>
      <c r="K88" s="28" t="s">
        <v>218</v>
      </c>
      <c r="L88" s="66">
        <v>5000000</v>
      </c>
      <c r="M88" s="66">
        <v>0</v>
      </c>
      <c r="N88" s="126">
        <f t="shared" ref="N88" si="14">L88-M88</f>
        <v>5000000</v>
      </c>
      <c r="O88" s="66"/>
      <c r="P88" s="66"/>
      <c r="Q88" s="68"/>
      <c r="R88" s="29"/>
      <c r="S88" s="29"/>
      <c r="T88" s="32"/>
      <c r="U88" s="52">
        <f t="shared" si="8"/>
        <v>5000000</v>
      </c>
      <c r="V88" s="42"/>
      <c r="W88" s="22">
        <f>S88/L88*100</f>
        <v>0</v>
      </c>
      <c r="X88" s="22">
        <f t="shared" si="10"/>
        <v>0</v>
      </c>
      <c r="Y88" s="310"/>
      <c r="Z88" s="310"/>
      <c r="AA88" s="302">
        <f t="shared" si="12"/>
        <v>0</v>
      </c>
      <c r="AB88" s="310"/>
    </row>
    <row r="89" spans="1:28" hidden="1" x14ac:dyDescent="0.25">
      <c r="A89" s="240"/>
      <c r="B89" s="244"/>
      <c r="C89" s="247"/>
      <c r="D89" s="242"/>
      <c r="E89" s="242"/>
      <c r="F89" s="242"/>
      <c r="G89" s="241"/>
      <c r="H89" s="241"/>
      <c r="I89" s="242"/>
      <c r="J89" s="64"/>
      <c r="K89" s="28"/>
      <c r="L89" s="66"/>
      <c r="M89" s="66"/>
      <c r="N89" s="126"/>
      <c r="O89" s="66"/>
      <c r="P89" s="66"/>
      <c r="Q89" s="68"/>
      <c r="R89" s="29"/>
      <c r="S89" s="29"/>
      <c r="T89" s="32"/>
      <c r="U89" s="43"/>
      <c r="V89" s="42"/>
      <c r="W89" s="22"/>
      <c r="X89" s="22"/>
      <c r="Y89" s="310"/>
      <c r="Z89" s="310"/>
      <c r="AA89" s="300" t="e">
        <f t="shared" si="12"/>
        <v>#DIV/0!</v>
      </c>
      <c r="AB89" s="310"/>
    </row>
    <row r="90" spans="1:28" x14ac:dyDescent="0.25">
      <c r="A90" s="240"/>
      <c r="B90" s="505" t="s">
        <v>253</v>
      </c>
      <c r="C90" s="506"/>
      <c r="D90" s="506"/>
      <c r="E90" s="506"/>
      <c r="F90" s="507"/>
      <c r="G90" s="241"/>
      <c r="H90" s="241"/>
      <c r="I90" s="242"/>
      <c r="J90" s="204"/>
      <c r="K90" s="199" t="s">
        <v>219</v>
      </c>
      <c r="L90" s="205">
        <v>12500000</v>
      </c>
      <c r="M90" s="205">
        <v>0</v>
      </c>
      <c r="N90" s="205">
        <f>L90-M90</f>
        <v>12500000</v>
      </c>
      <c r="O90" s="205"/>
      <c r="P90" s="205"/>
      <c r="Q90" s="206">
        <v>1130000</v>
      </c>
      <c r="R90" s="84">
        <v>1520000</v>
      </c>
      <c r="S90" s="84">
        <f>Q90+R90</f>
        <v>2650000</v>
      </c>
      <c r="T90" s="54">
        <f>S90/N90*100</f>
        <v>21.2</v>
      </c>
      <c r="U90" s="52">
        <f t="shared" ref="U90" si="15">N90-S90</f>
        <v>9850000</v>
      </c>
      <c r="V90" s="42"/>
      <c r="W90" s="22">
        <f>S90/L90*100</f>
        <v>21.2</v>
      </c>
      <c r="X90" s="22">
        <f t="shared" si="10"/>
        <v>9.0399999999999991</v>
      </c>
      <c r="Y90" s="310">
        <v>4</v>
      </c>
      <c r="Z90" s="311">
        <f>W90-Y90</f>
        <v>17.2</v>
      </c>
      <c r="AA90" s="302">
        <f t="shared" si="12"/>
        <v>9.0399999999999991</v>
      </c>
      <c r="AB90" s="310"/>
    </row>
    <row r="91" spans="1:28" x14ac:dyDescent="0.25">
      <c r="A91" s="240"/>
      <c r="B91" s="244"/>
      <c r="C91" s="247"/>
      <c r="D91" s="242"/>
      <c r="E91" s="242"/>
      <c r="F91" s="242"/>
      <c r="G91" s="241"/>
      <c r="H91" s="241"/>
      <c r="I91" s="242"/>
      <c r="J91" s="64"/>
      <c r="K91" s="28"/>
      <c r="L91" s="66"/>
      <c r="M91" s="66"/>
      <c r="N91" s="126"/>
      <c r="O91" s="66"/>
      <c r="P91" s="66"/>
      <c r="Q91" s="68"/>
      <c r="R91" s="29"/>
      <c r="S91" s="29"/>
      <c r="T91" s="32"/>
      <c r="U91" s="43"/>
      <c r="V91" s="42"/>
      <c r="W91" s="22"/>
      <c r="X91" s="22"/>
      <c r="Y91" s="310"/>
      <c r="Z91" s="310"/>
      <c r="AA91" s="300" t="e">
        <f t="shared" si="12"/>
        <v>#DIV/0!</v>
      </c>
      <c r="AB91" s="310"/>
    </row>
    <row r="92" spans="1:28" x14ac:dyDescent="0.25">
      <c r="A92" s="240"/>
      <c r="B92" s="505" t="s">
        <v>254</v>
      </c>
      <c r="C92" s="506"/>
      <c r="D92" s="506"/>
      <c r="E92" s="506"/>
      <c r="F92" s="507"/>
      <c r="G92" s="241"/>
      <c r="H92" s="241"/>
      <c r="I92" s="242"/>
      <c r="J92" s="204"/>
      <c r="K92" s="199" t="s">
        <v>220</v>
      </c>
      <c r="L92" s="205">
        <v>15000000</v>
      </c>
      <c r="M92" s="205">
        <v>0</v>
      </c>
      <c r="N92" s="205">
        <f>L92-M92</f>
        <v>15000000</v>
      </c>
      <c r="O92" s="205"/>
      <c r="P92" s="205"/>
      <c r="Q92" s="206">
        <v>15000000</v>
      </c>
      <c r="R92" s="84">
        <v>0</v>
      </c>
      <c r="S92" s="84">
        <f>Q92+R92</f>
        <v>15000000</v>
      </c>
      <c r="T92" s="54">
        <f>S92/N92*100</f>
        <v>100</v>
      </c>
      <c r="U92" s="52">
        <f t="shared" ref="U92" si="16">N92-S92</f>
        <v>0</v>
      </c>
      <c r="V92" s="42"/>
      <c r="W92" s="22">
        <f>S92/L92*100</f>
        <v>100</v>
      </c>
      <c r="X92" s="22">
        <f t="shared" si="10"/>
        <v>100</v>
      </c>
      <c r="Y92" s="310">
        <v>0</v>
      </c>
      <c r="Z92" s="311">
        <f>W92-Y92</f>
        <v>100</v>
      </c>
      <c r="AA92" s="302">
        <f t="shared" si="12"/>
        <v>100</v>
      </c>
      <c r="AB92" s="310"/>
    </row>
    <row r="93" spans="1:28" ht="14.25" customHeight="1" x14ac:dyDescent="0.25">
      <c r="A93" s="240"/>
      <c r="B93" s="244"/>
      <c r="C93" s="247"/>
      <c r="D93" s="242"/>
      <c r="E93" s="242"/>
      <c r="F93" s="242"/>
      <c r="G93" s="241"/>
      <c r="H93" s="241"/>
      <c r="I93" s="242"/>
      <c r="J93" s="64"/>
      <c r="K93" s="28"/>
      <c r="L93" s="66"/>
      <c r="M93" s="66"/>
      <c r="N93" s="67"/>
      <c r="O93" s="66"/>
      <c r="P93" s="66"/>
      <c r="Q93" s="68"/>
      <c r="R93" s="29"/>
      <c r="S93" s="29"/>
      <c r="T93" s="32"/>
      <c r="U93" s="43"/>
      <c r="V93" s="42"/>
      <c r="W93" s="22"/>
      <c r="X93" s="22"/>
      <c r="Y93" s="310"/>
      <c r="Z93" s="310"/>
      <c r="AA93" s="300" t="e">
        <f t="shared" si="12"/>
        <v>#DIV/0!</v>
      </c>
      <c r="AB93" s="310"/>
    </row>
    <row r="94" spans="1:28" hidden="1" x14ac:dyDescent="0.25">
      <c r="A94" s="240"/>
      <c r="B94" s="233">
        <v>4</v>
      </c>
      <c r="C94" s="247"/>
      <c r="D94" s="242"/>
      <c r="E94" s="242"/>
      <c r="F94" s="242"/>
      <c r="G94" s="241"/>
      <c r="H94" s="241"/>
      <c r="I94" s="242"/>
      <c r="J94" s="134"/>
      <c r="K94" s="34" t="s">
        <v>135</v>
      </c>
      <c r="L94" s="41">
        <f>L97+L109</f>
        <v>847895000</v>
      </c>
      <c r="M94" s="41">
        <f>M97+M109</f>
        <v>0</v>
      </c>
      <c r="N94" s="41">
        <f>L94-M94</f>
        <v>847895000</v>
      </c>
      <c r="O94" s="135"/>
      <c r="P94" s="135"/>
      <c r="Q94" s="41">
        <v>39240000</v>
      </c>
      <c r="R94" s="41">
        <v>39980000</v>
      </c>
      <c r="S94" s="41">
        <f>Q94+R94</f>
        <v>79220000</v>
      </c>
      <c r="T94" s="136">
        <f>S94/N94*100</f>
        <v>9.3431380064748595</v>
      </c>
      <c r="U94" s="42">
        <f t="shared" ref="U94:U120" si="17">N94-S94</f>
        <v>768675000</v>
      </c>
      <c r="V94" s="42">
        <f t="shared" si="11"/>
        <v>384337500</v>
      </c>
      <c r="W94" s="22">
        <f>S94/L94*100</f>
        <v>9.3431380064748595</v>
      </c>
      <c r="X94" s="22">
        <f t="shared" si="10"/>
        <v>4.6279315245401849</v>
      </c>
      <c r="Y94" s="310"/>
      <c r="Z94" s="310"/>
      <c r="AA94" s="300">
        <f t="shared" si="12"/>
        <v>4.6279315245401849</v>
      </c>
      <c r="AB94" s="310"/>
    </row>
    <row r="95" spans="1:28" hidden="1" x14ac:dyDescent="0.25">
      <c r="A95" s="240"/>
      <c r="B95" s="244"/>
      <c r="C95" s="247"/>
      <c r="D95" s="242"/>
      <c r="E95" s="242"/>
      <c r="F95" s="242"/>
      <c r="G95" s="241"/>
      <c r="H95" s="241"/>
      <c r="I95" s="242"/>
      <c r="J95" s="64"/>
      <c r="K95" s="28"/>
      <c r="L95" s="66"/>
      <c r="M95" s="66"/>
      <c r="N95" s="67"/>
      <c r="O95" s="66"/>
      <c r="P95" s="66"/>
      <c r="Q95" s="68"/>
      <c r="R95" s="29"/>
      <c r="S95" s="29"/>
      <c r="T95" s="32"/>
      <c r="U95" s="43"/>
      <c r="V95" s="42">
        <f t="shared" si="11"/>
        <v>0</v>
      </c>
      <c r="W95" s="22"/>
      <c r="X95" s="22"/>
      <c r="Y95" s="310"/>
      <c r="Z95" s="310"/>
      <c r="AA95" s="300" t="e">
        <f t="shared" si="12"/>
        <v>#DIV/0!</v>
      </c>
      <c r="AB95" s="310"/>
    </row>
    <row r="96" spans="1:28" hidden="1" x14ac:dyDescent="0.25">
      <c r="A96" s="240"/>
      <c r="B96" s="244"/>
      <c r="C96" s="247"/>
      <c r="D96" s="242"/>
      <c r="E96" s="242"/>
      <c r="F96" s="242"/>
      <c r="G96" s="241"/>
      <c r="H96" s="241"/>
      <c r="I96" s="242"/>
      <c r="J96" s="64"/>
      <c r="K96" s="28"/>
      <c r="L96" s="66"/>
      <c r="M96" s="66"/>
      <c r="N96" s="67"/>
      <c r="O96" s="66"/>
      <c r="P96" s="66"/>
      <c r="Q96" s="68"/>
      <c r="R96" s="29"/>
      <c r="S96" s="29"/>
      <c r="T96" s="32"/>
      <c r="U96" s="43"/>
      <c r="V96" s="42">
        <f t="shared" si="11"/>
        <v>0</v>
      </c>
      <c r="W96" s="22"/>
      <c r="X96" s="22"/>
      <c r="Y96" s="310"/>
      <c r="Z96" s="310"/>
      <c r="AA96" s="300" t="e">
        <f t="shared" si="12"/>
        <v>#DIV/0!</v>
      </c>
      <c r="AB96" s="310"/>
    </row>
    <row r="97" spans="1:28" hidden="1" x14ac:dyDescent="0.25">
      <c r="A97" s="240"/>
      <c r="B97" s="233" t="s">
        <v>255</v>
      </c>
      <c r="C97" s="252"/>
      <c r="D97" s="251"/>
      <c r="E97" s="250"/>
      <c r="F97" s="250"/>
      <c r="G97" s="248"/>
      <c r="H97" s="248"/>
      <c r="I97" s="250"/>
      <c r="J97" s="122"/>
      <c r="K97" s="115" t="s">
        <v>256</v>
      </c>
      <c r="L97" s="52">
        <f>L99+L101+L103+L105+L107</f>
        <v>189650000</v>
      </c>
      <c r="M97" s="52">
        <f>M99+M101+M103+M105</f>
        <v>0</v>
      </c>
      <c r="N97" s="52">
        <f t="shared" ref="N97:N128" si="18">L97-M97</f>
        <v>189650000</v>
      </c>
      <c r="O97" s="116"/>
      <c r="P97" s="116"/>
      <c r="Q97" s="84">
        <v>3300000</v>
      </c>
      <c r="R97" s="84">
        <v>3750000</v>
      </c>
      <c r="S97" s="84">
        <f>Q97+R97</f>
        <v>7050000</v>
      </c>
      <c r="T97" s="54">
        <f>S97/N97*100</f>
        <v>3.7173741102030053</v>
      </c>
      <c r="U97" s="52">
        <f t="shared" si="17"/>
        <v>182600000</v>
      </c>
      <c r="V97" s="42">
        <f t="shared" si="11"/>
        <v>91300000</v>
      </c>
      <c r="W97" s="22">
        <f>S97/L97*100</f>
        <v>3.7173741102030053</v>
      </c>
      <c r="X97" s="22">
        <f t="shared" si="10"/>
        <v>1.7400474558397045</v>
      </c>
      <c r="Y97" s="310">
        <v>6.8</v>
      </c>
      <c r="Z97" s="310"/>
      <c r="AA97" s="302">
        <f t="shared" si="12"/>
        <v>1.7400474558397045</v>
      </c>
      <c r="AB97" s="310"/>
    </row>
    <row r="98" spans="1:28" hidden="1" x14ac:dyDescent="0.25">
      <c r="A98" s="240"/>
      <c r="B98" s="244"/>
      <c r="C98" s="247"/>
      <c r="D98" s="242"/>
      <c r="E98" s="242"/>
      <c r="F98" s="242"/>
      <c r="G98" s="241"/>
      <c r="H98" s="241"/>
      <c r="I98" s="242"/>
      <c r="J98" s="64"/>
      <c r="K98" s="28"/>
      <c r="L98" s="66"/>
      <c r="M98" s="66"/>
      <c r="N98" s="67">
        <f t="shared" si="18"/>
        <v>0</v>
      </c>
      <c r="O98" s="66"/>
      <c r="P98" s="66"/>
      <c r="Q98" s="68"/>
      <c r="R98" s="29"/>
      <c r="S98" s="29"/>
      <c r="T98" s="32"/>
      <c r="U98" s="43"/>
      <c r="V98" s="42">
        <f t="shared" si="11"/>
        <v>0</v>
      </c>
      <c r="W98" s="22"/>
      <c r="X98" s="22"/>
      <c r="Y98" s="310"/>
      <c r="Z98" s="310"/>
      <c r="AA98" s="300" t="e">
        <f t="shared" si="12"/>
        <v>#DIV/0!</v>
      </c>
      <c r="AB98" s="310"/>
    </row>
    <row r="99" spans="1:28" x14ac:dyDescent="0.25">
      <c r="A99" s="240"/>
      <c r="B99" s="244"/>
      <c r="C99" s="247"/>
      <c r="D99" s="242"/>
      <c r="E99" s="242"/>
      <c r="F99" s="242"/>
      <c r="G99" s="241"/>
      <c r="H99" s="241"/>
      <c r="I99" s="242"/>
      <c r="J99" s="64"/>
      <c r="K99" s="56" t="s">
        <v>264</v>
      </c>
      <c r="L99" s="30">
        <v>39000000</v>
      </c>
      <c r="M99" s="30">
        <v>0</v>
      </c>
      <c r="N99" s="126">
        <f t="shared" si="18"/>
        <v>39000000</v>
      </c>
      <c r="O99" s="66"/>
      <c r="P99" s="66"/>
      <c r="Q99" s="29">
        <v>0</v>
      </c>
      <c r="R99" s="29">
        <v>0</v>
      </c>
      <c r="S99" s="29">
        <f>Q99+R99</f>
        <v>0</v>
      </c>
      <c r="T99" s="20">
        <f>S99/N99*100</f>
        <v>0</v>
      </c>
      <c r="U99" s="43">
        <f t="shared" si="17"/>
        <v>39000000</v>
      </c>
      <c r="V99" s="42">
        <f t="shared" si="11"/>
        <v>19500000</v>
      </c>
      <c r="W99" s="22">
        <f>S99/L99*100</f>
        <v>0</v>
      </c>
      <c r="X99" s="22">
        <f t="shared" si="10"/>
        <v>0</v>
      </c>
      <c r="Y99" s="310">
        <v>0</v>
      </c>
      <c r="Z99" s="311">
        <f>W99-Y99</f>
        <v>0</v>
      </c>
      <c r="AA99" s="300">
        <f t="shared" si="12"/>
        <v>0</v>
      </c>
      <c r="AB99" s="310"/>
    </row>
    <row r="100" spans="1:28" x14ac:dyDescent="0.25">
      <c r="A100" s="240"/>
      <c r="B100" s="244"/>
      <c r="C100" s="247"/>
      <c r="D100" s="242"/>
      <c r="E100" s="242"/>
      <c r="F100" s="242"/>
      <c r="G100" s="241"/>
      <c r="H100" s="241"/>
      <c r="I100" s="242"/>
      <c r="J100" s="134"/>
      <c r="K100" s="288" t="s">
        <v>261</v>
      </c>
      <c r="L100" s="42">
        <f>L101+L103+L105+L107</f>
        <v>150650000</v>
      </c>
      <c r="M100" s="289"/>
      <c r="N100" s="289">
        <f>N101+N103+N105+N107</f>
        <v>150650000</v>
      </c>
      <c r="O100" s="290"/>
      <c r="P100" s="290"/>
      <c r="Q100" s="289">
        <f>Q101+Q103+Q105+Q107</f>
        <v>3750000</v>
      </c>
      <c r="R100" s="289">
        <v>3750000</v>
      </c>
      <c r="S100" s="42">
        <f>S101+S103+S105+S107</f>
        <v>7500000</v>
      </c>
      <c r="T100" s="291"/>
      <c r="U100" s="42">
        <f t="shared" si="17"/>
        <v>143150000</v>
      </c>
      <c r="V100" s="42">
        <f t="shared" si="11"/>
        <v>71575000</v>
      </c>
      <c r="W100" s="22">
        <f>S100/L100*100</f>
        <v>4.9784268171257882</v>
      </c>
      <c r="X100" s="273">
        <f t="shared" si="10"/>
        <v>2.4892134085628941</v>
      </c>
      <c r="Y100" s="312">
        <v>8.57</v>
      </c>
      <c r="Z100" s="311">
        <f>W100-Y100</f>
        <v>-3.5915731828742121</v>
      </c>
      <c r="AA100" s="303">
        <f t="shared" si="12"/>
        <v>2.4892134085628941</v>
      </c>
      <c r="AB100" s="310"/>
    </row>
    <row r="101" spans="1:28" ht="0.75" customHeight="1" x14ac:dyDescent="0.25">
      <c r="A101" s="240"/>
      <c r="B101" s="244"/>
      <c r="C101" s="247"/>
      <c r="D101" s="242"/>
      <c r="E101" s="242"/>
      <c r="F101" s="242"/>
      <c r="G101" s="241"/>
      <c r="H101" s="241"/>
      <c r="I101" s="242"/>
      <c r="J101" s="64"/>
      <c r="K101" s="56" t="s">
        <v>222</v>
      </c>
      <c r="L101" s="30">
        <v>100000000</v>
      </c>
      <c r="M101" s="30">
        <v>0</v>
      </c>
      <c r="N101" s="67">
        <f t="shared" si="18"/>
        <v>100000000</v>
      </c>
      <c r="O101" s="66"/>
      <c r="P101" s="66"/>
      <c r="Q101" s="29">
        <v>0</v>
      </c>
      <c r="R101" s="29">
        <v>0</v>
      </c>
      <c r="S101" s="29">
        <f t="shared" ref="S101:S105" si="19">Q101+R101</f>
        <v>0</v>
      </c>
      <c r="T101" s="32"/>
      <c r="U101" s="43">
        <f t="shared" si="17"/>
        <v>100000000</v>
      </c>
      <c r="V101" s="42">
        <f t="shared" si="11"/>
        <v>50000000</v>
      </c>
      <c r="W101" s="22">
        <f>S101/L101*100</f>
        <v>0</v>
      </c>
      <c r="X101" s="22">
        <f t="shared" si="10"/>
        <v>0</v>
      </c>
      <c r="Y101" s="310"/>
      <c r="Z101" s="310"/>
      <c r="AA101" s="300">
        <f t="shared" si="12"/>
        <v>0</v>
      </c>
      <c r="AB101" s="310"/>
    </row>
    <row r="102" spans="1:28" hidden="1" x14ac:dyDescent="0.25">
      <c r="A102" s="240"/>
      <c r="B102" s="244"/>
      <c r="C102" s="247"/>
      <c r="D102" s="242"/>
      <c r="E102" s="242"/>
      <c r="F102" s="242"/>
      <c r="G102" s="241"/>
      <c r="H102" s="241"/>
      <c r="I102" s="242"/>
      <c r="J102" s="64"/>
      <c r="K102" s="56"/>
      <c r="L102" s="30"/>
      <c r="M102" s="30"/>
      <c r="N102" s="67"/>
      <c r="O102" s="66"/>
      <c r="P102" s="66"/>
      <c r="Q102" s="29"/>
      <c r="R102" s="29"/>
      <c r="S102" s="29"/>
      <c r="T102" s="32"/>
      <c r="U102" s="43"/>
      <c r="V102" s="42">
        <f t="shared" si="11"/>
        <v>0</v>
      </c>
      <c r="W102" s="22"/>
      <c r="X102" s="22"/>
      <c r="Y102" s="310"/>
      <c r="Z102" s="310"/>
      <c r="AA102" s="300" t="e">
        <f t="shared" si="12"/>
        <v>#DIV/0!</v>
      </c>
      <c r="AB102" s="310"/>
    </row>
    <row r="103" spans="1:28" hidden="1" x14ac:dyDescent="0.25">
      <c r="A103" s="240"/>
      <c r="B103" s="244"/>
      <c r="C103" s="247"/>
      <c r="D103" s="242"/>
      <c r="E103" s="242"/>
      <c r="F103" s="242"/>
      <c r="G103" s="241"/>
      <c r="H103" s="241"/>
      <c r="I103" s="242"/>
      <c r="J103" s="64"/>
      <c r="K103" s="56" t="s">
        <v>224</v>
      </c>
      <c r="L103" s="30">
        <v>3600000</v>
      </c>
      <c r="M103" s="30">
        <v>0</v>
      </c>
      <c r="N103" s="67">
        <f t="shared" si="18"/>
        <v>3600000</v>
      </c>
      <c r="O103" s="66"/>
      <c r="P103" s="66"/>
      <c r="Q103" s="29">
        <v>0</v>
      </c>
      <c r="R103" s="29">
        <v>0</v>
      </c>
      <c r="S103" s="29">
        <f t="shared" si="19"/>
        <v>0</v>
      </c>
      <c r="T103" s="32"/>
      <c r="U103" s="43">
        <f t="shared" si="17"/>
        <v>3600000</v>
      </c>
      <c r="V103" s="42">
        <f t="shared" si="11"/>
        <v>1800000</v>
      </c>
      <c r="W103" s="22">
        <f>S103/L103*100</f>
        <v>0</v>
      </c>
      <c r="X103" s="22">
        <f t="shared" si="10"/>
        <v>0</v>
      </c>
      <c r="Y103" s="310"/>
      <c r="Z103" s="310"/>
      <c r="AA103" s="300">
        <f t="shared" si="12"/>
        <v>0</v>
      </c>
      <c r="AB103" s="310"/>
    </row>
    <row r="104" spans="1:28" hidden="1" x14ac:dyDescent="0.25">
      <c r="A104" s="240"/>
      <c r="B104" s="244"/>
      <c r="C104" s="247"/>
      <c r="D104" s="242"/>
      <c r="E104" s="242"/>
      <c r="F104" s="242"/>
      <c r="G104" s="241"/>
      <c r="H104" s="241"/>
      <c r="I104" s="242"/>
      <c r="J104" s="64"/>
      <c r="K104" s="56"/>
      <c r="L104" s="30"/>
      <c r="M104" s="30"/>
      <c r="N104" s="67"/>
      <c r="O104" s="66"/>
      <c r="P104" s="66"/>
      <c r="Q104" s="29"/>
      <c r="R104" s="29"/>
      <c r="S104" s="29"/>
      <c r="T104" s="32"/>
      <c r="U104" s="43"/>
      <c r="V104" s="42">
        <f t="shared" si="11"/>
        <v>0</v>
      </c>
      <c r="W104" s="22"/>
      <c r="X104" s="22"/>
      <c r="Y104" s="310"/>
      <c r="Z104" s="310"/>
      <c r="AA104" s="300" t="e">
        <f t="shared" si="12"/>
        <v>#DIV/0!</v>
      </c>
      <c r="AB104" s="310"/>
    </row>
    <row r="105" spans="1:28" hidden="1" x14ac:dyDescent="0.25">
      <c r="A105" s="240"/>
      <c r="B105" s="244"/>
      <c r="C105" s="247"/>
      <c r="D105" s="242"/>
      <c r="E105" s="242"/>
      <c r="F105" s="242"/>
      <c r="G105" s="241"/>
      <c r="H105" s="241"/>
      <c r="I105" s="242"/>
      <c r="J105" s="64"/>
      <c r="K105" s="56" t="s">
        <v>141</v>
      </c>
      <c r="L105" s="30">
        <v>43900000</v>
      </c>
      <c r="M105" s="30">
        <v>0</v>
      </c>
      <c r="N105" s="67">
        <f t="shared" si="18"/>
        <v>43900000</v>
      </c>
      <c r="O105" s="66"/>
      <c r="P105" s="66"/>
      <c r="Q105" s="29">
        <v>3750000</v>
      </c>
      <c r="R105" s="29">
        <v>3750000</v>
      </c>
      <c r="S105" s="29">
        <f t="shared" si="19"/>
        <v>7500000</v>
      </c>
      <c r="T105" s="20">
        <f>S105/N105*100</f>
        <v>17.084282460136674</v>
      </c>
      <c r="U105" s="43">
        <f t="shared" si="17"/>
        <v>36400000</v>
      </c>
      <c r="V105" s="42">
        <f t="shared" si="11"/>
        <v>18200000</v>
      </c>
      <c r="W105" s="22">
        <f>S105/L105*100</f>
        <v>17.084282460136674</v>
      </c>
      <c r="X105" s="22">
        <f t="shared" si="10"/>
        <v>8.5421412300683368</v>
      </c>
      <c r="Y105" s="310"/>
      <c r="Z105" s="310"/>
      <c r="AA105" s="300">
        <f t="shared" si="12"/>
        <v>8.5421412300683368</v>
      </c>
      <c r="AB105" s="310"/>
    </row>
    <row r="106" spans="1:28" hidden="1" x14ac:dyDescent="0.25">
      <c r="A106" s="240"/>
      <c r="B106" s="244"/>
      <c r="C106" s="247"/>
      <c r="D106" s="242"/>
      <c r="E106" s="242"/>
      <c r="F106" s="242"/>
      <c r="G106" s="241"/>
      <c r="H106" s="241"/>
      <c r="I106" s="242"/>
      <c r="J106" s="64"/>
      <c r="K106" s="56"/>
      <c r="L106" s="30"/>
      <c r="M106" s="30"/>
      <c r="N106" s="67"/>
      <c r="O106" s="66"/>
      <c r="P106" s="66"/>
      <c r="Q106" s="29"/>
      <c r="R106" s="29"/>
      <c r="S106" s="29"/>
      <c r="T106" s="20"/>
      <c r="U106" s="43"/>
      <c r="V106" s="42"/>
      <c r="W106" s="22"/>
      <c r="X106" s="22"/>
      <c r="Y106" s="310"/>
      <c r="Z106" s="310"/>
      <c r="AA106" s="300"/>
      <c r="AB106" s="310"/>
    </row>
    <row r="107" spans="1:28" hidden="1" x14ac:dyDescent="0.25">
      <c r="A107" s="240"/>
      <c r="B107" s="244"/>
      <c r="C107" s="247"/>
      <c r="D107" s="242"/>
      <c r="E107" s="242"/>
      <c r="F107" s="242"/>
      <c r="G107" s="241"/>
      <c r="H107" s="241"/>
      <c r="I107" s="242"/>
      <c r="J107" s="64"/>
      <c r="K107" s="56" t="s">
        <v>223</v>
      </c>
      <c r="L107" s="30">
        <v>3150000</v>
      </c>
      <c r="M107" s="30">
        <v>0</v>
      </c>
      <c r="N107" s="67">
        <f t="shared" si="18"/>
        <v>3150000</v>
      </c>
      <c r="O107" s="66"/>
      <c r="P107" s="66"/>
      <c r="Q107" s="29"/>
      <c r="R107" s="29"/>
      <c r="S107" s="29"/>
      <c r="T107" s="20"/>
      <c r="U107" s="43">
        <f t="shared" si="17"/>
        <v>3150000</v>
      </c>
      <c r="V107" s="42"/>
      <c r="W107" s="22">
        <f>S107/L107*100</f>
        <v>0</v>
      </c>
      <c r="X107" s="22">
        <f t="shared" si="10"/>
        <v>0</v>
      </c>
      <c r="Y107" s="310"/>
      <c r="Z107" s="310"/>
      <c r="AA107" s="300"/>
      <c r="AB107" s="310"/>
    </row>
    <row r="108" spans="1:28" x14ac:dyDescent="0.25">
      <c r="A108" s="240"/>
      <c r="B108" s="244"/>
      <c r="C108" s="247"/>
      <c r="D108" s="242"/>
      <c r="E108" s="242"/>
      <c r="F108" s="242"/>
      <c r="G108" s="241"/>
      <c r="H108" s="241"/>
      <c r="I108" s="242"/>
      <c r="J108" s="64"/>
      <c r="K108" s="28"/>
      <c r="L108" s="66"/>
      <c r="M108" s="66"/>
      <c r="N108" s="67"/>
      <c r="O108" s="66"/>
      <c r="P108" s="66"/>
      <c r="Q108" s="68"/>
      <c r="R108" s="29"/>
      <c r="S108" s="29"/>
      <c r="T108" s="32"/>
      <c r="U108" s="43"/>
      <c r="V108" s="42">
        <f t="shared" si="11"/>
        <v>0</v>
      </c>
      <c r="W108" s="22"/>
      <c r="X108" s="22"/>
      <c r="Y108" s="310"/>
      <c r="Z108" s="310"/>
      <c r="AA108" s="300" t="e">
        <f t="shared" si="12"/>
        <v>#DIV/0!</v>
      </c>
      <c r="AB108" s="310"/>
    </row>
    <row r="109" spans="1:28" ht="0.75" customHeight="1" x14ac:dyDescent="0.25">
      <c r="A109" s="232"/>
      <c r="B109" s="505" t="s">
        <v>257</v>
      </c>
      <c r="C109" s="506"/>
      <c r="D109" s="506"/>
      <c r="E109" s="506"/>
      <c r="F109" s="506"/>
      <c r="G109" s="507"/>
      <c r="H109" s="238"/>
      <c r="I109" s="239"/>
      <c r="J109" s="106"/>
      <c r="K109" s="137" t="s">
        <v>143</v>
      </c>
      <c r="L109" s="52">
        <f>L111+L113+L115+L120+L122</f>
        <v>658245000</v>
      </c>
      <c r="M109" s="52">
        <f>M111+M113+M115+M120+M122</f>
        <v>0</v>
      </c>
      <c r="N109" s="52">
        <f t="shared" ref="N109" si="20">L109-M109</f>
        <v>658245000</v>
      </c>
      <c r="O109" s="53"/>
      <c r="P109" s="53"/>
      <c r="Q109" s="52">
        <v>35940000</v>
      </c>
      <c r="R109" s="52">
        <v>36230000</v>
      </c>
      <c r="S109" s="52">
        <f t="shared" ref="S109:S122" si="21">Q109+R109</f>
        <v>72170000</v>
      </c>
      <c r="T109" s="54">
        <f>S109/N109*100</f>
        <v>10.964002764927953</v>
      </c>
      <c r="U109" s="52">
        <f t="shared" si="17"/>
        <v>586075000</v>
      </c>
      <c r="V109" s="42">
        <f t="shared" si="11"/>
        <v>293037500</v>
      </c>
      <c r="W109" s="22">
        <f>S109/L109*100</f>
        <v>10.964002764927953</v>
      </c>
      <c r="X109" s="22">
        <f t="shared" si="10"/>
        <v>5.459973110316068</v>
      </c>
      <c r="Y109" s="310"/>
      <c r="Z109" s="310"/>
      <c r="AA109" s="302">
        <f t="shared" si="12"/>
        <v>5.459973110316068</v>
      </c>
      <c r="AB109" s="310"/>
    </row>
    <row r="110" spans="1:28" hidden="1" x14ac:dyDescent="0.25">
      <c r="A110" s="232"/>
      <c r="B110" s="234"/>
      <c r="C110" s="234"/>
      <c r="D110" s="253"/>
      <c r="E110" s="254"/>
      <c r="F110" s="254"/>
      <c r="G110" s="254"/>
      <c r="H110" s="238"/>
      <c r="I110" s="239"/>
      <c r="J110" s="106"/>
      <c r="K110" s="137"/>
      <c r="L110" s="52"/>
      <c r="M110" s="52"/>
      <c r="N110" s="52"/>
      <c r="O110" s="53"/>
      <c r="P110" s="53"/>
      <c r="Q110" s="52"/>
      <c r="R110" s="52"/>
      <c r="S110" s="52"/>
      <c r="T110" s="54"/>
      <c r="U110" s="52"/>
      <c r="V110" s="42"/>
      <c r="W110" s="22"/>
      <c r="X110" s="22"/>
      <c r="Y110" s="310"/>
      <c r="Z110" s="310"/>
      <c r="AA110" s="302"/>
      <c r="AB110" s="310"/>
    </row>
    <row r="111" spans="1:28" hidden="1" x14ac:dyDescent="0.25">
      <c r="A111" s="255"/>
      <c r="B111" s="256"/>
      <c r="C111" s="256"/>
      <c r="D111" s="257"/>
      <c r="E111" s="258"/>
      <c r="F111" s="258"/>
      <c r="G111" s="258"/>
      <c r="H111" s="259"/>
      <c r="I111" s="260"/>
      <c r="J111" s="204"/>
      <c r="K111" s="220" t="s">
        <v>225</v>
      </c>
      <c r="L111" s="211">
        <v>11750000</v>
      </c>
      <c r="M111" s="211">
        <v>0</v>
      </c>
      <c r="N111" s="205">
        <f t="shared" si="18"/>
        <v>11750000</v>
      </c>
      <c r="O111" s="211"/>
      <c r="P111" s="211"/>
      <c r="Q111" s="211">
        <v>0</v>
      </c>
      <c r="R111" s="207">
        <v>100000</v>
      </c>
      <c r="S111" s="207">
        <f t="shared" si="21"/>
        <v>100000</v>
      </c>
      <c r="T111" s="221"/>
      <c r="U111" s="209">
        <f t="shared" si="17"/>
        <v>11650000</v>
      </c>
      <c r="V111" s="42">
        <f t="shared" si="11"/>
        <v>5825000</v>
      </c>
      <c r="W111" s="22">
        <f>S111/L111*100</f>
        <v>0.85106382978723405</v>
      </c>
      <c r="X111" s="22">
        <f t="shared" si="10"/>
        <v>0</v>
      </c>
      <c r="Y111" s="310"/>
      <c r="Z111" s="310"/>
      <c r="AA111" s="300">
        <f t="shared" si="12"/>
        <v>0</v>
      </c>
      <c r="AB111" s="310"/>
    </row>
    <row r="112" spans="1:28" ht="15" hidden="1" customHeight="1" x14ac:dyDescent="0.25">
      <c r="A112" s="255"/>
      <c r="B112" s="256"/>
      <c r="C112" s="256"/>
      <c r="D112" s="261"/>
      <c r="E112" s="258"/>
      <c r="F112" s="258"/>
      <c r="G112" s="258"/>
      <c r="H112" s="259"/>
      <c r="I112" s="260"/>
      <c r="J112" s="64"/>
      <c r="K112" s="28"/>
      <c r="L112" s="66"/>
      <c r="M112" s="66"/>
      <c r="N112" s="67"/>
      <c r="O112" s="66"/>
      <c r="P112" s="66"/>
      <c r="Q112" s="66"/>
      <c r="R112" s="68"/>
      <c r="S112" s="68"/>
      <c r="T112" s="20"/>
      <c r="U112" s="43"/>
      <c r="V112" s="42">
        <f t="shared" si="11"/>
        <v>0</v>
      </c>
      <c r="W112" s="22"/>
      <c r="X112" s="22"/>
      <c r="Y112" s="310"/>
      <c r="Z112" s="310"/>
      <c r="AA112" s="300" t="e">
        <f t="shared" si="12"/>
        <v>#DIV/0!</v>
      </c>
      <c r="AB112" s="310"/>
    </row>
    <row r="113" spans="1:28" ht="1.5" hidden="1" customHeight="1" x14ac:dyDescent="0.25">
      <c r="A113" s="255"/>
      <c r="B113" s="256"/>
      <c r="C113" s="256"/>
      <c r="D113" s="261"/>
      <c r="E113" s="258"/>
      <c r="F113" s="258"/>
      <c r="G113" s="258"/>
      <c r="H113" s="259"/>
      <c r="I113" s="260"/>
      <c r="J113" s="204"/>
      <c r="K113" s="223" t="s">
        <v>226</v>
      </c>
      <c r="L113" s="205">
        <v>895000</v>
      </c>
      <c r="M113" s="205">
        <v>0</v>
      </c>
      <c r="N113" s="205">
        <f t="shared" si="18"/>
        <v>895000</v>
      </c>
      <c r="O113" s="205"/>
      <c r="P113" s="205"/>
      <c r="Q113" s="205">
        <v>0</v>
      </c>
      <c r="R113" s="206">
        <v>0</v>
      </c>
      <c r="S113" s="206">
        <f t="shared" si="21"/>
        <v>0</v>
      </c>
      <c r="T113" s="208"/>
      <c r="U113" s="209">
        <f t="shared" si="17"/>
        <v>895000</v>
      </c>
      <c r="V113" s="42">
        <f t="shared" si="11"/>
        <v>447500</v>
      </c>
      <c r="W113" s="22">
        <f>S113/L113*100</f>
        <v>0</v>
      </c>
      <c r="X113" s="22">
        <f t="shared" si="10"/>
        <v>0</v>
      </c>
      <c r="Y113" s="310"/>
      <c r="Z113" s="310"/>
      <c r="AA113" s="300">
        <f t="shared" si="12"/>
        <v>0</v>
      </c>
      <c r="AB113" s="310"/>
    </row>
    <row r="114" spans="1:28" hidden="1" x14ac:dyDescent="0.25">
      <c r="A114" s="240"/>
      <c r="B114" s="244"/>
      <c r="C114" s="247"/>
      <c r="D114" s="242"/>
      <c r="E114" s="242"/>
      <c r="F114" s="242"/>
      <c r="G114" s="241"/>
      <c r="H114" s="241"/>
      <c r="I114" s="242"/>
      <c r="J114" s="64"/>
      <c r="K114" s="28"/>
      <c r="L114" s="66"/>
      <c r="M114" s="66"/>
      <c r="N114" s="67"/>
      <c r="O114" s="30"/>
      <c r="P114" s="30"/>
      <c r="Q114" s="68"/>
      <c r="R114" s="29"/>
      <c r="S114" s="29"/>
      <c r="T114" s="32"/>
      <c r="U114" s="43"/>
      <c r="V114" s="42">
        <f t="shared" si="11"/>
        <v>0</v>
      </c>
      <c r="W114" s="22"/>
      <c r="X114" s="22"/>
      <c r="Y114" s="310"/>
      <c r="Z114" s="310"/>
      <c r="AA114" s="300" t="e">
        <f t="shared" si="12"/>
        <v>#DIV/0!</v>
      </c>
      <c r="AB114" s="310"/>
    </row>
    <row r="115" spans="1:28" ht="17.25" customHeight="1" x14ac:dyDescent="0.25">
      <c r="A115" s="240"/>
      <c r="B115" s="244"/>
      <c r="C115" s="247"/>
      <c r="D115" s="257"/>
      <c r="E115" s="262"/>
      <c r="F115" s="262"/>
      <c r="G115" s="262"/>
      <c r="H115" s="259"/>
      <c r="I115" s="260"/>
      <c r="J115" s="134"/>
      <c r="K115" s="288" t="s">
        <v>263</v>
      </c>
      <c r="L115" s="41">
        <v>447550000</v>
      </c>
      <c r="M115" s="41">
        <f>M116+M117</f>
        <v>0</v>
      </c>
      <c r="N115" s="135">
        <f t="shared" si="18"/>
        <v>447550000</v>
      </c>
      <c r="O115" s="135"/>
      <c r="P115" s="135"/>
      <c r="Q115" s="41">
        <f>Q116+Q117+Q118</f>
        <v>16640000</v>
      </c>
      <c r="R115" s="293">
        <v>33280000</v>
      </c>
      <c r="S115" s="293">
        <f>Q115+R115</f>
        <v>49920000</v>
      </c>
      <c r="T115" s="136">
        <f t="shared" ref="T115:T117" si="22">S115/N115*100</f>
        <v>11.154060998771087</v>
      </c>
      <c r="U115" s="295">
        <f t="shared" si="17"/>
        <v>397630000</v>
      </c>
      <c r="V115" s="42">
        <f t="shared" si="11"/>
        <v>198815000</v>
      </c>
      <c r="W115" s="22">
        <v>15.49</v>
      </c>
      <c r="X115" s="22">
        <f t="shared" si="10"/>
        <v>3.7180203329236958</v>
      </c>
      <c r="Y115" s="310">
        <v>17.309999999999999</v>
      </c>
      <c r="Z115" s="311">
        <f>W115-Y115</f>
        <v>-1.8199999999999985</v>
      </c>
      <c r="AA115" s="302">
        <f t="shared" si="12"/>
        <v>3.7180203329236958</v>
      </c>
      <c r="AB115" s="310"/>
    </row>
    <row r="116" spans="1:28" ht="0.75" hidden="1" customHeight="1" x14ac:dyDescent="0.25">
      <c r="A116" s="240"/>
      <c r="B116" s="244"/>
      <c r="C116" s="247"/>
      <c r="D116" s="242"/>
      <c r="E116" s="242"/>
      <c r="F116" s="242"/>
      <c r="G116" s="241"/>
      <c r="H116" s="241"/>
      <c r="I116" s="242"/>
      <c r="J116" s="64"/>
      <c r="K116" s="138" t="s">
        <v>228</v>
      </c>
      <c r="L116" s="66">
        <v>192000000</v>
      </c>
      <c r="M116" s="66">
        <v>0</v>
      </c>
      <c r="N116" s="67">
        <f t="shared" si="18"/>
        <v>192000000</v>
      </c>
      <c r="O116" s="66"/>
      <c r="P116" s="66"/>
      <c r="Q116" s="139">
        <v>16000000</v>
      </c>
      <c r="R116" s="29">
        <v>32000000</v>
      </c>
      <c r="S116" s="29">
        <f t="shared" si="21"/>
        <v>48000000</v>
      </c>
      <c r="T116" s="20"/>
      <c r="U116" s="43">
        <f t="shared" si="17"/>
        <v>144000000</v>
      </c>
      <c r="V116" s="42">
        <f t="shared" si="11"/>
        <v>72000000</v>
      </c>
      <c r="W116" s="22"/>
      <c r="X116" s="22">
        <f t="shared" si="10"/>
        <v>8.3333333333333321</v>
      </c>
      <c r="Y116" s="310"/>
      <c r="Z116" s="310"/>
      <c r="AA116" s="300">
        <f t="shared" si="12"/>
        <v>8.3333333333333321</v>
      </c>
      <c r="AB116" s="310"/>
    </row>
    <row r="117" spans="1:28" hidden="1" x14ac:dyDescent="0.25">
      <c r="A117" s="240"/>
      <c r="B117" s="244"/>
      <c r="C117" s="247"/>
      <c r="D117" s="242"/>
      <c r="E117" s="242"/>
      <c r="F117" s="242"/>
      <c r="G117" s="241"/>
      <c r="H117" s="241"/>
      <c r="I117" s="242"/>
      <c r="J117" s="64"/>
      <c r="K117" s="28" t="s">
        <v>229</v>
      </c>
      <c r="L117" s="66">
        <v>56000000</v>
      </c>
      <c r="M117" s="66">
        <v>0</v>
      </c>
      <c r="N117" s="67">
        <f t="shared" si="18"/>
        <v>56000000</v>
      </c>
      <c r="O117" s="66"/>
      <c r="P117" s="66"/>
      <c r="Q117" s="68">
        <v>0</v>
      </c>
      <c r="R117" s="29">
        <v>0</v>
      </c>
      <c r="S117" s="29">
        <v>3000000</v>
      </c>
      <c r="T117" s="20">
        <f t="shared" si="22"/>
        <v>5.3571428571428568</v>
      </c>
      <c r="U117" s="52">
        <f t="shared" si="17"/>
        <v>53000000</v>
      </c>
      <c r="V117" s="42">
        <f t="shared" si="11"/>
        <v>26500000</v>
      </c>
      <c r="W117" s="22">
        <f>S117/L117*100</f>
        <v>5.3571428571428568</v>
      </c>
      <c r="X117" s="22">
        <f t="shared" si="10"/>
        <v>0</v>
      </c>
      <c r="Y117" s="310"/>
      <c r="Z117" s="310"/>
      <c r="AA117" s="300">
        <f t="shared" si="12"/>
        <v>0</v>
      </c>
      <c r="AB117" s="310"/>
    </row>
    <row r="118" spans="1:28" hidden="1" x14ac:dyDescent="0.25">
      <c r="A118" s="240"/>
      <c r="B118" s="244"/>
      <c r="C118" s="247"/>
      <c r="D118" s="242"/>
      <c r="E118" s="242"/>
      <c r="F118" s="242"/>
      <c r="G118" s="241"/>
      <c r="H118" s="241"/>
      <c r="I118" s="242"/>
      <c r="J118" s="64"/>
      <c r="K118" s="28" t="s">
        <v>161</v>
      </c>
      <c r="L118" s="66">
        <v>7800000</v>
      </c>
      <c r="M118" s="66">
        <v>0</v>
      </c>
      <c r="N118" s="67">
        <f t="shared" si="18"/>
        <v>7800000</v>
      </c>
      <c r="O118" s="30"/>
      <c r="P118" s="30"/>
      <c r="Q118" s="68">
        <v>640000</v>
      </c>
      <c r="R118" s="29">
        <v>1280000</v>
      </c>
      <c r="S118" s="29">
        <f>Q118+R118</f>
        <v>1920000</v>
      </c>
      <c r="T118" s="32"/>
      <c r="U118" s="43">
        <f t="shared" si="17"/>
        <v>5880000</v>
      </c>
      <c r="V118" s="42">
        <f t="shared" si="11"/>
        <v>2940000</v>
      </c>
      <c r="W118" s="22">
        <f>S118/L118*100</f>
        <v>24.615384615384617</v>
      </c>
      <c r="X118" s="22">
        <f t="shared" si="10"/>
        <v>8.2051282051282044</v>
      </c>
      <c r="Y118" s="310"/>
      <c r="Z118" s="310"/>
      <c r="AA118" s="300">
        <f t="shared" si="12"/>
        <v>8.2051282051282044</v>
      </c>
      <c r="AB118" s="310"/>
    </row>
    <row r="119" spans="1:28" ht="0.75" hidden="1" customHeight="1" x14ac:dyDescent="0.25">
      <c r="A119" s="240"/>
      <c r="B119" s="244"/>
      <c r="C119" s="247"/>
      <c r="D119" s="242"/>
      <c r="E119" s="242"/>
      <c r="F119" s="242"/>
      <c r="G119" s="241"/>
      <c r="H119" s="241"/>
      <c r="I119" s="242"/>
      <c r="J119" s="64"/>
      <c r="K119" s="28"/>
      <c r="L119" s="66"/>
      <c r="M119" s="66"/>
      <c r="N119" s="67"/>
      <c r="O119" s="30"/>
      <c r="P119" s="30"/>
      <c r="Q119" s="68"/>
      <c r="R119" s="29"/>
      <c r="S119" s="29"/>
      <c r="T119" s="32"/>
      <c r="U119" s="43"/>
      <c r="V119" s="42"/>
      <c r="W119" s="22"/>
      <c r="X119" s="22"/>
      <c r="Y119" s="310"/>
      <c r="Z119" s="310"/>
      <c r="AA119" s="300"/>
      <c r="AB119" s="310"/>
    </row>
    <row r="120" spans="1:28" hidden="1" x14ac:dyDescent="0.25">
      <c r="A120" s="240"/>
      <c r="B120" s="244"/>
      <c r="C120" s="247"/>
      <c r="D120" s="257"/>
      <c r="E120" s="262"/>
      <c r="F120" s="262"/>
      <c r="G120" s="262"/>
      <c r="H120" s="259"/>
      <c r="I120" s="260"/>
      <c r="J120" s="224"/>
      <c r="K120" s="220" t="s">
        <v>230</v>
      </c>
      <c r="L120" s="211">
        <v>100000000</v>
      </c>
      <c r="M120" s="211">
        <v>0</v>
      </c>
      <c r="N120" s="205">
        <f t="shared" si="18"/>
        <v>100000000</v>
      </c>
      <c r="O120" s="205"/>
      <c r="P120" s="205"/>
      <c r="Q120" s="211">
        <v>0</v>
      </c>
      <c r="R120" s="211">
        <v>0</v>
      </c>
      <c r="S120" s="211">
        <f t="shared" si="21"/>
        <v>0</v>
      </c>
      <c r="T120" s="208">
        <f t="shared" ref="T120" si="23">S120/N120*100</f>
        <v>0</v>
      </c>
      <c r="U120" s="209">
        <f t="shared" si="17"/>
        <v>100000000</v>
      </c>
      <c r="V120" s="42">
        <f t="shared" si="11"/>
        <v>50000000</v>
      </c>
      <c r="W120" s="22">
        <f>S120/L120*100</f>
        <v>0</v>
      </c>
      <c r="X120" s="22">
        <f t="shared" si="10"/>
        <v>0</v>
      </c>
      <c r="Y120" s="310"/>
      <c r="Z120" s="310"/>
      <c r="AA120" s="302">
        <f t="shared" si="12"/>
        <v>0</v>
      </c>
      <c r="AB120" s="310"/>
    </row>
    <row r="121" spans="1:28" x14ac:dyDescent="0.25">
      <c r="A121" s="240"/>
      <c r="B121" s="244"/>
      <c r="C121" s="247"/>
      <c r="D121" s="242"/>
      <c r="E121" s="242"/>
      <c r="F121" s="242"/>
      <c r="G121" s="241"/>
      <c r="H121" s="241"/>
      <c r="I121" s="242"/>
      <c r="J121" s="64"/>
      <c r="K121" s="28"/>
      <c r="L121" s="66"/>
      <c r="M121" s="66"/>
      <c r="N121" s="67"/>
      <c r="O121" s="66"/>
      <c r="P121" s="66"/>
      <c r="Q121" s="68"/>
      <c r="R121" s="68"/>
      <c r="S121" s="68"/>
      <c r="T121" s="20"/>
      <c r="U121" s="43"/>
      <c r="V121" s="42">
        <f t="shared" si="11"/>
        <v>0</v>
      </c>
      <c r="W121" s="22"/>
      <c r="X121" s="22"/>
      <c r="Y121" s="310"/>
      <c r="Z121" s="310"/>
      <c r="AA121" s="300" t="e">
        <f t="shared" si="12"/>
        <v>#DIV/0!</v>
      </c>
      <c r="AB121" s="310"/>
    </row>
    <row r="122" spans="1:28" hidden="1" x14ac:dyDescent="0.25">
      <c r="A122" s="240"/>
      <c r="B122" s="244"/>
      <c r="C122" s="247"/>
      <c r="D122" s="242"/>
      <c r="E122" s="242"/>
      <c r="F122" s="242"/>
      <c r="G122" s="241"/>
      <c r="H122" s="241"/>
      <c r="I122" s="242"/>
      <c r="J122" s="204"/>
      <c r="K122" s="210" t="s">
        <v>231</v>
      </c>
      <c r="L122" s="205">
        <f>L124+L126+L128</f>
        <v>98050000</v>
      </c>
      <c r="M122" s="205">
        <f>M124+M126+M128</f>
        <v>0</v>
      </c>
      <c r="N122" s="205">
        <f t="shared" si="18"/>
        <v>98050000</v>
      </c>
      <c r="O122" s="211"/>
      <c r="P122" s="211"/>
      <c r="Q122" s="206">
        <v>16300000</v>
      </c>
      <c r="R122" s="207">
        <v>2850000</v>
      </c>
      <c r="S122" s="207">
        <f t="shared" si="21"/>
        <v>19150000</v>
      </c>
      <c r="T122" s="208">
        <f t="shared" ref="T122" si="24">S122/N122*100</f>
        <v>19.530851606323303</v>
      </c>
      <c r="U122" s="43">
        <f t="shared" ref="U122:U128" si="25">N122-S122</f>
        <v>78900000</v>
      </c>
      <c r="V122" s="42">
        <f t="shared" si="11"/>
        <v>39450000</v>
      </c>
      <c r="W122" s="22">
        <f>S122/L122*100</f>
        <v>19.530851606323303</v>
      </c>
      <c r="X122" s="22">
        <f t="shared" si="10"/>
        <v>16.624171341152476</v>
      </c>
      <c r="Y122" s="310"/>
      <c r="Z122" s="310"/>
      <c r="AA122" s="300">
        <f t="shared" si="12"/>
        <v>16.624171341152476</v>
      </c>
      <c r="AB122" s="310"/>
    </row>
    <row r="123" spans="1:28" x14ac:dyDescent="0.25">
      <c r="A123" s="240"/>
      <c r="B123" s="244"/>
      <c r="C123" s="247"/>
      <c r="D123" s="242"/>
      <c r="E123" s="242"/>
      <c r="F123" s="242"/>
      <c r="G123" s="241"/>
      <c r="H123" s="241"/>
      <c r="I123" s="242"/>
      <c r="J123" s="134"/>
      <c r="K123" s="39" t="s">
        <v>262</v>
      </c>
      <c r="L123" s="135">
        <v>13050000</v>
      </c>
      <c r="M123" s="135"/>
      <c r="N123" s="135"/>
      <c r="O123" s="41"/>
      <c r="P123" s="41"/>
      <c r="Q123" s="292"/>
      <c r="R123" s="293"/>
      <c r="S123" s="293">
        <v>1500000</v>
      </c>
      <c r="T123" s="136"/>
      <c r="U123" s="42">
        <v>11550000</v>
      </c>
      <c r="V123" s="42">
        <f t="shared" si="11"/>
        <v>5775000</v>
      </c>
      <c r="W123" s="22">
        <f>(W124+W113)/2</f>
        <v>27</v>
      </c>
      <c r="X123" s="22"/>
      <c r="Y123" s="310">
        <v>20.36</v>
      </c>
      <c r="Z123" s="311">
        <f>W123-Y123</f>
        <v>6.6400000000000006</v>
      </c>
      <c r="AA123" s="300" t="e">
        <f t="shared" si="12"/>
        <v>#DIV/0!</v>
      </c>
      <c r="AB123" s="310"/>
    </row>
    <row r="124" spans="1:28" hidden="1" x14ac:dyDescent="0.25">
      <c r="A124" s="240"/>
      <c r="B124" s="244"/>
      <c r="C124" s="247"/>
      <c r="D124" s="263"/>
      <c r="E124" s="264"/>
      <c r="F124" s="264"/>
      <c r="G124" s="244"/>
      <c r="H124" s="244"/>
      <c r="I124" s="264"/>
      <c r="J124" s="140"/>
      <c r="K124" s="56" t="s">
        <v>232</v>
      </c>
      <c r="L124" s="30">
        <v>5000000</v>
      </c>
      <c r="M124" s="30">
        <v>0</v>
      </c>
      <c r="N124" s="67">
        <f t="shared" si="18"/>
        <v>5000000</v>
      </c>
      <c r="O124" s="30"/>
      <c r="P124" s="30"/>
      <c r="Q124" s="141">
        <v>1350000</v>
      </c>
      <c r="R124" s="141">
        <v>1350000</v>
      </c>
      <c r="S124" s="207">
        <f t="shared" ref="S124:S126" si="26">Q124+R124</f>
        <v>2700000</v>
      </c>
      <c r="T124" s="20"/>
      <c r="U124" s="43">
        <f t="shared" si="25"/>
        <v>2300000</v>
      </c>
      <c r="V124" s="42">
        <f t="shared" si="11"/>
        <v>1150000</v>
      </c>
      <c r="W124" s="22">
        <f>S124/L124*100</f>
        <v>54</v>
      </c>
      <c r="X124" s="22">
        <f t="shared" si="10"/>
        <v>27</v>
      </c>
      <c r="Y124" s="310"/>
      <c r="Z124" s="310"/>
      <c r="AA124" s="300">
        <f t="shared" si="12"/>
        <v>27</v>
      </c>
      <c r="AB124" s="310"/>
    </row>
    <row r="125" spans="1:28" x14ac:dyDescent="0.25">
      <c r="A125" s="240"/>
      <c r="B125" s="244"/>
      <c r="C125" s="247"/>
      <c r="D125" s="242"/>
      <c r="E125" s="242"/>
      <c r="F125" s="242"/>
      <c r="G125" s="241"/>
      <c r="H125" s="241"/>
      <c r="I125" s="242"/>
      <c r="J125" s="64"/>
      <c r="K125" s="138"/>
      <c r="L125" s="66"/>
      <c r="M125" s="66"/>
      <c r="N125" s="67"/>
      <c r="O125" s="30"/>
      <c r="P125" s="30"/>
      <c r="Q125" s="68"/>
      <c r="R125" s="29"/>
      <c r="S125" s="29"/>
      <c r="T125" s="32"/>
      <c r="U125" s="52"/>
      <c r="V125" s="42">
        <f t="shared" si="11"/>
        <v>0</v>
      </c>
      <c r="W125" s="22"/>
      <c r="X125" s="22"/>
      <c r="Y125" s="310"/>
      <c r="Z125" s="310"/>
      <c r="AA125" s="302" t="e">
        <f t="shared" si="12"/>
        <v>#DIV/0!</v>
      </c>
      <c r="AB125" s="310"/>
    </row>
    <row r="126" spans="1:28" ht="15" customHeight="1" x14ac:dyDescent="0.25">
      <c r="A126" s="240"/>
      <c r="B126" s="244"/>
      <c r="C126" s="247"/>
      <c r="D126" s="242"/>
      <c r="E126" s="242"/>
      <c r="F126" s="242"/>
      <c r="G126" s="241"/>
      <c r="H126" s="241"/>
      <c r="I126" s="242"/>
      <c r="J126" s="134"/>
      <c r="K126" s="294" t="s">
        <v>233</v>
      </c>
      <c r="L126" s="135">
        <v>13050000</v>
      </c>
      <c r="M126" s="135">
        <v>0</v>
      </c>
      <c r="N126" s="135">
        <f t="shared" si="18"/>
        <v>13050000</v>
      </c>
      <c r="O126" s="41"/>
      <c r="P126" s="41"/>
      <c r="Q126" s="292">
        <v>0</v>
      </c>
      <c r="R126" s="293">
        <v>1500000</v>
      </c>
      <c r="S126" s="293">
        <f t="shared" si="26"/>
        <v>1500000</v>
      </c>
      <c r="T126" s="136">
        <f t="shared" ref="T126" si="27">S126/N126*100</f>
        <v>11.494252873563218</v>
      </c>
      <c r="U126" s="42">
        <f t="shared" si="25"/>
        <v>11550000</v>
      </c>
      <c r="V126" s="42">
        <f t="shared" si="11"/>
        <v>5775000</v>
      </c>
      <c r="W126" s="22">
        <f>S126/L126*100</f>
        <v>11.494252873563218</v>
      </c>
      <c r="X126" s="22">
        <f t="shared" si="10"/>
        <v>0</v>
      </c>
      <c r="Y126" s="310">
        <v>20.7</v>
      </c>
      <c r="Z126" s="311">
        <f>W126-Y126</f>
        <v>-9.2057471264367816</v>
      </c>
      <c r="AA126" s="302">
        <f t="shared" si="12"/>
        <v>0</v>
      </c>
      <c r="AB126" s="310" t="s">
        <v>270</v>
      </c>
    </row>
    <row r="127" spans="1:28" hidden="1" x14ac:dyDescent="0.25">
      <c r="A127" s="240"/>
      <c r="B127" s="244"/>
      <c r="C127" s="247"/>
      <c r="D127" s="242"/>
      <c r="E127" s="242"/>
      <c r="F127" s="242"/>
      <c r="G127" s="241"/>
      <c r="H127" s="241"/>
      <c r="I127" s="242"/>
      <c r="J127" s="64"/>
      <c r="K127" s="138"/>
      <c r="L127" s="66"/>
      <c r="M127" s="66"/>
      <c r="N127" s="67"/>
      <c r="O127" s="30"/>
      <c r="P127" s="30"/>
      <c r="Q127" s="68"/>
      <c r="R127" s="68"/>
      <c r="S127" s="68"/>
      <c r="T127" s="20"/>
      <c r="U127" s="43"/>
      <c r="V127" s="42"/>
      <c r="W127" s="22"/>
      <c r="X127" s="22"/>
      <c r="Y127" s="310"/>
      <c r="Z127" s="310"/>
      <c r="AA127" s="302"/>
      <c r="AB127" s="310"/>
    </row>
    <row r="128" spans="1:28" hidden="1" x14ac:dyDescent="0.25">
      <c r="A128" s="240"/>
      <c r="B128" s="244"/>
      <c r="C128" s="247"/>
      <c r="D128" s="242"/>
      <c r="E128" s="242"/>
      <c r="F128" s="242"/>
      <c r="G128" s="241"/>
      <c r="H128" s="241"/>
      <c r="I128" s="242"/>
      <c r="J128" s="64"/>
      <c r="K128" s="138" t="s">
        <v>234</v>
      </c>
      <c r="L128" s="66">
        <v>80000000</v>
      </c>
      <c r="M128" s="66">
        <v>0</v>
      </c>
      <c r="N128" s="67">
        <f t="shared" si="18"/>
        <v>80000000</v>
      </c>
      <c r="O128" s="30"/>
      <c r="P128" s="30"/>
      <c r="Q128" s="68"/>
      <c r="R128" s="68"/>
      <c r="S128" s="68">
        <v>16300000</v>
      </c>
      <c r="T128" s="20"/>
      <c r="U128" s="43">
        <f t="shared" si="25"/>
        <v>63700000</v>
      </c>
      <c r="V128" s="42"/>
      <c r="W128" s="22">
        <f>S128/L128*100</f>
        <v>20.375</v>
      </c>
      <c r="X128" s="22">
        <f t="shared" si="10"/>
        <v>0</v>
      </c>
      <c r="Y128" s="310"/>
      <c r="Z128" s="310"/>
      <c r="AA128" s="302"/>
      <c r="AB128" s="310"/>
    </row>
    <row r="129" spans="1:28" x14ac:dyDescent="0.25">
      <c r="A129" s="240"/>
      <c r="B129" s="244"/>
      <c r="C129" s="247"/>
      <c r="D129" s="242"/>
      <c r="E129" s="242"/>
      <c r="F129" s="242"/>
      <c r="G129" s="241"/>
      <c r="H129" s="241"/>
      <c r="I129" s="242"/>
      <c r="J129" s="64"/>
      <c r="K129" s="28"/>
      <c r="L129" s="66"/>
      <c r="M129" s="66"/>
      <c r="N129" s="67"/>
      <c r="O129" s="30"/>
      <c r="P129" s="30"/>
      <c r="Q129" s="68"/>
      <c r="R129" s="29"/>
      <c r="S129" s="29"/>
      <c r="T129" s="32"/>
      <c r="U129" s="43"/>
      <c r="V129" s="42">
        <f t="shared" si="11"/>
        <v>0</v>
      </c>
      <c r="W129" s="22"/>
      <c r="X129" s="22"/>
      <c r="Y129" s="310"/>
      <c r="Z129" s="310"/>
      <c r="AA129" s="300" t="e">
        <f t="shared" si="12"/>
        <v>#DIV/0!</v>
      </c>
      <c r="AB129" s="310"/>
    </row>
    <row r="130" spans="1:28" hidden="1" x14ac:dyDescent="0.25">
      <c r="A130" s="265"/>
      <c r="B130" s="266"/>
      <c r="C130" s="267"/>
      <c r="D130" s="268"/>
      <c r="E130" s="268"/>
      <c r="F130" s="268"/>
      <c r="G130" s="269"/>
      <c r="H130" s="269"/>
      <c r="I130" s="268"/>
      <c r="J130" s="150"/>
      <c r="K130" s="151"/>
      <c r="L130" s="152">
        <f>L12+L94</f>
        <v>2376002000</v>
      </c>
      <c r="M130" s="152">
        <f>M12+M94</f>
        <v>0</v>
      </c>
      <c r="N130" s="152">
        <f>N94+N12</f>
        <v>2376002000</v>
      </c>
      <c r="O130" s="153"/>
      <c r="P130" s="153"/>
      <c r="Q130" s="152">
        <f>Q12+Q94</f>
        <v>149345980</v>
      </c>
      <c r="R130" s="152">
        <f>R12+R94</f>
        <v>290466631</v>
      </c>
      <c r="S130" s="152">
        <f>S12+S94</f>
        <v>439812611</v>
      </c>
      <c r="T130" s="154">
        <f>S130/N130*100</f>
        <v>18.510616194767511</v>
      </c>
      <c r="U130" s="152">
        <f>N130-S130</f>
        <v>1936189389</v>
      </c>
      <c r="V130" s="42">
        <f t="shared" si="11"/>
        <v>968094694.5</v>
      </c>
      <c r="W130" s="22">
        <f>Q130/N130*100</f>
        <v>6.2855999279461878</v>
      </c>
      <c r="X130" s="22">
        <f t="shared" si="10"/>
        <v>6.2855999279461878</v>
      </c>
    </row>
    <row r="131" spans="1:28" x14ac:dyDescent="0.25">
      <c r="A131" s="155"/>
      <c r="B131" s="156"/>
      <c r="C131" s="157"/>
      <c r="D131" s="158"/>
      <c r="E131" s="158"/>
      <c r="F131" s="158"/>
      <c r="G131" s="159"/>
      <c r="H131" s="159"/>
      <c r="I131" s="158"/>
      <c r="J131" s="160"/>
      <c r="K131" s="161"/>
      <c r="L131" s="162"/>
      <c r="M131" s="162"/>
      <c r="N131" s="162"/>
      <c r="O131" s="163"/>
      <c r="P131" s="163"/>
      <c r="Q131" s="162"/>
      <c r="R131" s="164"/>
      <c r="S131" s="165"/>
      <c r="T131" s="166"/>
      <c r="W131" s="166"/>
      <c r="X131" s="166"/>
    </row>
    <row r="132" spans="1:28" x14ac:dyDescent="0.25">
      <c r="A132" s="167"/>
      <c r="B132" s="167"/>
      <c r="C132" s="168"/>
      <c r="D132" s="169"/>
      <c r="E132" s="169"/>
      <c r="F132" s="169"/>
      <c r="G132" s="170"/>
      <c r="H132" s="170"/>
      <c r="I132" s="169"/>
      <c r="J132" s="171"/>
      <c r="K132" s="171"/>
      <c r="L132" s="172"/>
      <c r="M132" s="172"/>
      <c r="N132" s="172"/>
      <c r="O132" s="162"/>
      <c r="P132" s="162"/>
      <c r="Q132" s="173"/>
      <c r="R132" s="174"/>
      <c r="S132" s="173"/>
      <c r="T132" s="175"/>
      <c r="W132" s="175"/>
      <c r="X132" s="175"/>
    </row>
    <row r="133" spans="1:28" x14ac:dyDescent="0.25">
      <c r="A133" s="167"/>
      <c r="B133" s="167"/>
      <c r="C133" s="168"/>
      <c r="D133" s="169"/>
      <c r="E133" s="169"/>
      <c r="F133" s="169"/>
      <c r="G133" s="170"/>
      <c r="H133" s="170"/>
      <c r="I133" s="169"/>
      <c r="J133" s="171"/>
      <c r="K133" s="171"/>
      <c r="L133" s="172"/>
      <c r="M133" s="172"/>
      <c r="N133" s="172"/>
      <c r="O133" s="162"/>
      <c r="P133" s="162"/>
      <c r="Q133" s="173"/>
      <c r="R133" s="174"/>
      <c r="S133" s="173"/>
      <c r="T133" s="175"/>
      <c r="W133" s="175"/>
      <c r="X133" s="175"/>
    </row>
    <row r="134" spans="1:28" x14ac:dyDescent="0.25">
      <c r="A134" s="497"/>
      <c r="B134" s="497"/>
      <c r="C134" s="497"/>
      <c r="D134" s="497"/>
      <c r="E134" s="497"/>
      <c r="F134" s="497"/>
      <c r="G134" s="497"/>
      <c r="H134" s="497"/>
      <c r="I134" s="497"/>
      <c r="J134" s="497"/>
      <c r="K134" s="176"/>
      <c r="L134" s="176"/>
      <c r="M134" s="281"/>
      <c r="N134" s="281"/>
      <c r="O134" s="162"/>
      <c r="P134" s="162"/>
      <c r="Q134" s="178"/>
      <c r="R134" s="179"/>
      <c r="S134" s="179"/>
      <c r="T134" s="180"/>
      <c r="W134" s="180"/>
      <c r="X134" s="180"/>
    </row>
    <row r="135" spans="1:28" x14ac:dyDescent="0.25">
      <c r="A135" s="176"/>
      <c r="B135" s="176"/>
      <c r="C135" s="176"/>
      <c r="D135" s="495" t="s">
        <v>168</v>
      </c>
      <c r="E135" s="495"/>
      <c r="F135" s="495"/>
      <c r="G135" s="495"/>
      <c r="H135" s="495"/>
      <c r="I135" s="495"/>
      <c r="J135" s="495"/>
      <c r="K135" s="495"/>
      <c r="L135" s="495"/>
      <c r="M135" s="281"/>
      <c r="N135" s="281"/>
      <c r="O135" s="163"/>
      <c r="P135" s="163"/>
      <c r="Q135" s="181"/>
      <c r="R135" s="498"/>
      <c r="S135" s="498"/>
      <c r="T135" s="498"/>
    </row>
    <row r="136" spans="1:28" x14ac:dyDescent="0.25">
      <c r="A136" s="495" t="s">
        <v>169</v>
      </c>
      <c r="B136" s="495"/>
      <c r="C136" s="495"/>
      <c r="D136" s="495"/>
      <c r="E136" s="495"/>
      <c r="F136" s="495"/>
      <c r="G136" s="495"/>
      <c r="H136" s="495"/>
      <c r="I136" s="495"/>
      <c r="J136" s="495"/>
      <c r="K136" s="281" t="s">
        <v>170</v>
      </c>
      <c r="L136" s="176"/>
      <c r="N136" s="496" t="s">
        <v>171</v>
      </c>
      <c r="O136" s="496"/>
      <c r="P136" s="496"/>
      <c r="Q136" s="496"/>
      <c r="R136" s="496" t="s">
        <v>172</v>
      </c>
      <c r="S136" s="496"/>
      <c r="T136" s="496"/>
      <c r="U136" s="496"/>
      <c r="W136" s="182"/>
      <c r="X136" s="182"/>
    </row>
    <row r="137" spans="1:28" x14ac:dyDescent="0.25">
      <c r="A137" s="281"/>
      <c r="B137" s="281"/>
      <c r="C137" s="281"/>
      <c r="D137" s="495" t="s">
        <v>173</v>
      </c>
      <c r="E137" s="495"/>
      <c r="F137" s="495"/>
      <c r="G137" s="495"/>
      <c r="H137" s="495"/>
      <c r="I137" s="495"/>
      <c r="J137" s="495"/>
      <c r="K137" s="281" t="s">
        <v>174</v>
      </c>
      <c r="L137" s="176"/>
      <c r="N137" s="496" t="s">
        <v>174</v>
      </c>
      <c r="O137" s="496"/>
      <c r="P137" s="496"/>
      <c r="Q137" s="496"/>
      <c r="R137" s="495" t="s">
        <v>175</v>
      </c>
      <c r="S137" s="495"/>
      <c r="T137" s="495"/>
      <c r="U137" s="495"/>
      <c r="W137" s="176"/>
      <c r="X137" s="176"/>
    </row>
    <row r="138" spans="1:28" x14ac:dyDescent="0.25">
      <c r="A138" s="281"/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N138" s="183"/>
      <c r="O138" s="283"/>
      <c r="P138" s="283"/>
      <c r="Q138" s="283"/>
      <c r="R138" s="185"/>
      <c r="S138" s="185"/>
      <c r="T138" s="185"/>
      <c r="W138" s="185"/>
      <c r="X138" s="185"/>
    </row>
    <row r="139" spans="1:28" x14ac:dyDescent="0.25">
      <c r="A139" s="281"/>
      <c r="B139" s="281"/>
      <c r="C139" s="281"/>
      <c r="D139" s="281"/>
      <c r="E139" s="281"/>
      <c r="F139" s="281"/>
      <c r="G139" s="281"/>
      <c r="H139" s="281"/>
      <c r="I139" s="281"/>
      <c r="J139" s="281"/>
      <c r="K139" s="281"/>
      <c r="L139" s="281"/>
      <c r="N139" s="183"/>
      <c r="O139" s="283"/>
      <c r="P139" s="283"/>
      <c r="Q139" s="283"/>
      <c r="R139" s="185"/>
      <c r="S139" s="185"/>
      <c r="T139" s="185"/>
      <c r="W139" s="185"/>
      <c r="X139" s="185"/>
    </row>
    <row r="140" spans="1:28" x14ac:dyDescent="0.25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281"/>
      <c r="L140" s="281"/>
      <c r="N140" s="164"/>
      <c r="O140" s="186"/>
      <c r="P140" s="186"/>
      <c r="Q140" s="186"/>
      <c r="R140" s="185"/>
      <c r="S140" s="185"/>
      <c r="T140" s="185"/>
      <c r="W140" s="185"/>
      <c r="X140" s="185"/>
    </row>
    <row r="141" spans="1:28" x14ac:dyDescent="0.25">
      <c r="A141" s="499"/>
      <c r="B141" s="499"/>
      <c r="C141" s="499"/>
      <c r="D141" s="499"/>
      <c r="E141" s="499"/>
      <c r="F141" s="499"/>
      <c r="G141" s="499"/>
      <c r="H141" s="499"/>
      <c r="I141" s="499"/>
      <c r="J141" s="499"/>
      <c r="K141" s="281"/>
      <c r="L141" s="176"/>
      <c r="N141" s="183"/>
      <c r="O141" s="187"/>
      <c r="P141" s="186"/>
      <c r="Q141" s="186"/>
      <c r="R141" s="186"/>
      <c r="S141" s="186"/>
      <c r="T141" s="186"/>
      <c r="W141" s="186"/>
      <c r="X141" s="186"/>
    </row>
    <row r="142" spans="1:28" x14ac:dyDescent="0.25">
      <c r="A142" s="499" t="s">
        <v>176</v>
      </c>
      <c r="B142" s="499"/>
      <c r="C142" s="499"/>
      <c r="D142" s="499"/>
      <c r="E142" s="499"/>
      <c r="F142" s="499"/>
      <c r="G142" s="499"/>
      <c r="H142" s="499"/>
      <c r="I142" s="499"/>
      <c r="J142" s="499"/>
      <c r="K142" s="282" t="s">
        <v>177</v>
      </c>
      <c r="L142" s="189"/>
      <c r="N142" s="500" t="s">
        <v>178</v>
      </c>
      <c r="O142" s="500"/>
      <c r="P142" s="500"/>
      <c r="Q142" s="500"/>
      <c r="R142" s="501" t="s">
        <v>179</v>
      </c>
      <c r="S142" s="501"/>
      <c r="T142" s="501"/>
      <c r="U142" s="501"/>
    </row>
    <row r="143" spans="1:28" x14ac:dyDescent="0.25">
      <c r="A143" s="502" t="s">
        <v>180</v>
      </c>
      <c r="B143" s="502"/>
      <c r="C143" s="502"/>
      <c r="D143" s="502"/>
      <c r="E143" s="502"/>
      <c r="F143" s="502"/>
      <c r="G143" s="502"/>
      <c r="H143" s="502"/>
      <c r="I143" s="502"/>
      <c r="J143" s="502"/>
      <c r="K143" s="281" t="s">
        <v>181</v>
      </c>
      <c r="L143" s="176"/>
      <c r="N143" s="503" t="s">
        <v>182</v>
      </c>
      <c r="O143" s="503"/>
      <c r="P143" s="503"/>
      <c r="Q143" s="503"/>
      <c r="R143" s="504" t="s">
        <v>183</v>
      </c>
      <c r="S143" s="504"/>
      <c r="T143" s="504"/>
      <c r="U143" s="504"/>
    </row>
    <row r="144" spans="1:28" x14ac:dyDescent="0.25">
      <c r="A144" s="190"/>
      <c r="B144" s="190"/>
      <c r="C144" s="190"/>
      <c r="D144" s="495"/>
      <c r="E144" s="495"/>
      <c r="F144" s="495"/>
      <c r="G144" s="495"/>
      <c r="H144" s="495"/>
      <c r="I144" s="190"/>
      <c r="J144" s="190"/>
      <c r="K144" s="190"/>
      <c r="L144" s="190"/>
      <c r="M144" s="190"/>
      <c r="N144" s="190"/>
      <c r="O144" s="163"/>
      <c r="P144" s="163"/>
      <c r="Q144" s="191"/>
      <c r="R144" s="191"/>
      <c r="S144" s="191"/>
      <c r="T144" s="191"/>
      <c r="W144" s="191"/>
      <c r="X144" s="191"/>
    </row>
    <row r="145" spans="1:24" x14ac:dyDescent="0.25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63"/>
      <c r="P145" s="163"/>
      <c r="Q145" s="191"/>
      <c r="R145" s="191"/>
      <c r="S145" s="191"/>
      <c r="T145" s="191"/>
      <c r="W145" s="191"/>
      <c r="X145" s="191"/>
    </row>
    <row r="146" spans="1:24" x14ac:dyDescent="0.25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62"/>
      <c r="P146" s="162"/>
      <c r="Q146" s="191"/>
      <c r="R146" s="191"/>
      <c r="S146" s="191"/>
      <c r="T146" s="191"/>
      <c r="W146" s="191"/>
      <c r="X146" s="191"/>
    </row>
    <row r="147" spans="1:24" x14ac:dyDescent="0.25">
      <c r="A147" s="190"/>
      <c r="B147" s="190"/>
      <c r="C147" s="190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90"/>
      <c r="O147" s="163"/>
      <c r="P147" s="163"/>
      <c r="Q147" s="191"/>
      <c r="R147" s="191"/>
      <c r="S147" s="191"/>
      <c r="T147" s="191"/>
      <c r="W147" s="191"/>
      <c r="X147" s="191"/>
    </row>
    <row r="148" spans="1:24" x14ac:dyDescent="0.25">
      <c r="A148" s="190"/>
      <c r="B148" s="190"/>
      <c r="C148" s="190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0"/>
      <c r="O148" s="163"/>
      <c r="P148" s="163"/>
      <c r="Q148" s="191"/>
      <c r="R148" s="191"/>
      <c r="S148" s="191"/>
      <c r="T148" s="191"/>
      <c r="W148" s="191"/>
      <c r="X148" s="191"/>
    </row>
    <row r="149" spans="1:24" x14ac:dyDescent="0.25">
      <c r="A149" s="190"/>
      <c r="B149" s="190"/>
      <c r="C149" s="190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90"/>
      <c r="O149" s="163"/>
      <c r="P149" s="163"/>
      <c r="Q149" s="191"/>
      <c r="R149" s="191"/>
      <c r="S149" s="191"/>
      <c r="T149" s="191"/>
      <c r="U149" s="1"/>
      <c r="W149" s="191"/>
      <c r="X149" s="191"/>
    </row>
    <row r="150" spans="1:24" x14ac:dyDescent="0.25">
      <c r="A150" s="190"/>
      <c r="B150" s="190"/>
      <c r="C150" s="190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90"/>
      <c r="O150" s="162"/>
      <c r="P150" s="162"/>
      <c r="Q150" s="191"/>
      <c r="R150" s="191"/>
      <c r="S150" s="191"/>
      <c r="T150" s="191"/>
      <c r="U150" s="1"/>
      <c r="W150" s="191"/>
      <c r="X150" s="191"/>
    </row>
    <row r="151" spans="1:24" x14ac:dyDescent="0.25">
      <c r="A151" s="190"/>
      <c r="B151" s="190"/>
      <c r="C151" s="190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190"/>
      <c r="O151" s="163"/>
      <c r="P151" s="163"/>
      <c r="Q151" s="191"/>
      <c r="R151" s="191"/>
      <c r="S151" s="191"/>
      <c r="T151" s="191"/>
      <c r="U151" s="1"/>
      <c r="W151" s="191"/>
      <c r="X151" s="191"/>
    </row>
    <row r="152" spans="1:24" x14ac:dyDescent="0.25">
      <c r="A152" s="190"/>
      <c r="B152" s="190"/>
      <c r="C152" s="190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190"/>
      <c r="O152" s="163"/>
      <c r="P152" s="163"/>
      <c r="Q152" s="191"/>
      <c r="R152" s="191"/>
      <c r="S152" s="191"/>
      <c r="T152" s="191"/>
      <c r="U152" s="1"/>
      <c r="W152" s="191"/>
      <c r="X152" s="191"/>
    </row>
    <row r="153" spans="1:24" x14ac:dyDescent="0.25">
      <c r="A153" s="190"/>
      <c r="B153" s="190"/>
      <c r="C153" s="190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190"/>
      <c r="O153" s="162"/>
      <c r="P153" s="162"/>
      <c r="Q153" s="191"/>
      <c r="R153" s="191"/>
      <c r="S153" s="191"/>
      <c r="T153" s="191"/>
      <c r="U153" s="1"/>
      <c r="W153" s="191"/>
      <c r="X153" s="191"/>
    </row>
    <row r="154" spans="1:24" x14ac:dyDescent="0.25">
      <c r="A154" s="190"/>
      <c r="B154" s="190"/>
      <c r="C154" s="190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90"/>
      <c r="O154" s="172"/>
      <c r="P154" s="172"/>
      <c r="Q154" s="191"/>
      <c r="R154" s="191"/>
      <c r="S154" s="191"/>
      <c r="T154" s="191"/>
      <c r="U154" s="1"/>
      <c r="W154" s="191"/>
      <c r="X154" s="191"/>
    </row>
    <row r="155" spans="1:24" x14ac:dyDescent="0.25">
      <c r="A155" s="193"/>
      <c r="B155" s="193"/>
      <c r="C155" s="193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O155" s="194"/>
      <c r="P155" s="194"/>
      <c r="Q155" s="195"/>
      <c r="R155" s="195"/>
      <c r="S155" s="195"/>
      <c r="T155" s="195"/>
      <c r="U155" s="1"/>
      <c r="W155" s="195"/>
      <c r="X155" s="195"/>
    </row>
    <row r="156" spans="1:24" x14ac:dyDescent="0.25"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O156" s="281"/>
      <c r="P156" s="281"/>
      <c r="Q156" s="195"/>
      <c r="R156" s="195"/>
      <c r="S156" s="195"/>
      <c r="T156" s="195"/>
      <c r="U156" s="1"/>
      <c r="W156" s="195"/>
      <c r="X156" s="195"/>
    </row>
    <row r="157" spans="1:24" x14ac:dyDescent="0.25">
      <c r="O157" s="281"/>
      <c r="P157" s="281"/>
      <c r="Q157" s="195"/>
      <c r="R157" s="195"/>
      <c r="S157" s="195"/>
      <c r="T157" s="195"/>
      <c r="U157" s="1"/>
      <c r="W157" s="195"/>
      <c r="X157" s="195"/>
    </row>
    <row r="158" spans="1:24" x14ac:dyDescent="0.25">
      <c r="O158" s="281"/>
      <c r="P158" s="281"/>
      <c r="Q158" s="195"/>
      <c r="R158" s="195"/>
      <c r="S158" s="195"/>
      <c r="T158" s="195"/>
      <c r="U158" s="1"/>
      <c r="W158" s="195"/>
      <c r="X158" s="195"/>
    </row>
    <row r="159" spans="1:24" x14ac:dyDescent="0.25">
      <c r="O159" s="281"/>
      <c r="P159" s="281"/>
      <c r="Q159" s="195"/>
      <c r="R159" s="195"/>
      <c r="S159" s="195"/>
      <c r="T159" s="195"/>
      <c r="U159" s="1"/>
      <c r="W159" s="195"/>
      <c r="X159" s="195"/>
    </row>
    <row r="160" spans="1:24" x14ac:dyDescent="0.25">
      <c r="O160" s="281"/>
      <c r="P160" s="281"/>
      <c r="Q160" s="195"/>
      <c r="R160" s="195"/>
      <c r="S160" s="195"/>
      <c r="T160" s="195"/>
      <c r="U160" s="1"/>
      <c r="W160" s="195"/>
      <c r="X160" s="195"/>
    </row>
    <row r="161" spans="15:24" x14ac:dyDescent="0.25">
      <c r="O161" s="281"/>
      <c r="P161" s="281"/>
      <c r="Q161" s="195"/>
      <c r="R161" s="195"/>
      <c r="S161" s="195"/>
      <c r="T161" s="195"/>
      <c r="U161" s="1"/>
      <c r="W161" s="195"/>
      <c r="X161" s="195"/>
    </row>
    <row r="162" spans="15:24" x14ac:dyDescent="0.25">
      <c r="O162" s="282"/>
      <c r="P162" s="282"/>
      <c r="Q162" s="195"/>
      <c r="R162" s="195"/>
      <c r="S162" s="195"/>
      <c r="T162" s="195"/>
      <c r="U162" s="1"/>
      <c r="W162" s="195"/>
      <c r="X162" s="195"/>
    </row>
    <row r="163" spans="15:24" x14ac:dyDescent="0.25">
      <c r="O163" s="281"/>
      <c r="P163" s="281"/>
      <c r="Q163" s="195"/>
      <c r="R163" s="195"/>
      <c r="S163" s="195"/>
      <c r="T163" s="195"/>
      <c r="U163" s="1"/>
      <c r="W163" s="195"/>
      <c r="X163" s="195"/>
    </row>
    <row r="164" spans="15:24" x14ac:dyDescent="0.25">
      <c r="O164" s="190"/>
      <c r="P164" s="190"/>
      <c r="Q164" s="195"/>
      <c r="R164" s="195"/>
      <c r="S164" s="195"/>
      <c r="T164" s="195"/>
      <c r="U164" s="1"/>
      <c r="W164" s="195"/>
      <c r="X164" s="195"/>
    </row>
    <row r="165" spans="15:24" x14ac:dyDescent="0.25">
      <c r="O165" s="190"/>
      <c r="P165" s="190"/>
      <c r="Q165" s="195"/>
      <c r="R165" s="195"/>
      <c r="S165" s="195"/>
      <c r="T165" s="195"/>
      <c r="U165" s="1"/>
      <c r="W165" s="195"/>
      <c r="X165" s="195"/>
    </row>
    <row r="166" spans="15:24" x14ac:dyDescent="0.25">
      <c r="O166" s="190"/>
      <c r="P166" s="190"/>
      <c r="Q166" s="195"/>
      <c r="R166" s="195"/>
      <c r="S166" s="195"/>
      <c r="T166" s="195"/>
      <c r="U166" s="1"/>
      <c r="W166" s="195"/>
      <c r="X166" s="195"/>
    </row>
    <row r="167" spans="15:24" x14ac:dyDescent="0.25">
      <c r="O167" s="190"/>
      <c r="P167" s="190"/>
      <c r="Q167" s="195"/>
      <c r="R167" s="195"/>
      <c r="S167" s="195"/>
      <c r="T167" s="195"/>
      <c r="U167" s="1"/>
      <c r="W167" s="195"/>
      <c r="X167" s="195"/>
    </row>
    <row r="168" spans="15:24" x14ac:dyDescent="0.25">
      <c r="O168" s="190"/>
      <c r="P168" s="190"/>
      <c r="Q168" s="195"/>
      <c r="R168" s="195"/>
      <c r="S168" s="195"/>
      <c r="T168" s="195"/>
      <c r="U168" s="1"/>
      <c r="W168" s="195"/>
      <c r="X168" s="195"/>
    </row>
    <row r="169" spans="15:24" x14ac:dyDescent="0.25">
      <c r="O169" s="190"/>
      <c r="P169" s="190"/>
      <c r="Q169" s="195"/>
      <c r="R169" s="195"/>
      <c r="S169" s="195"/>
      <c r="T169" s="195"/>
      <c r="U169" s="1"/>
      <c r="W169" s="195"/>
      <c r="X169" s="195"/>
    </row>
    <row r="170" spans="15:24" x14ac:dyDescent="0.25">
      <c r="O170" s="190"/>
      <c r="P170" s="190"/>
      <c r="Q170" s="195"/>
      <c r="R170" s="195"/>
      <c r="S170" s="195"/>
      <c r="T170" s="195"/>
      <c r="U170" s="1"/>
      <c r="W170" s="195"/>
      <c r="X170" s="195"/>
    </row>
    <row r="171" spans="15:24" x14ac:dyDescent="0.25">
      <c r="O171" s="190"/>
      <c r="P171" s="190"/>
      <c r="Q171" s="195"/>
      <c r="R171" s="195"/>
      <c r="S171" s="195"/>
      <c r="T171" s="195"/>
      <c r="U171" s="1"/>
      <c r="W171" s="195"/>
      <c r="X171" s="195"/>
    </row>
    <row r="172" spans="15:24" x14ac:dyDescent="0.25">
      <c r="O172" s="190"/>
      <c r="P172" s="190"/>
      <c r="Q172" s="195"/>
      <c r="R172" s="195"/>
      <c r="S172" s="195"/>
      <c r="T172" s="195"/>
      <c r="U172" s="1"/>
      <c r="W172" s="195"/>
      <c r="X172" s="195"/>
    </row>
    <row r="173" spans="15:24" x14ac:dyDescent="0.25">
      <c r="O173" s="190"/>
      <c r="P173" s="190"/>
      <c r="Q173" s="195"/>
      <c r="R173" s="195"/>
      <c r="S173" s="195"/>
      <c r="T173" s="195"/>
      <c r="U173" s="1"/>
      <c r="W173" s="195"/>
      <c r="X173" s="195"/>
    </row>
    <row r="174" spans="15:24" x14ac:dyDescent="0.25">
      <c r="O174" s="190"/>
      <c r="P174" s="190"/>
      <c r="Q174" s="195"/>
      <c r="R174" s="195"/>
      <c r="S174" s="195"/>
      <c r="T174" s="195"/>
      <c r="U174" s="1"/>
      <c r="W174" s="195"/>
      <c r="X174" s="195"/>
    </row>
    <row r="175" spans="15:24" x14ac:dyDescent="0.25">
      <c r="O175" s="190"/>
      <c r="P175" s="190"/>
      <c r="Q175" s="195"/>
      <c r="R175" s="195"/>
      <c r="S175" s="195"/>
      <c r="T175" s="195"/>
      <c r="U175" s="1"/>
      <c r="W175" s="195"/>
      <c r="X175" s="195"/>
    </row>
    <row r="176" spans="15:24" x14ac:dyDescent="0.25">
      <c r="Q176" s="195"/>
      <c r="R176" s="195"/>
      <c r="S176" s="195"/>
      <c r="T176" s="195"/>
      <c r="U176" s="1"/>
      <c r="W176" s="195"/>
      <c r="X176" s="195"/>
    </row>
    <row r="177" spans="17:24" x14ac:dyDescent="0.25">
      <c r="Q177" s="195"/>
      <c r="R177" s="195"/>
      <c r="S177" s="195"/>
      <c r="T177" s="195"/>
      <c r="U177" s="1"/>
      <c r="W177" s="195"/>
      <c r="X177" s="195"/>
    </row>
    <row r="178" spans="17:24" x14ac:dyDescent="0.25">
      <c r="Q178" s="195"/>
      <c r="R178" s="195"/>
      <c r="S178" s="195"/>
      <c r="T178" s="195"/>
      <c r="U178" s="1"/>
      <c r="W178" s="195"/>
      <c r="X178" s="195"/>
    </row>
    <row r="179" spans="17:24" x14ac:dyDescent="0.25">
      <c r="Q179" s="195"/>
      <c r="R179" s="195"/>
      <c r="S179" s="195"/>
      <c r="T179" s="195"/>
      <c r="U179" s="1"/>
      <c r="W179" s="195"/>
      <c r="X179" s="195"/>
    </row>
    <row r="180" spans="17:24" x14ac:dyDescent="0.25">
      <c r="Q180" s="195"/>
      <c r="R180" s="195"/>
      <c r="S180" s="195"/>
      <c r="T180" s="195"/>
      <c r="U180" s="1"/>
      <c r="W180" s="195"/>
      <c r="X180" s="195"/>
    </row>
    <row r="181" spans="17:24" x14ac:dyDescent="0.25">
      <c r="Q181" s="195"/>
      <c r="R181" s="195"/>
      <c r="S181" s="195"/>
      <c r="T181" s="195"/>
      <c r="U181" s="1"/>
      <c r="W181" s="195"/>
      <c r="X181" s="195"/>
    </row>
    <row r="182" spans="17:24" x14ac:dyDescent="0.25">
      <c r="Q182" s="195"/>
      <c r="R182" s="195"/>
      <c r="S182" s="195"/>
      <c r="T182" s="195"/>
      <c r="U182" s="1"/>
      <c r="W182" s="195"/>
      <c r="X182" s="195"/>
    </row>
    <row r="183" spans="17:24" x14ac:dyDescent="0.25">
      <c r="Q183" s="195"/>
      <c r="R183" s="195"/>
      <c r="S183" s="195"/>
      <c r="T183" s="195"/>
      <c r="U183" s="1"/>
      <c r="W183" s="195"/>
      <c r="X183" s="195"/>
    </row>
    <row r="184" spans="17:24" x14ac:dyDescent="0.25">
      <c r="Q184" s="195"/>
      <c r="R184" s="195"/>
      <c r="S184" s="195"/>
      <c r="T184" s="195"/>
      <c r="U184" s="1"/>
      <c r="W184" s="195"/>
      <c r="X184" s="195"/>
    </row>
    <row r="185" spans="17:24" x14ac:dyDescent="0.25">
      <c r="Q185" s="195"/>
      <c r="R185" s="195"/>
      <c r="S185" s="195"/>
      <c r="T185" s="195"/>
      <c r="U185" s="1"/>
      <c r="W185" s="195"/>
      <c r="X185" s="195"/>
    </row>
    <row r="186" spans="17:24" x14ac:dyDescent="0.25">
      <c r="Q186" s="195"/>
      <c r="R186" s="195"/>
      <c r="S186" s="195"/>
      <c r="T186" s="195"/>
      <c r="U186" s="1"/>
      <c r="W186" s="195"/>
      <c r="X186" s="195"/>
    </row>
    <row r="187" spans="17:24" x14ac:dyDescent="0.25">
      <c r="Q187" s="195"/>
      <c r="R187" s="195"/>
      <c r="S187" s="195"/>
      <c r="T187" s="195"/>
      <c r="U187" s="1"/>
      <c r="W187" s="195"/>
      <c r="X187" s="195"/>
    </row>
    <row r="188" spans="17:24" x14ac:dyDescent="0.25">
      <c r="Q188" s="195"/>
      <c r="R188" s="195"/>
      <c r="S188" s="195"/>
      <c r="T188" s="195"/>
      <c r="U188" s="1"/>
      <c r="W188" s="195"/>
      <c r="X188" s="195"/>
    </row>
    <row r="189" spans="17:24" x14ac:dyDescent="0.25">
      <c r="Q189" s="195"/>
      <c r="R189" s="195"/>
      <c r="S189" s="195"/>
      <c r="T189" s="195"/>
      <c r="U189" s="1"/>
      <c r="W189" s="195"/>
      <c r="X189" s="195"/>
    </row>
    <row r="190" spans="17:24" x14ac:dyDescent="0.25">
      <c r="Q190" s="195"/>
      <c r="R190" s="195"/>
      <c r="S190" s="195"/>
      <c r="T190" s="195"/>
      <c r="U190" s="1"/>
      <c r="W190" s="195"/>
      <c r="X190" s="195"/>
    </row>
    <row r="191" spans="17:24" x14ac:dyDescent="0.25">
      <c r="Q191" s="195"/>
      <c r="R191" s="195"/>
      <c r="S191" s="195"/>
      <c r="T191" s="195"/>
      <c r="U191" s="1"/>
      <c r="W191" s="195"/>
      <c r="X191" s="195"/>
    </row>
    <row r="192" spans="17:24" x14ac:dyDescent="0.25">
      <c r="Q192" s="195"/>
      <c r="R192" s="195"/>
      <c r="S192" s="195"/>
      <c r="T192" s="195"/>
      <c r="U192" s="1"/>
      <c r="W192" s="195"/>
      <c r="X192" s="195"/>
    </row>
    <row r="193" spans="17:24" x14ac:dyDescent="0.25">
      <c r="Q193" s="195"/>
      <c r="R193" s="195"/>
      <c r="S193" s="195"/>
      <c r="T193" s="195"/>
      <c r="U193" s="1"/>
      <c r="W193" s="195"/>
      <c r="X193" s="195"/>
    </row>
    <row r="194" spans="17:24" x14ac:dyDescent="0.25">
      <c r="Q194" s="195"/>
      <c r="R194" s="195"/>
      <c r="S194" s="195"/>
      <c r="T194" s="195"/>
      <c r="U194" s="1"/>
      <c r="W194" s="195"/>
      <c r="X194" s="195"/>
    </row>
    <row r="195" spans="17:24" x14ac:dyDescent="0.25">
      <c r="Q195" s="195"/>
      <c r="R195" s="195"/>
      <c r="S195" s="195"/>
      <c r="T195" s="195"/>
      <c r="U195" s="1"/>
      <c r="W195" s="195"/>
      <c r="X195" s="195"/>
    </row>
    <row r="196" spans="17:24" x14ac:dyDescent="0.25">
      <c r="Q196" s="195"/>
      <c r="R196" s="195"/>
      <c r="S196" s="195"/>
      <c r="T196" s="195"/>
      <c r="U196" s="1"/>
      <c r="W196" s="195"/>
      <c r="X196" s="195"/>
    </row>
    <row r="197" spans="17:24" x14ac:dyDescent="0.25">
      <c r="Q197" s="195"/>
      <c r="R197" s="195"/>
      <c r="S197" s="195"/>
      <c r="T197" s="195"/>
      <c r="U197" s="1"/>
      <c r="W197" s="195"/>
      <c r="X197" s="195"/>
    </row>
    <row r="198" spans="17:24" x14ac:dyDescent="0.25">
      <c r="Q198" s="195"/>
      <c r="R198" s="195"/>
      <c r="S198" s="195"/>
      <c r="T198" s="195"/>
      <c r="U198" s="1"/>
      <c r="W198" s="195"/>
      <c r="X198" s="195"/>
    </row>
    <row r="199" spans="17:24" x14ac:dyDescent="0.25">
      <c r="Q199" s="195"/>
      <c r="R199" s="195"/>
      <c r="S199" s="195"/>
      <c r="T199" s="195"/>
      <c r="U199" s="1"/>
      <c r="W199" s="195"/>
      <c r="X199" s="195"/>
    </row>
    <row r="200" spans="17:24" x14ac:dyDescent="0.25">
      <c r="Q200" s="195"/>
      <c r="R200" s="195"/>
      <c r="S200" s="195"/>
      <c r="T200" s="195"/>
      <c r="U200" s="1"/>
      <c r="W200" s="195"/>
      <c r="X200" s="195"/>
    </row>
    <row r="201" spans="17:24" x14ac:dyDescent="0.25">
      <c r="Q201" s="195"/>
      <c r="R201" s="195"/>
      <c r="S201" s="195"/>
      <c r="T201" s="195"/>
      <c r="U201" s="1"/>
      <c r="W201" s="195"/>
      <c r="X201" s="195"/>
    </row>
    <row r="202" spans="17:24" x14ac:dyDescent="0.25">
      <c r="Q202" s="195"/>
      <c r="R202" s="195"/>
      <c r="S202" s="195"/>
      <c r="T202" s="195"/>
      <c r="U202" s="1"/>
      <c r="W202" s="195"/>
      <c r="X202" s="195"/>
    </row>
    <row r="203" spans="17:24" x14ac:dyDescent="0.25">
      <c r="Q203" s="195"/>
      <c r="R203" s="195"/>
      <c r="S203" s="195"/>
      <c r="T203" s="195"/>
      <c r="U203" s="1"/>
      <c r="W203" s="195"/>
      <c r="X203" s="195"/>
    </row>
    <row r="204" spans="17:24" x14ac:dyDescent="0.25">
      <c r="Q204" s="195"/>
      <c r="R204" s="195"/>
      <c r="S204" s="195"/>
      <c r="T204" s="195"/>
      <c r="U204" s="1"/>
      <c r="W204" s="195"/>
      <c r="X204" s="195"/>
    </row>
    <row r="205" spans="17:24" x14ac:dyDescent="0.25">
      <c r="Q205" s="195"/>
      <c r="R205" s="195"/>
      <c r="S205" s="195"/>
      <c r="T205" s="195"/>
      <c r="U205" s="1"/>
      <c r="W205" s="195"/>
      <c r="X205" s="195"/>
    </row>
    <row r="206" spans="17:24" x14ac:dyDescent="0.25">
      <c r="Q206" s="195"/>
      <c r="R206" s="195"/>
      <c r="S206" s="195"/>
      <c r="T206" s="195"/>
      <c r="U206" s="1"/>
      <c r="W206" s="195"/>
      <c r="X206" s="195"/>
    </row>
    <row r="207" spans="17:24" x14ac:dyDescent="0.25">
      <c r="Q207" s="195"/>
      <c r="R207" s="195"/>
      <c r="S207" s="195"/>
      <c r="T207" s="195"/>
      <c r="U207" s="1"/>
      <c r="W207" s="195"/>
      <c r="X207" s="195"/>
    </row>
    <row r="208" spans="17:24" x14ac:dyDescent="0.25">
      <c r="Q208" s="195"/>
      <c r="R208" s="195"/>
      <c r="S208" s="195"/>
      <c r="T208" s="195"/>
      <c r="U208" s="1"/>
      <c r="W208" s="195"/>
      <c r="X208" s="195"/>
    </row>
    <row r="209" spans="17:24" x14ac:dyDescent="0.25">
      <c r="Q209" s="195"/>
      <c r="R209" s="195"/>
      <c r="S209" s="195"/>
      <c r="T209" s="195"/>
      <c r="U209" s="1"/>
      <c r="W209" s="195"/>
      <c r="X209" s="195"/>
    </row>
    <row r="210" spans="17:24" x14ac:dyDescent="0.25">
      <c r="Q210" s="195"/>
      <c r="R210" s="195"/>
      <c r="S210" s="195"/>
      <c r="T210" s="195"/>
      <c r="U210" s="1"/>
      <c r="W210" s="195"/>
      <c r="X210" s="195"/>
    </row>
    <row r="211" spans="17:24" x14ac:dyDescent="0.25">
      <c r="Q211" s="195"/>
      <c r="R211" s="195"/>
      <c r="S211" s="195"/>
      <c r="T211" s="195"/>
      <c r="U211" s="1"/>
      <c r="W211" s="195"/>
      <c r="X211" s="195"/>
    </row>
    <row r="212" spans="17:24" x14ac:dyDescent="0.25">
      <c r="Q212" s="195"/>
      <c r="R212" s="195"/>
      <c r="S212" s="195"/>
      <c r="T212" s="195"/>
      <c r="U212" s="1"/>
      <c r="W212" s="195"/>
      <c r="X212" s="195"/>
    </row>
    <row r="213" spans="17:24" x14ac:dyDescent="0.25">
      <c r="Q213" s="195"/>
      <c r="R213" s="195"/>
      <c r="S213" s="195"/>
      <c r="T213" s="195"/>
      <c r="U213" s="1"/>
      <c r="W213" s="195"/>
      <c r="X213" s="195"/>
    </row>
    <row r="214" spans="17:24" x14ac:dyDescent="0.25">
      <c r="Q214" s="195"/>
      <c r="R214" s="195"/>
      <c r="S214" s="195"/>
      <c r="T214" s="195"/>
      <c r="U214" s="1"/>
      <c r="W214" s="195"/>
      <c r="X214" s="195"/>
    </row>
    <row r="215" spans="17:24" x14ac:dyDescent="0.25">
      <c r="Q215" s="195"/>
      <c r="R215" s="195"/>
      <c r="S215" s="195"/>
      <c r="T215" s="195"/>
      <c r="U215" s="1"/>
      <c r="W215" s="195"/>
      <c r="X215" s="195"/>
    </row>
    <row r="216" spans="17:24" x14ac:dyDescent="0.25">
      <c r="Q216" s="195"/>
      <c r="R216" s="195"/>
      <c r="S216" s="195"/>
      <c r="T216" s="195"/>
      <c r="U216" s="1"/>
      <c r="W216" s="195"/>
      <c r="X216" s="195"/>
    </row>
    <row r="217" spans="17:24" x14ac:dyDescent="0.25">
      <c r="Q217" s="195"/>
      <c r="R217" s="195"/>
      <c r="S217" s="195"/>
      <c r="T217" s="195"/>
      <c r="U217" s="1"/>
      <c r="W217" s="195"/>
      <c r="X217" s="195"/>
    </row>
    <row r="218" spans="17:24" x14ac:dyDescent="0.25">
      <c r="Q218" s="195"/>
      <c r="R218" s="195"/>
      <c r="S218" s="195"/>
      <c r="T218" s="195"/>
      <c r="U218" s="1"/>
      <c r="W218" s="195"/>
      <c r="X218" s="195"/>
    </row>
    <row r="219" spans="17:24" x14ac:dyDescent="0.25">
      <c r="Q219" s="195"/>
      <c r="R219" s="195"/>
      <c r="S219" s="195"/>
      <c r="T219" s="195"/>
      <c r="U219" s="1"/>
      <c r="W219" s="195"/>
      <c r="X219" s="195"/>
    </row>
    <row r="220" spans="17:24" x14ac:dyDescent="0.25">
      <c r="Q220" s="195"/>
      <c r="R220" s="195"/>
      <c r="S220" s="195"/>
      <c r="T220" s="195"/>
      <c r="U220" s="1"/>
      <c r="W220" s="195"/>
      <c r="X220" s="195"/>
    </row>
    <row r="221" spans="17:24" x14ac:dyDescent="0.25">
      <c r="Q221" s="195"/>
      <c r="R221" s="195"/>
      <c r="S221" s="195"/>
      <c r="T221" s="195"/>
      <c r="U221" s="1"/>
      <c r="W221" s="195"/>
      <c r="X221" s="195"/>
    </row>
    <row r="222" spans="17:24" x14ac:dyDescent="0.25">
      <c r="Q222" s="195"/>
      <c r="R222" s="195"/>
      <c r="S222" s="195"/>
      <c r="T222" s="195"/>
      <c r="U222" s="1"/>
      <c r="W222" s="195"/>
      <c r="X222" s="195"/>
    </row>
    <row r="223" spans="17:24" x14ac:dyDescent="0.25">
      <c r="Q223" s="195"/>
      <c r="R223" s="195"/>
      <c r="S223" s="195"/>
      <c r="T223" s="195"/>
      <c r="U223" s="1"/>
      <c r="W223" s="195"/>
      <c r="X223" s="195"/>
    </row>
    <row r="224" spans="17:24" x14ac:dyDescent="0.25">
      <c r="Q224" s="195"/>
      <c r="R224" s="195"/>
      <c r="S224" s="195"/>
      <c r="T224" s="195"/>
      <c r="U224" s="1"/>
      <c r="W224" s="195"/>
      <c r="X224" s="195"/>
    </row>
    <row r="225" spans="17:24" x14ac:dyDescent="0.25">
      <c r="Q225" s="195"/>
      <c r="R225" s="195"/>
      <c r="S225" s="195"/>
      <c r="T225" s="195"/>
      <c r="U225" s="1"/>
      <c r="W225" s="195"/>
      <c r="X225" s="195"/>
    </row>
    <row r="226" spans="17:24" x14ac:dyDescent="0.25">
      <c r="Q226" s="195"/>
      <c r="R226" s="195"/>
      <c r="S226" s="195"/>
      <c r="T226" s="195"/>
      <c r="U226" s="1"/>
      <c r="W226" s="195"/>
      <c r="X226" s="195"/>
    </row>
    <row r="227" spans="17:24" x14ac:dyDescent="0.25">
      <c r="Q227" s="195"/>
      <c r="R227" s="195"/>
      <c r="S227" s="195"/>
      <c r="T227" s="195"/>
      <c r="U227" s="1"/>
      <c r="W227" s="195"/>
      <c r="X227" s="195"/>
    </row>
    <row r="228" spans="17:24" x14ac:dyDescent="0.25">
      <c r="Q228" s="195"/>
      <c r="R228" s="195"/>
      <c r="S228" s="195"/>
      <c r="T228" s="195"/>
      <c r="U228" s="1"/>
      <c r="W228" s="195"/>
      <c r="X228" s="195"/>
    </row>
    <row r="229" spans="17:24" x14ac:dyDescent="0.25">
      <c r="Q229" s="195"/>
      <c r="R229" s="195"/>
      <c r="S229" s="195"/>
      <c r="T229" s="195"/>
      <c r="U229" s="1"/>
      <c r="W229" s="195"/>
      <c r="X229" s="195"/>
    </row>
    <row r="230" spans="17:24" x14ac:dyDescent="0.25">
      <c r="Q230" s="195"/>
      <c r="R230" s="195"/>
      <c r="S230" s="195"/>
      <c r="T230" s="195"/>
      <c r="U230" s="1"/>
      <c r="W230" s="195"/>
      <c r="X230" s="195"/>
    </row>
    <row r="231" spans="17:24" x14ac:dyDescent="0.25">
      <c r="Q231" s="195"/>
      <c r="R231" s="195"/>
      <c r="S231" s="195"/>
      <c r="T231" s="195"/>
      <c r="U231" s="1"/>
      <c r="W231" s="195"/>
      <c r="X231" s="195"/>
    </row>
    <row r="232" spans="17:24" x14ac:dyDescent="0.25">
      <c r="Q232" s="195"/>
      <c r="R232" s="195"/>
      <c r="S232" s="195"/>
      <c r="T232" s="195"/>
      <c r="U232" s="1"/>
      <c r="W232" s="195"/>
      <c r="X232" s="195"/>
    </row>
    <row r="233" spans="17:24" x14ac:dyDescent="0.25">
      <c r="Q233" s="195"/>
      <c r="R233" s="195"/>
      <c r="S233" s="195"/>
      <c r="T233" s="195"/>
      <c r="U233" s="1"/>
      <c r="W233" s="195"/>
      <c r="X233" s="195"/>
    </row>
    <row r="234" spans="17:24" x14ac:dyDescent="0.25">
      <c r="Q234" s="195"/>
      <c r="R234" s="195"/>
      <c r="S234" s="195"/>
      <c r="T234" s="195"/>
      <c r="U234" s="1"/>
      <c r="W234" s="195"/>
      <c r="X234" s="195"/>
    </row>
    <row r="235" spans="17:24" x14ac:dyDescent="0.25">
      <c r="Q235" s="195"/>
      <c r="R235" s="195"/>
      <c r="S235" s="195"/>
      <c r="T235" s="195"/>
      <c r="U235" s="1"/>
      <c r="W235" s="195"/>
      <c r="X235" s="195"/>
    </row>
    <row r="236" spans="17:24" x14ac:dyDescent="0.25">
      <c r="Q236" s="195"/>
      <c r="R236" s="195"/>
      <c r="S236" s="195"/>
      <c r="T236" s="195"/>
      <c r="U236" s="1"/>
      <c r="W236" s="195"/>
      <c r="X236" s="195"/>
    </row>
    <row r="237" spans="17:24" x14ac:dyDescent="0.25">
      <c r="Q237" s="195"/>
      <c r="R237" s="195"/>
      <c r="S237" s="195"/>
      <c r="T237" s="195"/>
      <c r="U237" s="1"/>
      <c r="W237" s="195"/>
      <c r="X237" s="195"/>
    </row>
    <row r="238" spans="17:24" x14ac:dyDescent="0.25">
      <c r="Q238" s="195"/>
      <c r="R238" s="195"/>
      <c r="S238" s="195"/>
      <c r="T238" s="195"/>
      <c r="U238" s="1"/>
      <c r="W238" s="195"/>
      <c r="X238" s="195"/>
    </row>
    <row r="239" spans="17:24" x14ac:dyDescent="0.25">
      <c r="Q239" s="195"/>
      <c r="R239" s="195"/>
      <c r="S239" s="195"/>
      <c r="T239" s="195"/>
      <c r="U239" s="1"/>
      <c r="W239" s="195"/>
      <c r="X239" s="195"/>
    </row>
    <row r="240" spans="17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</sheetData>
  <mergeCells count="52">
    <mergeCell ref="B24:G24"/>
    <mergeCell ref="B26:F26"/>
    <mergeCell ref="B20:F20"/>
    <mergeCell ref="A7:I8"/>
    <mergeCell ref="J7:K8"/>
    <mergeCell ref="B18:F18"/>
    <mergeCell ref="L7:L8"/>
    <mergeCell ref="M7:M8"/>
    <mergeCell ref="U7:U8"/>
    <mergeCell ref="V7:V8"/>
    <mergeCell ref="A9:I9"/>
    <mergeCell ref="J9:K9"/>
    <mergeCell ref="N7:N8"/>
    <mergeCell ref="O7:P7"/>
    <mergeCell ref="Q7:S7"/>
    <mergeCell ref="B28:F28"/>
    <mergeCell ref="B30:F30"/>
    <mergeCell ref="B36:F36"/>
    <mergeCell ref="A134:J134"/>
    <mergeCell ref="B40:F40"/>
    <mergeCell ref="B42:F42"/>
    <mergeCell ref="B50:F50"/>
    <mergeCell ref="B62:F62"/>
    <mergeCell ref="B74:F74"/>
    <mergeCell ref="B76:F76"/>
    <mergeCell ref="B82:F82"/>
    <mergeCell ref="B84:F84"/>
    <mergeCell ref="B90:F90"/>
    <mergeCell ref="B92:F92"/>
    <mergeCell ref="B109:G109"/>
    <mergeCell ref="B38:F38"/>
    <mergeCell ref="K135:L135"/>
    <mergeCell ref="R135:T135"/>
    <mergeCell ref="A136:J136"/>
    <mergeCell ref="N136:Q136"/>
    <mergeCell ref="R136:U136"/>
    <mergeCell ref="A143:J143"/>
    <mergeCell ref="N143:Q143"/>
    <mergeCell ref="R143:U143"/>
    <mergeCell ref="D144:H144"/>
    <mergeCell ref="A3:AB3"/>
    <mergeCell ref="A4:AB4"/>
    <mergeCell ref="A5:AB5"/>
    <mergeCell ref="AB83:AB85"/>
    <mergeCell ref="D137:J137"/>
    <mergeCell ref="N137:Q137"/>
    <mergeCell ref="R137:U137"/>
    <mergeCell ref="A141:J141"/>
    <mergeCell ref="A142:J142"/>
    <mergeCell ref="N142:Q142"/>
    <mergeCell ref="R142:U142"/>
    <mergeCell ref="D135:J135"/>
  </mergeCells>
  <pageMargins left="0.25" right="0.25" top="0.75" bottom="0.75" header="0.3" footer="0.3"/>
  <pageSetup paperSize="5" scale="7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71"/>
  <sheetViews>
    <sheetView topLeftCell="J74" zoomScale="70" zoomScaleNormal="70" workbookViewId="0">
      <selection activeCell="R110" sqref="R110"/>
    </sheetView>
  </sheetViews>
  <sheetFormatPr defaultRowHeight="15.75" x14ac:dyDescent="0.25"/>
  <cols>
    <col min="1" max="1" width="5.28515625" style="1" hidden="1" customWidth="1"/>
    <col min="2" max="2" width="3.7109375" style="1" hidden="1" customWidth="1"/>
    <col min="3" max="3" width="2" style="1" hidden="1" customWidth="1"/>
    <col min="4" max="5" width="8.7109375" style="1" hidden="1" customWidth="1"/>
    <col min="6" max="7" width="8.5703125" style="1" hidden="1" customWidth="1"/>
    <col min="8" max="8" width="0.28515625" style="1" hidden="1" customWidth="1"/>
    <col min="9" max="9" width="6.85546875" style="1" hidden="1" customWidth="1"/>
    <col min="10" max="10" width="7" style="1" customWidth="1"/>
    <col min="11" max="11" width="77.5703125" style="1" customWidth="1"/>
    <col min="12" max="12" width="16.140625" style="1" hidden="1" customWidth="1"/>
    <col min="13" max="13" width="20.42578125" style="1" hidden="1" customWidth="1"/>
    <col min="14" max="14" width="20.42578125" style="1" customWidth="1"/>
    <col min="15" max="15" width="14.140625" style="1" hidden="1" customWidth="1"/>
    <col min="16" max="16" width="14.5703125" style="1" hidden="1" customWidth="1"/>
    <col min="17" max="17" width="17.42578125" style="1" customWidth="1"/>
    <col min="18" max="18" width="17.140625" style="196" customWidth="1"/>
    <col min="19" max="19" width="15.85546875" style="1" customWidth="1"/>
    <col min="20" max="20" width="14.42578125" style="1" hidden="1" customWidth="1"/>
    <col min="21" max="21" width="18.5703125" style="4" customWidth="1"/>
    <col min="22" max="22" width="18.140625" style="1" hidden="1" customWidth="1"/>
    <col min="23" max="24" width="13.85546875" style="1" hidden="1" customWidth="1"/>
    <col min="25" max="31" width="9.140625" style="1"/>
    <col min="32" max="32" width="13" style="1" bestFit="1" customWidth="1"/>
    <col min="33" max="16384" width="9.140625" style="1"/>
  </cols>
  <sheetData>
    <row r="1" spans="1:26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6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6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5"/>
    </row>
    <row r="4" spans="1:26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5"/>
    </row>
    <row r="5" spans="1:26" ht="18" x14ac:dyDescent="0.25">
      <c r="A5" s="482" t="s">
        <v>273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5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6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276</v>
      </c>
      <c r="M7" s="488" t="s">
        <v>7</v>
      </c>
      <c r="N7" s="488" t="s">
        <v>277</v>
      </c>
      <c r="O7" s="490" t="s">
        <v>9</v>
      </c>
      <c r="P7" s="490"/>
      <c r="Q7" s="491" t="s">
        <v>10</v>
      </c>
      <c r="R7" s="492"/>
      <c r="S7" s="492"/>
      <c r="T7" s="11"/>
      <c r="U7" s="493" t="s">
        <v>278</v>
      </c>
      <c r="V7" s="490" t="s">
        <v>12</v>
      </c>
      <c r="W7" s="11"/>
      <c r="X7" s="11"/>
    </row>
    <row r="8" spans="1:26" ht="42.75" customHeight="1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287" t="s">
        <v>14</v>
      </c>
      <c r="Q8" s="287" t="s">
        <v>13</v>
      </c>
      <c r="R8" s="14" t="s">
        <v>14</v>
      </c>
      <c r="S8" s="287" t="s">
        <v>15</v>
      </c>
      <c r="T8" s="287" t="s">
        <v>16</v>
      </c>
      <c r="U8" s="493"/>
      <c r="V8" s="490"/>
      <c r="W8" s="287" t="s">
        <v>17</v>
      </c>
      <c r="X8" s="287" t="s">
        <v>17</v>
      </c>
    </row>
    <row r="9" spans="1:26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 t="s">
        <v>19</v>
      </c>
      <c r="K9" s="494"/>
      <c r="L9" s="287" t="s">
        <v>20</v>
      </c>
      <c r="M9" s="287" t="s">
        <v>21</v>
      </c>
      <c r="N9" s="287" t="s">
        <v>22</v>
      </c>
      <c r="O9" s="287" t="s">
        <v>22</v>
      </c>
      <c r="P9" s="287" t="s">
        <v>23</v>
      </c>
      <c r="Q9" s="287" t="s">
        <v>24</v>
      </c>
      <c r="R9" s="14" t="s">
        <v>25</v>
      </c>
      <c r="S9" s="287" t="s">
        <v>26</v>
      </c>
      <c r="T9" s="287" t="s">
        <v>27</v>
      </c>
      <c r="U9" s="287" t="s">
        <v>28</v>
      </c>
      <c r="V9" s="15"/>
      <c r="W9" s="287" t="s">
        <v>27</v>
      </c>
      <c r="X9" s="287" t="s">
        <v>27</v>
      </c>
    </row>
    <row r="10" spans="1:26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f>L12+L94</f>
        <v>2184252000</v>
      </c>
      <c r="M10" s="19">
        <f>M12+M94</f>
        <v>0</v>
      </c>
      <c r="N10" s="19">
        <f>N12+N94</f>
        <v>2184252000</v>
      </c>
      <c r="O10" s="19" t="e">
        <f>O12</f>
        <v>#REF!</v>
      </c>
      <c r="P10" s="19"/>
      <c r="Q10" s="19">
        <f>Q12+Q94</f>
        <v>290816510</v>
      </c>
      <c r="R10" s="19">
        <v>439812611</v>
      </c>
      <c r="S10" s="19">
        <f>Q10+R10</f>
        <v>730629121</v>
      </c>
      <c r="T10" s="20">
        <f>S10/N10*100</f>
        <v>33.449854732878812</v>
      </c>
      <c r="U10" s="21">
        <f>N10-S10</f>
        <v>1453622879</v>
      </c>
      <c r="V10" s="21">
        <f>U10/2</f>
        <v>726811439.5</v>
      </c>
      <c r="W10" s="22">
        <f>Q10/N10*100</f>
        <v>13.31423800916744</v>
      </c>
      <c r="X10" s="22">
        <f>Q10/N10*100</f>
        <v>13.31423800916744</v>
      </c>
    </row>
    <row r="11" spans="1:26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</row>
    <row r="12" spans="1:26" x14ac:dyDescent="0.25">
      <c r="A12" s="34"/>
      <c r="B12" s="35" t="s">
        <v>31</v>
      </c>
      <c r="C12" s="36"/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L14+L16+L18+L20+L22+L24+L26+L28+L30+L36+L38+L40+L42+L50+L62+L74+L76+L82+L84+L90+L92</f>
        <v>1528107000</v>
      </c>
      <c r="M12" s="41">
        <f>M14+M16+M18+M20+M22+M24+M26+M28+M30+M36+M38+M40+M42+M50+M62+M74+M76+M82+M84+M90+M92</f>
        <v>0</v>
      </c>
      <c r="N12" s="41">
        <f>L12-M12</f>
        <v>1528107000</v>
      </c>
      <c r="O12" s="41" t="e">
        <f>#REF!</f>
        <v>#REF!</v>
      </c>
      <c r="P12" s="41"/>
      <c r="Q12" s="41">
        <f>Q14+Q16+Q18+Q20+Q22+Q24+Q26+Q28+Q30+Q36+Q38+Q40+Q42+Q50+Q62+Q74+Q76+Q82+Q84+Q90+Q92</f>
        <v>244236510</v>
      </c>
      <c r="R12" s="41">
        <v>360592611</v>
      </c>
      <c r="S12" s="41">
        <f>Q12+R12</f>
        <v>604829121</v>
      </c>
      <c r="T12" s="20">
        <f>S12/N12*100</f>
        <v>39.580286000914853</v>
      </c>
      <c r="U12" s="42">
        <f>N12-S12</f>
        <v>923277879</v>
      </c>
      <c r="V12" s="42">
        <f>U12/2</f>
        <v>461638939.5</v>
      </c>
      <c r="W12" s="22">
        <f t="shared" ref="W12:W26" si="0">Q12/N12*100</f>
        <v>15.982945565984579</v>
      </c>
      <c r="X12" s="22">
        <f t="shared" ref="X12:X74" si="1">Q12/N12*100</f>
        <v>15.982945565984579</v>
      </c>
    </row>
    <row r="13" spans="1:26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76" si="2">U13/2</f>
        <v>0</v>
      </c>
      <c r="W13" s="22"/>
      <c r="X13" s="22"/>
    </row>
    <row r="14" spans="1:26" ht="17.25" x14ac:dyDescent="0.3">
      <c r="A14" s="232"/>
      <c r="B14" s="313" t="s">
        <v>236</v>
      </c>
      <c r="C14" s="314"/>
      <c r="D14" s="315"/>
      <c r="E14" s="316"/>
      <c r="F14" s="316"/>
      <c r="G14" s="317"/>
      <c r="H14" s="318"/>
      <c r="I14" s="319"/>
      <c r="J14" s="318"/>
      <c r="K14" s="361" t="s">
        <v>184</v>
      </c>
      <c r="L14" s="43">
        <v>42000000</v>
      </c>
      <c r="M14" s="43">
        <v>0</v>
      </c>
      <c r="N14" s="43">
        <f>L14-M14</f>
        <v>42000000</v>
      </c>
      <c r="O14" s="337"/>
      <c r="P14" s="337"/>
      <c r="Q14" s="43">
        <v>3500000</v>
      </c>
      <c r="R14" s="43">
        <v>10500000</v>
      </c>
      <c r="S14" s="43">
        <f t="shared" ref="S14:S16" si="3">Q14+R14</f>
        <v>14000000</v>
      </c>
      <c r="T14" s="327">
        <f>S14/N14*100</f>
        <v>33.333333333333329</v>
      </c>
      <c r="U14" s="43">
        <f>N14-S14</f>
        <v>28000000</v>
      </c>
      <c r="V14" s="42">
        <f t="shared" si="2"/>
        <v>14000000</v>
      </c>
      <c r="W14" s="22">
        <f>Q14/N14*100</f>
        <v>8.3333333333333321</v>
      </c>
      <c r="X14" s="22">
        <f t="shared" si="1"/>
        <v>8.3333333333333321</v>
      </c>
      <c r="Z14" s="22">
        <f>Q14/N14*100</f>
        <v>8.3333333333333321</v>
      </c>
    </row>
    <row r="15" spans="1:26" x14ac:dyDescent="0.25">
      <c r="A15" s="240"/>
      <c r="B15" s="322"/>
      <c r="C15" s="322"/>
      <c r="D15" s="322"/>
      <c r="E15" s="323"/>
      <c r="F15" s="323"/>
      <c r="G15" s="323"/>
      <c r="H15" s="323"/>
      <c r="I15" s="323"/>
      <c r="J15" s="362"/>
      <c r="K15" s="363"/>
      <c r="L15" s="43"/>
      <c r="M15" s="43"/>
      <c r="N15" s="43"/>
      <c r="O15" s="43"/>
      <c r="P15" s="43"/>
      <c r="Q15" s="363"/>
      <c r="R15" s="364"/>
      <c r="S15" s="364"/>
      <c r="T15" s="327"/>
      <c r="U15" s="43"/>
      <c r="V15" s="42">
        <f t="shared" si="2"/>
        <v>0</v>
      </c>
      <c r="W15" s="22"/>
      <c r="X15" s="22"/>
      <c r="Z15" s="22" t="e">
        <f t="shared" ref="Z15:Z78" si="4">Q15/N15*100</f>
        <v>#DIV/0!</v>
      </c>
    </row>
    <row r="16" spans="1:26" ht="17.25" x14ac:dyDescent="0.3">
      <c r="A16" s="232"/>
      <c r="B16" s="313" t="s">
        <v>237</v>
      </c>
      <c r="C16" s="328"/>
      <c r="D16" s="315"/>
      <c r="E16" s="316"/>
      <c r="F16" s="316"/>
      <c r="G16" s="317"/>
      <c r="H16" s="318"/>
      <c r="I16" s="319"/>
      <c r="J16" s="318"/>
      <c r="K16" s="361" t="s">
        <v>185</v>
      </c>
      <c r="L16" s="43">
        <v>4740000</v>
      </c>
      <c r="M16" s="43">
        <v>0</v>
      </c>
      <c r="N16" s="43">
        <f>L16-M16</f>
        <v>4740000</v>
      </c>
      <c r="O16" s="337"/>
      <c r="P16" s="337"/>
      <c r="Q16" s="43">
        <v>0</v>
      </c>
      <c r="R16" s="43">
        <v>1620000</v>
      </c>
      <c r="S16" s="43">
        <f t="shared" si="3"/>
        <v>1620000</v>
      </c>
      <c r="T16" s="327">
        <f>S16/N16*100</f>
        <v>34.177215189873415</v>
      </c>
      <c r="U16" s="43">
        <f t="shared" ref="U16:U26" si="5">N16-S16</f>
        <v>3120000</v>
      </c>
      <c r="V16" s="42">
        <f t="shared" si="2"/>
        <v>1560000</v>
      </c>
      <c r="W16" s="22">
        <f t="shared" si="0"/>
        <v>0</v>
      </c>
      <c r="X16" s="22">
        <f t="shared" si="1"/>
        <v>0</v>
      </c>
      <c r="Z16" s="65">
        <f t="shared" si="4"/>
        <v>0</v>
      </c>
    </row>
    <row r="17" spans="1:26" x14ac:dyDescent="0.25">
      <c r="A17" s="240"/>
      <c r="B17" s="329"/>
      <c r="C17" s="329"/>
      <c r="D17" s="322"/>
      <c r="E17" s="323"/>
      <c r="F17" s="323"/>
      <c r="G17" s="323"/>
      <c r="H17" s="323"/>
      <c r="I17" s="323"/>
      <c r="J17" s="362"/>
      <c r="K17" s="365"/>
      <c r="L17" s="43"/>
      <c r="M17" s="43"/>
      <c r="N17" s="43"/>
      <c r="O17" s="43"/>
      <c r="P17" s="43"/>
      <c r="Q17" s="363"/>
      <c r="R17" s="364"/>
      <c r="S17" s="364"/>
      <c r="T17" s="327"/>
      <c r="U17" s="43"/>
      <c r="V17" s="42">
        <f t="shared" si="2"/>
        <v>0</v>
      </c>
      <c r="W17" s="22"/>
      <c r="X17" s="22"/>
      <c r="Z17" s="22" t="e">
        <f t="shared" si="4"/>
        <v>#DIV/0!</v>
      </c>
    </row>
    <row r="18" spans="1:26" ht="17.25" x14ac:dyDescent="0.3">
      <c r="A18" s="240"/>
      <c r="B18" s="511" t="s">
        <v>43</v>
      </c>
      <c r="C18" s="512"/>
      <c r="D18" s="512"/>
      <c r="E18" s="512"/>
      <c r="F18" s="513"/>
      <c r="G18" s="323"/>
      <c r="H18" s="323"/>
      <c r="I18" s="323"/>
      <c r="J18" s="362"/>
      <c r="K18" s="361" t="s">
        <v>186</v>
      </c>
      <c r="L18" s="43">
        <v>19754000</v>
      </c>
      <c r="M18" s="43">
        <v>0</v>
      </c>
      <c r="N18" s="43">
        <f>L18-M18</f>
        <v>19754000</v>
      </c>
      <c r="O18" s="43"/>
      <c r="P18" s="43"/>
      <c r="Q18" s="364">
        <v>0</v>
      </c>
      <c r="R18" s="364">
        <v>19693400</v>
      </c>
      <c r="S18" s="364">
        <f>Q18+R18</f>
        <v>19693400</v>
      </c>
      <c r="T18" s="327">
        <f>S18/N18*100</f>
        <v>99.693226688265668</v>
      </c>
      <c r="U18" s="43">
        <f t="shared" si="5"/>
        <v>60600</v>
      </c>
      <c r="V18" s="42">
        <f t="shared" si="2"/>
        <v>30300</v>
      </c>
      <c r="W18" s="22">
        <f t="shared" si="0"/>
        <v>0</v>
      </c>
      <c r="X18" s="22">
        <f t="shared" si="1"/>
        <v>0</v>
      </c>
      <c r="Z18" s="65">
        <f t="shared" si="4"/>
        <v>0</v>
      </c>
    </row>
    <row r="19" spans="1:26" x14ac:dyDescent="0.25">
      <c r="A19" s="240"/>
      <c r="B19" s="329"/>
      <c r="C19" s="329"/>
      <c r="D19" s="322"/>
      <c r="E19" s="323"/>
      <c r="F19" s="323"/>
      <c r="G19" s="323"/>
      <c r="H19" s="323"/>
      <c r="I19" s="323"/>
      <c r="J19" s="362"/>
      <c r="K19" s="365"/>
      <c r="L19" s="43"/>
      <c r="M19" s="43"/>
      <c r="N19" s="43"/>
      <c r="O19" s="43"/>
      <c r="P19" s="43"/>
      <c r="Q19" s="363"/>
      <c r="R19" s="364"/>
      <c r="S19" s="364"/>
      <c r="T19" s="327"/>
      <c r="U19" s="43"/>
      <c r="V19" s="42">
        <f t="shared" si="2"/>
        <v>0</v>
      </c>
      <c r="W19" s="22"/>
      <c r="X19" s="22"/>
      <c r="Z19" s="22" t="e">
        <f t="shared" si="4"/>
        <v>#DIV/0!</v>
      </c>
    </row>
    <row r="20" spans="1:26" ht="17.25" x14ac:dyDescent="0.3">
      <c r="A20" s="240"/>
      <c r="B20" s="511" t="s">
        <v>238</v>
      </c>
      <c r="C20" s="512"/>
      <c r="D20" s="512"/>
      <c r="E20" s="512"/>
      <c r="F20" s="513"/>
      <c r="G20" s="322"/>
      <c r="H20" s="322"/>
      <c r="I20" s="323"/>
      <c r="J20" s="362"/>
      <c r="K20" s="361" t="s">
        <v>92</v>
      </c>
      <c r="L20" s="43">
        <v>4468000</v>
      </c>
      <c r="M20" s="43">
        <v>0</v>
      </c>
      <c r="N20" s="43">
        <f>L20-M20</f>
        <v>4468000</v>
      </c>
      <c r="O20" s="337"/>
      <c r="P20" s="337"/>
      <c r="Q20" s="364">
        <v>168000</v>
      </c>
      <c r="R20" s="364">
        <v>764000</v>
      </c>
      <c r="S20" s="364">
        <f>Q20+R20</f>
        <v>932000</v>
      </c>
      <c r="T20" s="327">
        <f>S20/N20*100</f>
        <v>20.859444941808416</v>
      </c>
      <c r="U20" s="43">
        <f t="shared" si="5"/>
        <v>3536000</v>
      </c>
      <c r="V20" s="42">
        <f t="shared" si="2"/>
        <v>1768000</v>
      </c>
      <c r="W20" s="22">
        <f t="shared" si="0"/>
        <v>3.7600716204118174</v>
      </c>
      <c r="X20" s="22">
        <f t="shared" si="1"/>
        <v>3.7600716204118174</v>
      </c>
      <c r="Z20" s="65">
        <f t="shared" si="4"/>
        <v>3.7600716204118174</v>
      </c>
    </row>
    <row r="21" spans="1:26" x14ac:dyDescent="0.25">
      <c r="A21" s="240"/>
      <c r="B21" s="329"/>
      <c r="C21" s="331"/>
      <c r="D21" s="323"/>
      <c r="E21" s="323"/>
      <c r="F21" s="323"/>
      <c r="G21" s="322"/>
      <c r="H21" s="322"/>
      <c r="I21" s="323"/>
      <c r="J21" s="362"/>
      <c r="K21" s="366"/>
      <c r="L21" s="43"/>
      <c r="M21" s="43"/>
      <c r="N21" s="43"/>
      <c r="O21" s="337"/>
      <c r="P21" s="337"/>
      <c r="Q21" s="363"/>
      <c r="R21" s="364"/>
      <c r="S21" s="364"/>
      <c r="T21" s="327"/>
      <c r="U21" s="43"/>
      <c r="V21" s="42">
        <f t="shared" si="2"/>
        <v>0</v>
      </c>
      <c r="W21" s="22"/>
      <c r="X21" s="22"/>
      <c r="Z21" s="22" t="e">
        <f t="shared" si="4"/>
        <v>#DIV/0!</v>
      </c>
    </row>
    <row r="22" spans="1:26" ht="17.25" x14ac:dyDescent="0.3">
      <c r="A22" s="232"/>
      <c r="B22" s="313" t="s">
        <v>239</v>
      </c>
      <c r="C22" s="328"/>
      <c r="D22" s="315"/>
      <c r="E22" s="316"/>
      <c r="F22" s="316"/>
      <c r="G22" s="317"/>
      <c r="H22" s="319"/>
      <c r="I22" s="319"/>
      <c r="J22" s="312"/>
      <c r="K22" s="361" t="s">
        <v>187</v>
      </c>
      <c r="L22" s="367">
        <v>3020000</v>
      </c>
      <c r="M22" s="367">
        <v>0</v>
      </c>
      <c r="N22" s="43">
        <f>L22-M22</f>
        <v>3020000</v>
      </c>
      <c r="O22" s="367"/>
      <c r="P22" s="367"/>
      <c r="Q22" s="367">
        <v>0</v>
      </c>
      <c r="R22" s="367">
        <v>700000</v>
      </c>
      <c r="S22" s="367">
        <f t="shared" ref="S22" si="6">Q22+R22</f>
        <v>700000</v>
      </c>
      <c r="T22" s="327">
        <f>S22/N22*100</f>
        <v>23.178807947019866</v>
      </c>
      <c r="U22" s="43">
        <f t="shared" si="5"/>
        <v>2320000</v>
      </c>
      <c r="V22" s="42">
        <f t="shared" si="2"/>
        <v>1160000</v>
      </c>
      <c r="W22" s="22">
        <f t="shared" si="0"/>
        <v>0</v>
      </c>
      <c r="X22" s="22">
        <f t="shared" si="1"/>
        <v>0</v>
      </c>
      <c r="Z22" s="65">
        <f t="shared" si="4"/>
        <v>0</v>
      </c>
    </row>
    <row r="23" spans="1:26" x14ac:dyDescent="0.25">
      <c r="A23" s="240"/>
      <c r="B23" s="329"/>
      <c r="C23" s="331"/>
      <c r="D23" s="323"/>
      <c r="E23" s="323"/>
      <c r="F23" s="323"/>
      <c r="G23" s="322"/>
      <c r="H23" s="322"/>
      <c r="I23" s="323"/>
      <c r="J23" s="362"/>
      <c r="K23" s="368"/>
      <c r="L23" s="337"/>
      <c r="M23" s="337"/>
      <c r="N23" s="43"/>
      <c r="O23" s="337"/>
      <c r="P23" s="337"/>
      <c r="Q23" s="363"/>
      <c r="R23" s="364"/>
      <c r="S23" s="364"/>
      <c r="T23" s="327"/>
      <c r="U23" s="43"/>
      <c r="V23" s="42">
        <f t="shared" si="2"/>
        <v>0</v>
      </c>
      <c r="W23" s="22"/>
      <c r="X23" s="22"/>
      <c r="Z23" s="22" t="e">
        <f t="shared" si="4"/>
        <v>#DIV/0!</v>
      </c>
    </row>
    <row r="24" spans="1:26" ht="17.25" x14ac:dyDescent="0.3">
      <c r="A24" s="232"/>
      <c r="B24" s="511" t="s">
        <v>240</v>
      </c>
      <c r="C24" s="512"/>
      <c r="D24" s="512"/>
      <c r="E24" s="512"/>
      <c r="F24" s="512"/>
      <c r="G24" s="513"/>
      <c r="H24" s="318"/>
      <c r="I24" s="319"/>
      <c r="J24" s="312"/>
      <c r="K24" s="361" t="s">
        <v>88</v>
      </c>
      <c r="L24" s="43">
        <v>12200000</v>
      </c>
      <c r="M24" s="43">
        <v>0</v>
      </c>
      <c r="N24" s="43">
        <f>L24-M24</f>
        <v>12200000</v>
      </c>
      <c r="O24" s="43"/>
      <c r="P24" s="43"/>
      <c r="Q24" s="43">
        <v>6900000</v>
      </c>
      <c r="R24" s="43">
        <v>962000</v>
      </c>
      <c r="S24" s="43">
        <f t="shared" ref="S24" si="7">Q24+R24</f>
        <v>7862000</v>
      </c>
      <c r="T24" s="327">
        <f>S24/N24*100</f>
        <v>64.442622950819668</v>
      </c>
      <c r="U24" s="43">
        <f t="shared" si="5"/>
        <v>4338000</v>
      </c>
      <c r="V24" s="42">
        <f t="shared" si="2"/>
        <v>2169000</v>
      </c>
      <c r="W24" s="22">
        <f t="shared" si="0"/>
        <v>56.557377049180324</v>
      </c>
      <c r="X24" s="22">
        <f>Q24/N24*100</f>
        <v>56.557377049180324</v>
      </c>
      <c r="Z24" s="65">
        <f t="shared" si="4"/>
        <v>56.557377049180324</v>
      </c>
    </row>
    <row r="25" spans="1:26" x14ac:dyDescent="0.25">
      <c r="A25" s="240"/>
      <c r="B25" s="329"/>
      <c r="C25" s="331"/>
      <c r="D25" s="323"/>
      <c r="E25" s="323"/>
      <c r="F25" s="323"/>
      <c r="G25" s="322"/>
      <c r="H25" s="322"/>
      <c r="I25" s="323"/>
      <c r="J25" s="362"/>
      <c r="K25" s="368"/>
      <c r="L25" s="337"/>
      <c r="M25" s="337"/>
      <c r="N25" s="337"/>
      <c r="O25" s="337"/>
      <c r="P25" s="337"/>
      <c r="Q25" s="363"/>
      <c r="R25" s="364"/>
      <c r="S25" s="364"/>
      <c r="T25" s="327"/>
      <c r="U25" s="43"/>
      <c r="V25" s="42">
        <f t="shared" si="2"/>
        <v>0</v>
      </c>
      <c r="W25" s="22"/>
      <c r="X25" s="22"/>
      <c r="Z25" s="22" t="e">
        <f t="shared" si="4"/>
        <v>#DIV/0!</v>
      </c>
    </row>
    <row r="26" spans="1:26" ht="17.25" x14ac:dyDescent="0.3">
      <c r="A26" s="240"/>
      <c r="B26" s="511" t="s">
        <v>241</v>
      </c>
      <c r="C26" s="512"/>
      <c r="D26" s="512"/>
      <c r="E26" s="512"/>
      <c r="F26" s="513"/>
      <c r="G26" s="322"/>
      <c r="H26" s="322"/>
      <c r="I26" s="323"/>
      <c r="J26" s="362"/>
      <c r="K26" s="361" t="s">
        <v>188</v>
      </c>
      <c r="L26" s="43">
        <v>3600000</v>
      </c>
      <c r="M26" s="43">
        <v>0</v>
      </c>
      <c r="N26" s="43">
        <f t="shared" ref="N26:N82" si="8">L26-M26</f>
        <v>3600000</v>
      </c>
      <c r="O26" s="337"/>
      <c r="P26" s="337"/>
      <c r="Q26" s="364">
        <v>600000</v>
      </c>
      <c r="R26" s="364">
        <v>600000</v>
      </c>
      <c r="S26" s="364">
        <f>Q26+R26</f>
        <v>1200000</v>
      </c>
      <c r="T26" s="327">
        <f>S26/N26*100</f>
        <v>33.333333333333329</v>
      </c>
      <c r="U26" s="43">
        <f t="shared" si="5"/>
        <v>2400000</v>
      </c>
      <c r="V26" s="42">
        <f t="shared" si="2"/>
        <v>1200000</v>
      </c>
      <c r="W26" s="22">
        <f t="shared" si="0"/>
        <v>16.666666666666664</v>
      </c>
      <c r="X26" s="22">
        <f t="shared" si="1"/>
        <v>16.666666666666664</v>
      </c>
      <c r="Z26" s="65">
        <f t="shared" si="4"/>
        <v>16.666666666666664</v>
      </c>
    </row>
    <row r="27" spans="1:26" x14ac:dyDescent="0.25">
      <c r="A27" s="240"/>
      <c r="B27" s="329"/>
      <c r="C27" s="331"/>
      <c r="D27" s="323"/>
      <c r="E27" s="323"/>
      <c r="F27" s="323"/>
      <c r="G27" s="322"/>
      <c r="H27" s="322"/>
      <c r="I27" s="323"/>
      <c r="J27" s="362"/>
      <c r="K27" s="368"/>
      <c r="L27" s="337"/>
      <c r="M27" s="337"/>
      <c r="N27" s="43"/>
      <c r="O27" s="337"/>
      <c r="P27" s="337"/>
      <c r="Q27" s="364"/>
      <c r="R27" s="364"/>
      <c r="S27" s="364"/>
      <c r="T27" s="327"/>
      <c r="U27" s="43"/>
      <c r="V27" s="42">
        <f t="shared" si="2"/>
        <v>0</v>
      </c>
      <c r="W27" s="22"/>
      <c r="X27" s="22"/>
      <c r="Z27" s="22" t="e">
        <f t="shared" si="4"/>
        <v>#DIV/0!</v>
      </c>
    </row>
    <row r="28" spans="1:26" ht="17.25" x14ac:dyDescent="0.3">
      <c r="A28" s="240"/>
      <c r="B28" s="511" t="s">
        <v>242</v>
      </c>
      <c r="C28" s="512"/>
      <c r="D28" s="512"/>
      <c r="E28" s="512"/>
      <c r="F28" s="513"/>
      <c r="G28" s="322"/>
      <c r="H28" s="322"/>
      <c r="I28" s="323"/>
      <c r="J28" s="362"/>
      <c r="K28" s="361" t="s">
        <v>189</v>
      </c>
      <c r="L28" s="43">
        <v>50388000</v>
      </c>
      <c r="M28" s="43">
        <v>0</v>
      </c>
      <c r="N28" s="43">
        <f t="shared" si="8"/>
        <v>50388000</v>
      </c>
      <c r="O28" s="337"/>
      <c r="P28" s="337"/>
      <c r="Q28" s="364">
        <v>9522000</v>
      </c>
      <c r="R28" s="364">
        <v>10998000</v>
      </c>
      <c r="S28" s="364">
        <f>Q28+R28</f>
        <v>20520000</v>
      </c>
      <c r="T28" s="327">
        <f>S28/N28*100</f>
        <v>40.723981900452486</v>
      </c>
      <c r="U28" s="43">
        <f t="shared" ref="U28:U88" si="9">N28-S28</f>
        <v>29868000</v>
      </c>
      <c r="V28" s="42">
        <f t="shared" si="2"/>
        <v>14934000</v>
      </c>
      <c r="W28" s="22">
        <f t="shared" ref="W28:W82" si="10">Q28/N28*100</f>
        <v>18.897356513455584</v>
      </c>
      <c r="X28" s="22">
        <f t="shared" si="1"/>
        <v>18.897356513455584</v>
      </c>
      <c r="Z28" s="65">
        <f t="shared" si="4"/>
        <v>18.897356513455584</v>
      </c>
    </row>
    <row r="29" spans="1:26" x14ac:dyDescent="0.25">
      <c r="A29" s="240"/>
      <c r="B29" s="329"/>
      <c r="C29" s="331"/>
      <c r="D29" s="323"/>
      <c r="E29" s="323"/>
      <c r="F29" s="323"/>
      <c r="G29" s="322"/>
      <c r="H29" s="322"/>
      <c r="I29" s="323"/>
      <c r="J29" s="362"/>
      <c r="K29" s="368"/>
      <c r="L29" s="337"/>
      <c r="M29" s="337"/>
      <c r="N29" s="337"/>
      <c r="O29" s="337"/>
      <c r="P29" s="337"/>
      <c r="Q29" s="363"/>
      <c r="R29" s="364"/>
      <c r="S29" s="364"/>
      <c r="T29" s="327"/>
      <c r="U29" s="43"/>
      <c r="V29" s="42">
        <f t="shared" si="2"/>
        <v>0</v>
      </c>
      <c r="W29" s="22"/>
      <c r="X29" s="22"/>
      <c r="Z29" s="22" t="e">
        <f t="shared" si="4"/>
        <v>#DIV/0!</v>
      </c>
    </row>
    <row r="30" spans="1:26" ht="17.25" x14ac:dyDescent="0.3">
      <c r="A30" s="240"/>
      <c r="B30" s="511" t="s">
        <v>243</v>
      </c>
      <c r="C30" s="512"/>
      <c r="D30" s="512"/>
      <c r="E30" s="512"/>
      <c r="F30" s="513"/>
      <c r="G30" s="322"/>
      <c r="H30" s="322"/>
      <c r="I30" s="323"/>
      <c r="J30" s="362"/>
      <c r="K30" s="361" t="s">
        <v>190</v>
      </c>
      <c r="L30" s="43">
        <f>L34+L32</f>
        <v>33005000</v>
      </c>
      <c r="M30" s="43">
        <v>0</v>
      </c>
      <c r="N30" s="43">
        <f t="shared" si="8"/>
        <v>33005000</v>
      </c>
      <c r="O30" s="337"/>
      <c r="P30" s="337"/>
      <c r="Q30" s="43">
        <f>Q32+Q34</f>
        <v>4776400</v>
      </c>
      <c r="R30" s="364">
        <v>7008350</v>
      </c>
      <c r="S30" s="364">
        <f>Q30+R30</f>
        <v>11784750</v>
      </c>
      <c r="T30" s="327">
        <f>S30/N30*100</f>
        <v>35.705953643387367</v>
      </c>
      <c r="U30" s="43">
        <f t="shared" si="9"/>
        <v>21220250</v>
      </c>
      <c r="V30" s="42">
        <f t="shared" si="2"/>
        <v>10610125</v>
      </c>
      <c r="W30" s="22"/>
      <c r="X30" s="22">
        <f t="shared" si="1"/>
        <v>14.471746705044691</v>
      </c>
      <c r="Z30" s="22">
        <f t="shared" si="4"/>
        <v>14.471746705044691</v>
      </c>
    </row>
    <row r="31" spans="1:26" x14ac:dyDescent="0.25">
      <c r="A31" s="240"/>
      <c r="B31" s="329"/>
      <c r="C31" s="331"/>
      <c r="D31" s="323"/>
      <c r="E31" s="323"/>
      <c r="F31" s="323"/>
      <c r="G31" s="322"/>
      <c r="H31" s="322"/>
      <c r="I31" s="323"/>
      <c r="J31" s="362"/>
      <c r="K31" s="368"/>
      <c r="L31" s="337"/>
      <c r="M31" s="337"/>
      <c r="N31" s="337"/>
      <c r="O31" s="337"/>
      <c r="P31" s="337"/>
      <c r="Q31" s="363"/>
      <c r="R31" s="364"/>
      <c r="S31" s="364"/>
      <c r="T31" s="327"/>
      <c r="U31" s="43"/>
      <c r="V31" s="42">
        <f t="shared" si="2"/>
        <v>0</v>
      </c>
      <c r="W31" s="22"/>
      <c r="X31" s="22"/>
      <c r="Z31" s="22" t="e">
        <f t="shared" si="4"/>
        <v>#DIV/0!</v>
      </c>
    </row>
    <row r="32" spans="1:26" x14ac:dyDescent="0.25">
      <c r="A32" s="240"/>
      <c r="B32" s="329"/>
      <c r="C32" s="331"/>
      <c r="D32" s="323"/>
      <c r="E32" s="323"/>
      <c r="F32" s="323"/>
      <c r="G32" s="322"/>
      <c r="H32" s="322"/>
      <c r="I32" s="323"/>
      <c r="J32" s="362"/>
      <c r="K32" s="369" t="s">
        <v>191</v>
      </c>
      <c r="L32" s="337">
        <v>15750000</v>
      </c>
      <c r="M32" s="337">
        <v>0</v>
      </c>
      <c r="N32" s="43">
        <f t="shared" si="8"/>
        <v>15750000</v>
      </c>
      <c r="O32" s="337"/>
      <c r="P32" s="337"/>
      <c r="Q32" s="363">
        <v>0</v>
      </c>
      <c r="R32" s="364">
        <v>4770000</v>
      </c>
      <c r="S32" s="364">
        <f>Q32+R32</f>
        <v>4770000</v>
      </c>
      <c r="T32" s="327">
        <f>S32/N32*100</f>
        <v>30.285714285714288</v>
      </c>
      <c r="U32" s="43">
        <f t="shared" si="9"/>
        <v>10980000</v>
      </c>
      <c r="V32" s="42"/>
      <c r="W32" s="22"/>
      <c r="X32" s="22">
        <f t="shared" si="1"/>
        <v>0</v>
      </c>
      <c r="Z32" s="22"/>
    </row>
    <row r="33" spans="1:26" x14ac:dyDescent="0.25">
      <c r="A33" s="240"/>
      <c r="B33" s="329"/>
      <c r="C33" s="331"/>
      <c r="D33" s="323"/>
      <c r="E33" s="323"/>
      <c r="F33" s="323"/>
      <c r="G33" s="322"/>
      <c r="H33" s="322"/>
      <c r="I33" s="323"/>
      <c r="J33" s="362"/>
      <c r="K33" s="368"/>
      <c r="L33" s="337"/>
      <c r="M33" s="337"/>
      <c r="N33" s="337"/>
      <c r="O33" s="337"/>
      <c r="P33" s="337"/>
      <c r="Q33" s="363"/>
      <c r="R33" s="364"/>
      <c r="S33" s="364"/>
      <c r="T33" s="327"/>
      <c r="U33" s="43"/>
      <c r="V33" s="42"/>
      <c r="W33" s="22"/>
      <c r="X33" s="22"/>
      <c r="Z33" s="22"/>
    </row>
    <row r="34" spans="1:26" x14ac:dyDescent="0.25">
      <c r="A34" s="240"/>
      <c r="B34" s="329"/>
      <c r="C34" s="331"/>
      <c r="D34" s="323"/>
      <c r="E34" s="323"/>
      <c r="F34" s="323"/>
      <c r="G34" s="322"/>
      <c r="H34" s="322"/>
      <c r="I34" s="323"/>
      <c r="J34" s="362"/>
      <c r="K34" s="369" t="s">
        <v>192</v>
      </c>
      <c r="L34" s="43">
        <v>17255000</v>
      </c>
      <c r="M34" s="43">
        <v>0</v>
      </c>
      <c r="N34" s="43">
        <f t="shared" si="8"/>
        <v>17255000</v>
      </c>
      <c r="O34" s="337"/>
      <c r="P34" s="337"/>
      <c r="Q34" s="363">
        <v>4776400</v>
      </c>
      <c r="R34" s="364">
        <v>2238350</v>
      </c>
      <c r="S34" s="364">
        <f>Q34+R34</f>
        <v>7014750</v>
      </c>
      <c r="T34" s="327">
        <f>S34/N34*100</f>
        <v>40.653433787308025</v>
      </c>
      <c r="U34" s="43">
        <f t="shared" si="9"/>
        <v>10240250</v>
      </c>
      <c r="V34" s="42">
        <f t="shared" si="2"/>
        <v>5120125</v>
      </c>
      <c r="W34" s="22"/>
      <c r="X34" s="22">
        <f t="shared" si="1"/>
        <v>27.681251811069256</v>
      </c>
      <c r="Z34" s="22">
        <f t="shared" si="4"/>
        <v>27.681251811069256</v>
      </c>
    </row>
    <row r="35" spans="1:26" x14ac:dyDescent="0.25">
      <c r="A35" s="240"/>
      <c r="B35" s="329"/>
      <c r="C35" s="331"/>
      <c r="D35" s="323"/>
      <c r="E35" s="323"/>
      <c r="F35" s="323"/>
      <c r="G35" s="322"/>
      <c r="H35" s="322"/>
      <c r="I35" s="323"/>
      <c r="J35" s="362"/>
      <c r="K35" s="368"/>
      <c r="L35" s="337"/>
      <c r="M35" s="337"/>
      <c r="N35" s="337"/>
      <c r="O35" s="337"/>
      <c r="P35" s="337"/>
      <c r="Q35" s="363"/>
      <c r="R35" s="364"/>
      <c r="S35" s="364"/>
      <c r="T35" s="327"/>
      <c r="U35" s="43"/>
      <c r="V35" s="42">
        <f t="shared" si="2"/>
        <v>0</v>
      </c>
      <c r="W35" s="22"/>
      <c r="X35" s="22"/>
      <c r="Z35" s="22" t="e">
        <f t="shared" si="4"/>
        <v>#DIV/0!</v>
      </c>
    </row>
    <row r="36" spans="1:26" ht="17.25" x14ac:dyDescent="0.3">
      <c r="A36" s="240"/>
      <c r="B36" s="511" t="s">
        <v>244</v>
      </c>
      <c r="C36" s="512"/>
      <c r="D36" s="512"/>
      <c r="E36" s="512"/>
      <c r="F36" s="513"/>
      <c r="G36" s="329"/>
      <c r="H36" s="329"/>
      <c r="I36" s="339"/>
      <c r="J36" s="370"/>
      <c r="K36" s="361" t="s">
        <v>193</v>
      </c>
      <c r="L36" s="43">
        <v>136360000</v>
      </c>
      <c r="M36" s="43">
        <v>0</v>
      </c>
      <c r="N36" s="43">
        <f t="shared" si="8"/>
        <v>136360000</v>
      </c>
      <c r="O36" s="337"/>
      <c r="P36" s="337"/>
      <c r="Q36" s="364">
        <v>19890000</v>
      </c>
      <c r="R36" s="364">
        <v>36020500</v>
      </c>
      <c r="S36" s="364">
        <f>Q36+R36</f>
        <v>55910500</v>
      </c>
      <c r="T36" s="327">
        <f>S36/N36*100</f>
        <v>41.002126723379291</v>
      </c>
      <c r="U36" s="43">
        <f t="shared" si="9"/>
        <v>80449500</v>
      </c>
      <c r="V36" s="42">
        <f t="shared" si="2"/>
        <v>40224750</v>
      </c>
      <c r="W36" s="22">
        <f t="shared" si="10"/>
        <v>14.586388970372543</v>
      </c>
      <c r="X36" s="22">
        <f t="shared" si="1"/>
        <v>14.586388970372543</v>
      </c>
      <c r="Z36" s="65">
        <f t="shared" si="4"/>
        <v>14.586388970372543</v>
      </c>
    </row>
    <row r="37" spans="1:26" x14ac:dyDescent="0.25">
      <c r="A37" s="240"/>
      <c r="B37" s="329"/>
      <c r="C37" s="331"/>
      <c r="D37" s="323"/>
      <c r="E37" s="323"/>
      <c r="F37" s="323"/>
      <c r="G37" s="322"/>
      <c r="H37" s="322"/>
      <c r="I37" s="323"/>
      <c r="J37" s="362"/>
      <c r="K37" s="368"/>
      <c r="L37" s="337"/>
      <c r="M37" s="337"/>
      <c r="N37" s="337"/>
      <c r="O37" s="337"/>
      <c r="P37" s="337"/>
      <c r="Q37" s="363"/>
      <c r="R37" s="364"/>
      <c r="S37" s="364"/>
      <c r="T37" s="327"/>
      <c r="U37" s="43"/>
      <c r="V37" s="42">
        <f t="shared" si="2"/>
        <v>0</v>
      </c>
      <c r="W37" s="22"/>
      <c r="X37" s="22"/>
      <c r="Z37" s="22" t="e">
        <f t="shared" si="4"/>
        <v>#DIV/0!</v>
      </c>
    </row>
    <row r="38" spans="1:26" ht="17.25" x14ac:dyDescent="0.3">
      <c r="A38" s="240"/>
      <c r="B38" s="511" t="s">
        <v>245</v>
      </c>
      <c r="C38" s="512"/>
      <c r="D38" s="512"/>
      <c r="E38" s="512"/>
      <c r="F38" s="513"/>
      <c r="G38" s="329"/>
      <c r="H38" s="329"/>
      <c r="I38" s="339"/>
      <c r="J38" s="370"/>
      <c r="K38" s="361" t="s">
        <v>194</v>
      </c>
      <c r="L38" s="43">
        <v>1980000</v>
      </c>
      <c r="M38" s="43">
        <v>0</v>
      </c>
      <c r="N38" s="43">
        <f t="shared" si="8"/>
        <v>1980000</v>
      </c>
      <c r="O38" s="337"/>
      <c r="P38" s="337"/>
      <c r="Q38" s="364">
        <v>1980000</v>
      </c>
      <c r="R38" s="364">
        <v>0</v>
      </c>
      <c r="S38" s="364">
        <f>Q38+R38</f>
        <v>1980000</v>
      </c>
      <c r="T38" s="327">
        <f>S38/N38*100</f>
        <v>100</v>
      </c>
      <c r="U38" s="43">
        <f t="shared" si="9"/>
        <v>0</v>
      </c>
      <c r="V38" s="42">
        <f t="shared" si="2"/>
        <v>0</v>
      </c>
      <c r="W38" s="22">
        <f t="shared" si="10"/>
        <v>100</v>
      </c>
      <c r="X38" s="22">
        <f t="shared" si="1"/>
        <v>100</v>
      </c>
      <c r="Z38" s="65">
        <f t="shared" si="4"/>
        <v>100</v>
      </c>
    </row>
    <row r="39" spans="1:26" x14ac:dyDescent="0.25">
      <c r="A39" s="240"/>
      <c r="B39" s="329"/>
      <c r="C39" s="331"/>
      <c r="D39" s="323"/>
      <c r="E39" s="323"/>
      <c r="F39" s="323"/>
      <c r="G39" s="322"/>
      <c r="H39" s="322"/>
      <c r="I39" s="323"/>
      <c r="J39" s="362"/>
      <c r="K39" s="368"/>
      <c r="L39" s="337"/>
      <c r="M39" s="337"/>
      <c r="N39" s="337"/>
      <c r="O39" s="337"/>
      <c r="P39" s="337"/>
      <c r="Q39" s="363"/>
      <c r="R39" s="364"/>
      <c r="S39" s="364"/>
      <c r="T39" s="327"/>
      <c r="U39" s="43"/>
      <c r="V39" s="42">
        <f t="shared" si="2"/>
        <v>0</v>
      </c>
      <c r="W39" s="22"/>
      <c r="X39" s="22"/>
      <c r="Z39" s="22" t="e">
        <f t="shared" si="4"/>
        <v>#DIV/0!</v>
      </c>
    </row>
    <row r="40" spans="1:26" ht="17.25" x14ac:dyDescent="0.3">
      <c r="A40" s="240"/>
      <c r="B40" s="511" t="s">
        <v>246</v>
      </c>
      <c r="C40" s="512"/>
      <c r="D40" s="512"/>
      <c r="E40" s="512"/>
      <c r="F40" s="513"/>
      <c r="G40" s="329"/>
      <c r="H40" s="329"/>
      <c r="I40" s="339"/>
      <c r="J40" s="370"/>
      <c r="K40" s="361" t="s">
        <v>195</v>
      </c>
      <c r="L40" s="43">
        <v>1700000</v>
      </c>
      <c r="M40" s="43">
        <v>0</v>
      </c>
      <c r="N40" s="43">
        <f t="shared" si="8"/>
        <v>1700000</v>
      </c>
      <c r="O40" s="337"/>
      <c r="P40" s="337"/>
      <c r="Q40" s="364">
        <v>0</v>
      </c>
      <c r="R40" s="364">
        <v>500000</v>
      </c>
      <c r="S40" s="364">
        <f>Q40+R40</f>
        <v>500000</v>
      </c>
      <c r="T40" s="327">
        <f>S40/N40*100</f>
        <v>29.411764705882355</v>
      </c>
      <c r="U40" s="43">
        <f t="shared" si="9"/>
        <v>1200000</v>
      </c>
      <c r="V40" s="42">
        <f t="shared" si="2"/>
        <v>600000</v>
      </c>
      <c r="W40" s="22">
        <f t="shared" si="10"/>
        <v>0</v>
      </c>
      <c r="X40" s="22">
        <f t="shared" si="1"/>
        <v>0</v>
      </c>
      <c r="Z40" s="65">
        <f t="shared" si="4"/>
        <v>0</v>
      </c>
    </row>
    <row r="41" spans="1:26" x14ac:dyDescent="0.25">
      <c r="A41" s="240"/>
      <c r="B41" s="329"/>
      <c r="C41" s="331"/>
      <c r="D41" s="323"/>
      <c r="E41" s="323"/>
      <c r="F41" s="323"/>
      <c r="G41" s="322"/>
      <c r="H41" s="322"/>
      <c r="I41" s="323"/>
      <c r="J41" s="362"/>
      <c r="K41" s="368"/>
      <c r="L41" s="337"/>
      <c r="M41" s="337"/>
      <c r="N41" s="337"/>
      <c r="O41" s="337"/>
      <c r="P41" s="337"/>
      <c r="Q41" s="363"/>
      <c r="R41" s="364"/>
      <c r="S41" s="364"/>
      <c r="T41" s="327"/>
      <c r="U41" s="43"/>
      <c r="V41" s="42">
        <f t="shared" si="2"/>
        <v>0</v>
      </c>
      <c r="W41" s="22"/>
      <c r="X41" s="22"/>
      <c r="Z41" s="22" t="e">
        <f t="shared" si="4"/>
        <v>#DIV/0!</v>
      </c>
    </row>
    <row r="42" spans="1:26" ht="17.25" x14ac:dyDescent="0.3">
      <c r="A42" s="240"/>
      <c r="B42" s="511" t="s">
        <v>246</v>
      </c>
      <c r="C42" s="512"/>
      <c r="D42" s="512"/>
      <c r="E42" s="512"/>
      <c r="F42" s="513"/>
      <c r="G42" s="341"/>
      <c r="H42" s="341"/>
      <c r="I42" s="341"/>
      <c r="J42" s="371"/>
      <c r="K42" s="361" t="s">
        <v>196</v>
      </c>
      <c r="L42" s="372">
        <f>L44+L46+L48</f>
        <v>231900000</v>
      </c>
      <c r="M42" s="372">
        <f>M44+M46+M48</f>
        <v>0</v>
      </c>
      <c r="N42" s="43">
        <f t="shared" si="8"/>
        <v>231900000</v>
      </c>
      <c r="O42" s="337"/>
      <c r="P42" s="337"/>
      <c r="Q42" s="364">
        <f>Q44+Q46+Q48</f>
        <v>18331762</v>
      </c>
      <c r="R42" s="364">
        <v>52879249</v>
      </c>
      <c r="S42" s="364">
        <f>Q42+R42</f>
        <v>71211011</v>
      </c>
      <c r="T42" s="327">
        <f>S42/N42*100</f>
        <v>30.70763734368262</v>
      </c>
      <c r="U42" s="43">
        <f t="shared" si="9"/>
        <v>160688989</v>
      </c>
      <c r="V42" s="42">
        <f t="shared" si="2"/>
        <v>80344494.5</v>
      </c>
      <c r="W42" s="22">
        <f t="shared" si="10"/>
        <v>7.9050288917636911</v>
      </c>
      <c r="X42" s="22">
        <f t="shared" si="1"/>
        <v>7.9050288917636911</v>
      </c>
      <c r="Z42" s="22">
        <f t="shared" si="4"/>
        <v>7.9050288917636911</v>
      </c>
    </row>
    <row r="43" spans="1:26" x14ac:dyDescent="0.25">
      <c r="A43" s="240"/>
      <c r="B43" s="329"/>
      <c r="C43" s="331"/>
      <c r="D43" s="323"/>
      <c r="E43" s="323"/>
      <c r="F43" s="323"/>
      <c r="G43" s="322"/>
      <c r="H43" s="322"/>
      <c r="I43" s="323"/>
      <c r="J43" s="362"/>
      <c r="K43" s="368"/>
      <c r="L43" s="337"/>
      <c r="M43" s="337"/>
      <c r="N43" s="337"/>
      <c r="O43" s="337"/>
      <c r="P43" s="337"/>
      <c r="Q43" s="363"/>
      <c r="R43" s="364"/>
      <c r="S43" s="364"/>
      <c r="T43" s="327"/>
      <c r="U43" s="43"/>
      <c r="V43" s="42">
        <f t="shared" si="2"/>
        <v>0</v>
      </c>
      <c r="W43" s="22"/>
      <c r="X43" s="22"/>
      <c r="Z43" s="22" t="e">
        <f t="shared" si="4"/>
        <v>#DIV/0!</v>
      </c>
    </row>
    <row r="44" spans="1:26" x14ac:dyDescent="0.25">
      <c r="A44" s="240"/>
      <c r="B44" s="329"/>
      <c r="C44" s="331"/>
      <c r="D44" s="323"/>
      <c r="E44" s="323"/>
      <c r="F44" s="323"/>
      <c r="G44" s="322"/>
      <c r="H44" s="322"/>
      <c r="I44" s="323"/>
      <c r="J44" s="362"/>
      <c r="K44" s="368" t="s">
        <v>197</v>
      </c>
      <c r="L44" s="337">
        <v>27000000</v>
      </c>
      <c r="M44" s="337">
        <v>0</v>
      </c>
      <c r="N44" s="43">
        <f t="shared" si="8"/>
        <v>27000000</v>
      </c>
      <c r="O44" s="337"/>
      <c r="P44" s="337"/>
      <c r="Q44" s="363">
        <v>1825000</v>
      </c>
      <c r="R44" s="364">
        <v>5004517</v>
      </c>
      <c r="S44" s="364">
        <f>Q44+R44</f>
        <v>6829517</v>
      </c>
      <c r="T44" s="327">
        <f>S44/N44*100</f>
        <v>25.294507407407409</v>
      </c>
      <c r="U44" s="43">
        <f t="shared" si="9"/>
        <v>20170483</v>
      </c>
      <c r="V44" s="42"/>
      <c r="W44" s="22"/>
      <c r="X44" s="22">
        <f t="shared" si="1"/>
        <v>6.7592592592592595</v>
      </c>
      <c r="Z44" s="22"/>
    </row>
    <row r="45" spans="1:26" x14ac:dyDescent="0.25">
      <c r="A45" s="240"/>
      <c r="B45" s="329"/>
      <c r="C45" s="331"/>
      <c r="D45" s="323"/>
      <c r="E45" s="323"/>
      <c r="F45" s="323"/>
      <c r="G45" s="322"/>
      <c r="H45" s="322"/>
      <c r="I45" s="323"/>
      <c r="J45" s="362"/>
      <c r="K45" s="368"/>
      <c r="L45" s="337"/>
      <c r="M45" s="337"/>
      <c r="N45" s="337"/>
      <c r="O45" s="337"/>
      <c r="P45" s="337"/>
      <c r="Q45" s="363"/>
      <c r="R45" s="364"/>
      <c r="S45" s="364"/>
      <c r="T45" s="327"/>
      <c r="U45" s="43"/>
      <c r="V45" s="42"/>
      <c r="W45" s="22"/>
      <c r="X45" s="22"/>
      <c r="Z45" s="22"/>
    </row>
    <row r="46" spans="1:26" x14ac:dyDescent="0.25">
      <c r="A46" s="240"/>
      <c r="B46" s="329"/>
      <c r="C46" s="331"/>
      <c r="D46" s="323"/>
      <c r="E46" s="323"/>
      <c r="F46" s="323"/>
      <c r="G46" s="322"/>
      <c r="H46" s="322"/>
      <c r="I46" s="323"/>
      <c r="J46" s="362"/>
      <c r="K46" s="368" t="s">
        <v>198</v>
      </c>
      <c r="L46" s="337">
        <v>900000</v>
      </c>
      <c r="M46" s="337">
        <v>0</v>
      </c>
      <c r="N46" s="43">
        <f t="shared" si="8"/>
        <v>900000</v>
      </c>
      <c r="O46" s="337"/>
      <c r="P46" s="337"/>
      <c r="Q46" s="363">
        <v>45950</v>
      </c>
      <c r="R46" s="364">
        <v>137850</v>
      </c>
      <c r="S46" s="364">
        <f>Q46+R46</f>
        <v>183800</v>
      </c>
      <c r="T46" s="327">
        <f>S46/N46*100</f>
        <v>20.422222222222221</v>
      </c>
      <c r="U46" s="43">
        <f t="shared" si="9"/>
        <v>716200</v>
      </c>
      <c r="V46" s="42"/>
      <c r="W46" s="22"/>
      <c r="X46" s="22">
        <f t="shared" si="1"/>
        <v>5.1055555555555552</v>
      </c>
      <c r="Z46" s="22"/>
    </row>
    <row r="47" spans="1:26" x14ac:dyDescent="0.25">
      <c r="A47" s="240"/>
      <c r="B47" s="329"/>
      <c r="C47" s="331"/>
      <c r="D47" s="323"/>
      <c r="E47" s="323"/>
      <c r="F47" s="323"/>
      <c r="G47" s="322"/>
      <c r="H47" s="322"/>
      <c r="I47" s="323"/>
      <c r="J47" s="362"/>
      <c r="K47" s="368"/>
      <c r="L47" s="337"/>
      <c r="M47" s="337"/>
      <c r="N47" s="337"/>
      <c r="O47" s="337"/>
      <c r="P47" s="337"/>
      <c r="Q47" s="363"/>
      <c r="R47" s="364"/>
      <c r="S47" s="364"/>
      <c r="T47" s="327"/>
      <c r="U47" s="43"/>
      <c r="V47" s="42"/>
      <c r="W47" s="22"/>
      <c r="X47" s="22"/>
      <c r="Z47" s="22"/>
    </row>
    <row r="48" spans="1:26" x14ac:dyDescent="0.25">
      <c r="A48" s="240"/>
      <c r="B48" s="329"/>
      <c r="C48" s="331"/>
      <c r="D48" s="323"/>
      <c r="E48" s="323"/>
      <c r="F48" s="323"/>
      <c r="G48" s="322"/>
      <c r="H48" s="322"/>
      <c r="I48" s="323"/>
      <c r="J48" s="362"/>
      <c r="K48" s="369" t="s">
        <v>199</v>
      </c>
      <c r="L48" s="43">
        <v>204000000</v>
      </c>
      <c r="M48" s="43">
        <v>0</v>
      </c>
      <c r="N48" s="43">
        <v>204000000</v>
      </c>
      <c r="O48" s="337"/>
      <c r="P48" s="337"/>
      <c r="Q48" s="226">
        <v>16460812</v>
      </c>
      <c r="R48" s="364">
        <v>47736882</v>
      </c>
      <c r="S48" s="364">
        <f>Q48+R48</f>
        <v>64197694</v>
      </c>
      <c r="T48" s="327">
        <f>S48/N48*100</f>
        <v>31.469457843137256</v>
      </c>
      <c r="U48" s="43">
        <f>N48-S48</f>
        <v>139802306</v>
      </c>
      <c r="V48" s="42">
        <f t="shared" si="2"/>
        <v>69901153</v>
      </c>
      <c r="W48" s="22">
        <f t="shared" si="10"/>
        <v>8.0690254901960792</v>
      </c>
      <c r="X48" s="22">
        <f t="shared" si="1"/>
        <v>8.0690254901960792</v>
      </c>
      <c r="Z48" s="22">
        <f t="shared" si="4"/>
        <v>8.0690254901960792</v>
      </c>
    </row>
    <row r="49" spans="1:27" hidden="1" x14ac:dyDescent="0.25">
      <c r="A49" s="240"/>
      <c r="B49" s="329"/>
      <c r="C49" s="331"/>
      <c r="D49" s="323"/>
      <c r="E49" s="323"/>
      <c r="F49" s="323"/>
      <c r="G49" s="322"/>
      <c r="H49" s="322"/>
      <c r="I49" s="323"/>
      <c r="J49" s="362"/>
      <c r="K49" s="368"/>
      <c r="L49" s="337"/>
      <c r="M49" s="337"/>
      <c r="N49" s="337"/>
      <c r="O49" s="337"/>
      <c r="P49" s="337"/>
      <c r="Q49" s="363"/>
      <c r="R49" s="364"/>
      <c r="S49" s="364"/>
      <c r="T49" s="327"/>
      <c r="U49" s="43"/>
      <c r="V49" s="42">
        <f t="shared" si="2"/>
        <v>0</v>
      </c>
      <c r="W49" s="22"/>
      <c r="X49" s="22"/>
      <c r="Z49" s="22" t="e">
        <f t="shared" si="4"/>
        <v>#DIV/0!</v>
      </c>
    </row>
    <row r="50" spans="1:27" ht="17.25" x14ac:dyDescent="0.3">
      <c r="A50" s="240"/>
      <c r="B50" s="511" t="s">
        <v>247</v>
      </c>
      <c r="C50" s="512"/>
      <c r="D50" s="512"/>
      <c r="E50" s="512"/>
      <c r="F50" s="513"/>
      <c r="G50" s="341"/>
      <c r="H50" s="341"/>
      <c r="I50" s="341"/>
      <c r="J50" s="371"/>
      <c r="K50" s="361" t="s">
        <v>200</v>
      </c>
      <c r="L50" s="372">
        <f>L52+L54+L56+L58+L60</f>
        <v>727622000</v>
      </c>
      <c r="M50" s="372">
        <f>M52+M54+M56+M58+M60</f>
        <v>0</v>
      </c>
      <c r="N50" s="43">
        <f t="shared" si="8"/>
        <v>727622000</v>
      </c>
      <c r="O50" s="337"/>
      <c r="P50" s="337"/>
      <c r="Q50" s="363">
        <v>99033148</v>
      </c>
      <c r="R50" s="364">
        <v>171097482</v>
      </c>
      <c r="S50" s="364">
        <f>Q50+R50</f>
        <v>270130630</v>
      </c>
      <c r="T50" s="327">
        <f>S50/N50*100</f>
        <v>37.125132280222424</v>
      </c>
      <c r="U50" s="43">
        <f t="shared" si="9"/>
        <v>457491370</v>
      </c>
      <c r="V50" s="42">
        <f t="shared" si="2"/>
        <v>228745685</v>
      </c>
      <c r="W50" s="22">
        <f t="shared" si="10"/>
        <v>13.610521397099044</v>
      </c>
      <c r="X50" s="22">
        <f t="shared" si="1"/>
        <v>13.610521397099044</v>
      </c>
      <c r="Z50" s="65">
        <f t="shared" si="4"/>
        <v>13.610521397099044</v>
      </c>
    </row>
    <row r="51" spans="1:27" x14ac:dyDescent="0.25">
      <c r="A51" s="240"/>
      <c r="B51" s="329"/>
      <c r="C51" s="331"/>
      <c r="D51" s="323"/>
      <c r="E51" s="323"/>
      <c r="F51" s="323"/>
      <c r="G51" s="322"/>
      <c r="H51" s="322"/>
      <c r="I51" s="323"/>
      <c r="J51" s="362"/>
      <c r="K51" s="368"/>
      <c r="L51" s="337"/>
      <c r="M51" s="43"/>
      <c r="N51" s="337"/>
      <c r="O51" s="337"/>
      <c r="P51" s="337"/>
      <c r="Q51" s="363"/>
      <c r="R51" s="364"/>
      <c r="S51" s="364"/>
      <c r="T51" s="327"/>
      <c r="U51" s="43"/>
      <c r="V51" s="42">
        <f t="shared" si="2"/>
        <v>0</v>
      </c>
      <c r="W51" s="22"/>
      <c r="X51" s="22"/>
      <c r="Z51" s="22" t="e">
        <f t="shared" si="4"/>
        <v>#DIV/0!</v>
      </c>
    </row>
    <row r="52" spans="1:27" hidden="1" x14ac:dyDescent="0.25">
      <c r="A52" s="240"/>
      <c r="B52" s="329"/>
      <c r="C52" s="331"/>
      <c r="D52" s="323"/>
      <c r="E52" s="323"/>
      <c r="F52" s="323"/>
      <c r="G52" s="322"/>
      <c r="H52" s="322"/>
      <c r="I52" s="323"/>
      <c r="J52" s="362"/>
      <c r="K52" s="369" t="s">
        <v>201</v>
      </c>
      <c r="L52" s="337">
        <v>3300000</v>
      </c>
      <c r="M52" s="43">
        <v>0</v>
      </c>
      <c r="N52" s="43">
        <f t="shared" si="8"/>
        <v>3300000</v>
      </c>
      <c r="O52" s="337"/>
      <c r="P52" s="337"/>
      <c r="Q52" s="363">
        <v>0</v>
      </c>
      <c r="R52" s="364">
        <v>275000</v>
      </c>
      <c r="S52" s="364">
        <f>Q52+R52</f>
        <v>275000</v>
      </c>
      <c r="T52" s="327">
        <f>S52/N52*100</f>
        <v>8.3333333333333321</v>
      </c>
      <c r="U52" s="43">
        <f t="shared" si="9"/>
        <v>3025000</v>
      </c>
      <c r="V52" s="42"/>
      <c r="W52" s="22"/>
      <c r="X52" s="22">
        <f t="shared" si="1"/>
        <v>0</v>
      </c>
      <c r="Z52" s="22"/>
    </row>
    <row r="53" spans="1:27" hidden="1" x14ac:dyDescent="0.25">
      <c r="A53" s="240"/>
      <c r="B53" s="329"/>
      <c r="C53" s="331"/>
      <c r="D53" s="323"/>
      <c r="E53" s="323"/>
      <c r="F53" s="323"/>
      <c r="G53" s="322"/>
      <c r="H53" s="322"/>
      <c r="I53" s="323"/>
      <c r="J53" s="362"/>
      <c r="K53" s="369"/>
      <c r="L53" s="337"/>
      <c r="M53" s="43"/>
      <c r="N53" s="337"/>
      <c r="O53" s="337"/>
      <c r="P53" s="337"/>
      <c r="Q53" s="363"/>
      <c r="R53" s="364"/>
      <c r="S53" s="364"/>
      <c r="T53" s="327"/>
      <c r="U53" s="43"/>
      <c r="V53" s="42"/>
      <c r="W53" s="22"/>
      <c r="X53" s="22"/>
      <c r="Z53" s="22"/>
    </row>
    <row r="54" spans="1:27" hidden="1" x14ac:dyDescent="0.25">
      <c r="A54" s="240"/>
      <c r="B54" s="329"/>
      <c r="C54" s="331"/>
      <c r="D54" s="323"/>
      <c r="E54" s="323"/>
      <c r="F54" s="323"/>
      <c r="G54" s="322"/>
      <c r="H54" s="322"/>
      <c r="I54" s="323"/>
      <c r="J54" s="362"/>
      <c r="K54" s="369" t="s">
        <v>202</v>
      </c>
      <c r="L54" s="337">
        <v>314472000</v>
      </c>
      <c r="M54" s="43">
        <v>0</v>
      </c>
      <c r="N54" s="43">
        <f t="shared" si="8"/>
        <v>314472000</v>
      </c>
      <c r="O54" s="337"/>
      <c r="P54" s="337"/>
      <c r="Q54" s="76">
        <v>27483733</v>
      </c>
      <c r="R54" s="364">
        <v>78986199</v>
      </c>
      <c r="S54" s="364">
        <f>Q54+R54</f>
        <v>106469932</v>
      </c>
      <c r="T54" s="327">
        <f>S54/N54*100</f>
        <v>33.856728738965629</v>
      </c>
      <c r="U54" s="43">
        <f t="shared" si="9"/>
        <v>208002068</v>
      </c>
      <c r="V54" s="42"/>
      <c r="W54" s="22"/>
      <c r="X54" s="22">
        <f t="shared" si="1"/>
        <v>8.7396439110636237</v>
      </c>
      <c r="Z54" s="22"/>
    </row>
    <row r="55" spans="1:27" hidden="1" x14ac:dyDescent="0.25">
      <c r="A55" s="240"/>
      <c r="B55" s="329"/>
      <c r="C55" s="331"/>
      <c r="D55" s="323"/>
      <c r="E55" s="323"/>
      <c r="F55" s="323"/>
      <c r="G55" s="322"/>
      <c r="H55" s="322"/>
      <c r="I55" s="323"/>
      <c r="J55" s="362"/>
      <c r="K55" s="369"/>
      <c r="L55" s="337"/>
      <c r="M55" s="43"/>
      <c r="N55" s="337"/>
      <c r="O55" s="337"/>
      <c r="P55" s="337"/>
      <c r="Q55" s="363"/>
      <c r="R55" s="364"/>
      <c r="S55" s="364"/>
      <c r="T55" s="327"/>
      <c r="U55" s="43"/>
      <c r="V55" s="42"/>
      <c r="W55" s="22"/>
      <c r="X55" s="22"/>
      <c r="Z55" s="22"/>
    </row>
    <row r="56" spans="1:27" hidden="1" x14ac:dyDescent="0.25">
      <c r="A56" s="240"/>
      <c r="B56" s="329"/>
      <c r="C56" s="331"/>
      <c r="D56" s="323"/>
      <c r="E56" s="323"/>
      <c r="F56" s="323"/>
      <c r="G56" s="322"/>
      <c r="H56" s="322"/>
      <c r="I56" s="323"/>
      <c r="J56" s="362"/>
      <c r="K56" s="369" t="s">
        <v>203</v>
      </c>
      <c r="L56" s="337">
        <v>357430000</v>
      </c>
      <c r="M56" s="43">
        <v>0</v>
      </c>
      <c r="N56" s="43">
        <f t="shared" si="8"/>
        <v>357430000</v>
      </c>
      <c r="O56" s="337"/>
      <c r="P56" s="337"/>
      <c r="Q56" s="76">
        <v>30269468</v>
      </c>
      <c r="R56" s="364">
        <v>86848414</v>
      </c>
      <c r="S56" s="364">
        <f>Q56+R56</f>
        <v>117117882</v>
      </c>
      <c r="T56" s="327">
        <f>S56/N56*100</f>
        <v>32.766662563299107</v>
      </c>
      <c r="U56" s="43">
        <f t="shared" si="9"/>
        <v>240312118</v>
      </c>
      <c r="V56" s="42"/>
      <c r="W56" s="22"/>
      <c r="X56" s="22">
        <f t="shared" si="1"/>
        <v>8.4686422516296886</v>
      </c>
      <c r="Z56" s="22"/>
    </row>
    <row r="57" spans="1:27" hidden="1" x14ac:dyDescent="0.25">
      <c r="A57" s="240"/>
      <c r="B57" s="329"/>
      <c r="C57" s="331"/>
      <c r="D57" s="323"/>
      <c r="E57" s="323"/>
      <c r="F57" s="323"/>
      <c r="G57" s="322"/>
      <c r="H57" s="322"/>
      <c r="I57" s="323"/>
      <c r="J57" s="362"/>
      <c r="K57" s="369"/>
      <c r="L57" s="337"/>
      <c r="M57" s="43"/>
      <c r="N57" s="337"/>
      <c r="O57" s="337"/>
      <c r="P57" s="337"/>
      <c r="Q57" s="363"/>
      <c r="R57" s="364"/>
      <c r="S57" s="364"/>
      <c r="T57" s="327"/>
      <c r="U57" s="43"/>
      <c r="V57" s="42"/>
      <c r="W57" s="22"/>
      <c r="X57" s="22"/>
      <c r="Z57" s="22"/>
    </row>
    <row r="58" spans="1:27" hidden="1" x14ac:dyDescent="0.25">
      <c r="A58" s="240"/>
      <c r="B58" s="329"/>
      <c r="C58" s="331"/>
      <c r="D58" s="323"/>
      <c r="E58" s="323"/>
      <c r="F58" s="323"/>
      <c r="G58" s="322"/>
      <c r="H58" s="322"/>
      <c r="I58" s="323"/>
      <c r="J58" s="362"/>
      <c r="K58" s="369" t="s">
        <v>204</v>
      </c>
      <c r="L58" s="337">
        <v>10800000</v>
      </c>
      <c r="M58" s="43">
        <v>0</v>
      </c>
      <c r="N58" s="43">
        <f t="shared" si="8"/>
        <v>10800000</v>
      </c>
      <c r="O58" s="337"/>
      <c r="P58" s="337"/>
      <c r="Q58" s="363">
        <v>900000</v>
      </c>
      <c r="R58" s="364">
        <v>2700000</v>
      </c>
      <c r="S58" s="364">
        <f>Q58+R58</f>
        <v>3600000</v>
      </c>
      <c r="T58" s="327">
        <f>S58/N58*100</f>
        <v>33.333333333333329</v>
      </c>
      <c r="U58" s="43">
        <f t="shared" si="9"/>
        <v>7200000</v>
      </c>
      <c r="V58" s="42"/>
      <c r="W58" s="22"/>
      <c r="X58" s="22">
        <f t="shared" si="1"/>
        <v>8.3333333333333321</v>
      </c>
      <c r="Z58" s="22"/>
    </row>
    <row r="59" spans="1:27" hidden="1" x14ac:dyDescent="0.25">
      <c r="A59" s="240"/>
      <c r="B59" s="329"/>
      <c r="C59" s="331"/>
      <c r="D59" s="323"/>
      <c r="E59" s="323"/>
      <c r="F59" s="323"/>
      <c r="G59" s="322"/>
      <c r="H59" s="322"/>
      <c r="I59" s="323"/>
      <c r="J59" s="362"/>
      <c r="K59" s="368"/>
      <c r="L59" s="337"/>
      <c r="M59" s="43"/>
      <c r="N59" s="337"/>
      <c r="O59" s="337"/>
      <c r="P59" s="337"/>
      <c r="Q59" s="363"/>
      <c r="R59" s="364"/>
      <c r="S59" s="364"/>
      <c r="T59" s="327"/>
      <c r="U59" s="43"/>
      <c r="V59" s="42"/>
      <c r="W59" s="22"/>
      <c r="X59" s="22"/>
      <c r="Z59" s="22"/>
    </row>
    <row r="60" spans="1:27" hidden="1" x14ac:dyDescent="0.25">
      <c r="A60" s="240"/>
      <c r="B60" s="329"/>
      <c r="C60" s="331"/>
      <c r="D60" s="323"/>
      <c r="E60" s="323"/>
      <c r="F60" s="323"/>
      <c r="G60" s="322"/>
      <c r="H60" s="322"/>
      <c r="I60" s="323"/>
      <c r="J60" s="362"/>
      <c r="K60" s="369" t="s">
        <v>205</v>
      </c>
      <c r="L60" s="43">
        <v>41620000</v>
      </c>
      <c r="M60" s="43">
        <v>0</v>
      </c>
      <c r="N60" s="43">
        <f t="shared" si="8"/>
        <v>41620000</v>
      </c>
      <c r="O60" s="337"/>
      <c r="P60" s="337"/>
      <c r="Q60" s="226">
        <v>3346648</v>
      </c>
      <c r="R60" s="364">
        <v>9808838</v>
      </c>
      <c r="S60" s="364">
        <f>Q60+R60</f>
        <v>13155486</v>
      </c>
      <c r="T60" s="327">
        <f>S60/N60*100</f>
        <v>31.608567996155696</v>
      </c>
      <c r="U60" s="43">
        <f t="shared" si="9"/>
        <v>28464514</v>
      </c>
      <c r="V60" s="42">
        <f t="shared" si="2"/>
        <v>14232257</v>
      </c>
      <c r="W60" s="22">
        <f t="shared" si="10"/>
        <v>8.0409610764055746</v>
      </c>
      <c r="X60" s="22">
        <f t="shared" si="1"/>
        <v>8.0409610764055746</v>
      </c>
      <c r="Z60" s="22">
        <f t="shared" si="4"/>
        <v>8.0409610764055746</v>
      </c>
    </row>
    <row r="61" spans="1:27" hidden="1" x14ac:dyDescent="0.25">
      <c r="A61" s="240"/>
      <c r="B61" s="329"/>
      <c r="C61" s="331"/>
      <c r="D61" s="323"/>
      <c r="E61" s="323"/>
      <c r="F61" s="323"/>
      <c r="G61" s="322"/>
      <c r="H61" s="322"/>
      <c r="I61" s="323"/>
      <c r="J61" s="362"/>
      <c r="K61" s="368"/>
      <c r="L61" s="337"/>
      <c r="M61" s="337"/>
      <c r="N61" s="337"/>
      <c r="O61" s="337"/>
      <c r="P61" s="337"/>
      <c r="Q61" s="363"/>
      <c r="R61" s="364"/>
      <c r="S61" s="364"/>
      <c r="T61" s="327"/>
      <c r="U61" s="43"/>
      <c r="V61" s="42">
        <f t="shared" si="2"/>
        <v>0</v>
      </c>
      <c r="W61" s="22"/>
      <c r="X61" s="22"/>
      <c r="Z61" s="22" t="e">
        <f t="shared" si="4"/>
        <v>#DIV/0!</v>
      </c>
    </row>
    <row r="62" spans="1:27" ht="17.25" x14ac:dyDescent="0.3">
      <c r="A62" s="240"/>
      <c r="B62" s="511" t="s">
        <v>248</v>
      </c>
      <c r="C62" s="512"/>
      <c r="D62" s="512"/>
      <c r="E62" s="512"/>
      <c r="F62" s="513"/>
      <c r="G62" s="329"/>
      <c r="H62" s="329"/>
      <c r="I62" s="339"/>
      <c r="J62" s="370"/>
      <c r="K62" s="373" t="s">
        <v>206</v>
      </c>
      <c r="L62" s="43">
        <f>L64+L66+L68+L70+L72</f>
        <v>108870000</v>
      </c>
      <c r="M62" s="43">
        <f>M70+M72</f>
        <v>0</v>
      </c>
      <c r="N62" s="43">
        <f t="shared" si="8"/>
        <v>108870000</v>
      </c>
      <c r="O62" s="337"/>
      <c r="P62" s="337"/>
      <c r="Q62" s="364">
        <f>Q63+Q66+Q68+Q70+Q72</f>
        <v>5133000</v>
      </c>
      <c r="R62" s="364">
        <v>26099630</v>
      </c>
      <c r="S62" s="364">
        <f>Q62+R62</f>
        <v>31232630</v>
      </c>
      <c r="T62" s="327">
        <f>S62/N62*100</f>
        <v>28.688004041517406</v>
      </c>
      <c r="U62" s="43">
        <f t="shared" si="9"/>
        <v>77637370</v>
      </c>
      <c r="V62" s="42">
        <f t="shared" si="2"/>
        <v>38818685</v>
      </c>
      <c r="W62" s="22">
        <f t="shared" si="10"/>
        <v>4.7147974648663542</v>
      </c>
      <c r="X62" s="22">
        <f t="shared" si="1"/>
        <v>4.7147974648663542</v>
      </c>
      <c r="Z62" s="65">
        <f t="shared" si="4"/>
        <v>4.7147974648663542</v>
      </c>
      <c r="AA62" s="1" t="s">
        <v>114</v>
      </c>
    </row>
    <row r="63" spans="1:27" x14ac:dyDescent="0.25">
      <c r="A63" s="240"/>
      <c r="B63" s="329"/>
      <c r="C63" s="331"/>
      <c r="D63" s="323"/>
      <c r="E63" s="323"/>
      <c r="F63" s="323"/>
      <c r="G63" s="322"/>
      <c r="H63" s="322"/>
      <c r="I63" s="323"/>
      <c r="J63" s="362"/>
      <c r="K63" s="368" t="s">
        <v>274</v>
      </c>
      <c r="L63" s="337">
        <v>60090000</v>
      </c>
      <c r="M63" s="337"/>
      <c r="N63" s="337">
        <v>60090000</v>
      </c>
      <c r="O63" s="337"/>
      <c r="P63" s="337"/>
      <c r="Q63" s="363">
        <v>5000000</v>
      </c>
      <c r="R63" s="364">
        <v>15000000</v>
      </c>
      <c r="S63" s="364">
        <f>Q63+R63</f>
        <v>20000000</v>
      </c>
      <c r="T63" s="327"/>
      <c r="U63" s="43">
        <f t="shared" si="9"/>
        <v>40090000</v>
      </c>
      <c r="V63" s="42">
        <f t="shared" si="2"/>
        <v>20045000</v>
      </c>
      <c r="W63" s="22"/>
      <c r="X63" s="22"/>
      <c r="Z63" s="22">
        <f t="shared" si="4"/>
        <v>8.320852055250457</v>
      </c>
    </row>
    <row r="64" spans="1:27" hidden="1" x14ac:dyDescent="0.25">
      <c r="A64" s="240"/>
      <c r="B64" s="329"/>
      <c r="C64" s="331"/>
      <c r="D64" s="323"/>
      <c r="E64" s="323"/>
      <c r="F64" s="323"/>
      <c r="G64" s="322"/>
      <c r="H64" s="322"/>
      <c r="I64" s="323"/>
      <c r="J64" s="362"/>
      <c r="K64" s="368" t="s">
        <v>207</v>
      </c>
      <c r="L64" s="337">
        <v>60090000</v>
      </c>
      <c r="M64" s="337">
        <v>0</v>
      </c>
      <c r="N64" s="43">
        <f t="shared" si="8"/>
        <v>60090000</v>
      </c>
      <c r="O64" s="337"/>
      <c r="P64" s="337"/>
      <c r="Q64" s="363">
        <v>5000000</v>
      </c>
      <c r="R64" s="364">
        <v>15000000</v>
      </c>
      <c r="S64" s="364">
        <f>Q64+R64</f>
        <v>20000000</v>
      </c>
      <c r="T64" s="327">
        <f>S64/N64*100</f>
        <v>33.283408221001828</v>
      </c>
      <c r="U64" s="43">
        <f t="shared" si="9"/>
        <v>40090000</v>
      </c>
      <c r="V64" s="42"/>
      <c r="W64" s="22"/>
      <c r="X64" s="22">
        <f t="shared" si="1"/>
        <v>8.320852055250457</v>
      </c>
      <c r="Z64" s="22"/>
    </row>
    <row r="65" spans="1:26" x14ac:dyDescent="0.25">
      <c r="A65" s="240"/>
      <c r="B65" s="329"/>
      <c r="C65" s="331"/>
      <c r="D65" s="323"/>
      <c r="E65" s="323"/>
      <c r="F65" s="323"/>
      <c r="G65" s="322"/>
      <c r="H65" s="322"/>
      <c r="I65" s="323"/>
      <c r="J65" s="362"/>
      <c r="K65" s="368"/>
      <c r="L65" s="337"/>
      <c r="M65" s="337"/>
      <c r="N65" s="337"/>
      <c r="O65" s="337"/>
      <c r="P65" s="337"/>
      <c r="Q65" s="363"/>
      <c r="R65" s="364"/>
      <c r="S65" s="364"/>
      <c r="T65" s="327"/>
      <c r="U65" s="43"/>
      <c r="V65" s="42"/>
      <c r="W65" s="22"/>
      <c r="X65" s="22"/>
      <c r="Z65" s="22"/>
    </row>
    <row r="66" spans="1:26" x14ac:dyDescent="0.25">
      <c r="A66" s="240"/>
      <c r="B66" s="329"/>
      <c r="C66" s="331"/>
      <c r="D66" s="323"/>
      <c r="E66" s="323"/>
      <c r="F66" s="323"/>
      <c r="G66" s="322"/>
      <c r="H66" s="322"/>
      <c r="I66" s="323"/>
      <c r="J66" s="362"/>
      <c r="K66" s="368" t="s">
        <v>208</v>
      </c>
      <c r="L66" s="337">
        <v>25700000</v>
      </c>
      <c r="M66" s="337">
        <v>0</v>
      </c>
      <c r="N66" s="43">
        <f t="shared" si="8"/>
        <v>25700000</v>
      </c>
      <c r="O66" s="337"/>
      <c r="P66" s="337"/>
      <c r="Q66" s="76">
        <v>64000</v>
      </c>
      <c r="R66" s="364">
        <v>6665744</v>
      </c>
      <c r="S66" s="364">
        <f>Q66+R66</f>
        <v>6729744</v>
      </c>
      <c r="T66" s="327">
        <f>S66/N66*100</f>
        <v>26.185774319066148</v>
      </c>
      <c r="U66" s="43">
        <f t="shared" si="9"/>
        <v>18970256</v>
      </c>
      <c r="V66" s="42"/>
      <c r="W66" s="22"/>
      <c r="X66" s="22">
        <f t="shared" si="1"/>
        <v>0.24902723735408561</v>
      </c>
      <c r="Z66" s="22"/>
    </row>
    <row r="67" spans="1:26" x14ac:dyDescent="0.25">
      <c r="A67" s="240"/>
      <c r="B67" s="329"/>
      <c r="C67" s="331"/>
      <c r="D67" s="323"/>
      <c r="E67" s="323"/>
      <c r="F67" s="323"/>
      <c r="G67" s="322"/>
      <c r="H67" s="322"/>
      <c r="I67" s="323"/>
      <c r="J67" s="362"/>
      <c r="K67" s="368"/>
      <c r="L67" s="337"/>
      <c r="M67" s="337"/>
      <c r="N67" s="337"/>
      <c r="O67" s="337"/>
      <c r="P67" s="337"/>
      <c r="Q67" s="363"/>
      <c r="R67" s="364"/>
      <c r="S67" s="364"/>
      <c r="T67" s="327"/>
      <c r="U67" s="43"/>
      <c r="V67" s="42"/>
      <c r="W67" s="22"/>
      <c r="X67" s="22"/>
      <c r="Z67" s="22"/>
    </row>
    <row r="68" spans="1:26" x14ac:dyDescent="0.25">
      <c r="A68" s="240"/>
      <c r="B68" s="329"/>
      <c r="C68" s="331"/>
      <c r="D68" s="323"/>
      <c r="E68" s="323"/>
      <c r="F68" s="323"/>
      <c r="G68" s="322"/>
      <c r="H68" s="322"/>
      <c r="I68" s="323"/>
      <c r="J68" s="362"/>
      <c r="K68" s="368" t="s">
        <v>209</v>
      </c>
      <c r="L68" s="337">
        <v>11180000</v>
      </c>
      <c r="M68" s="337">
        <v>0</v>
      </c>
      <c r="N68" s="43">
        <f t="shared" si="8"/>
        <v>11180000</v>
      </c>
      <c r="O68" s="337"/>
      <c r="P68" s="337"/>
      <c r="Q68" s="76">
        <v>69000</v>
      </c>
      <c r="R68" s="364">
        <v>4268886</v>
      </c>
      <c r="S68" s="364">
        <f>Q68+R68</f>
        <v>4337886</v>
      </c>
      <c r="T68" s="327">
        <f>S68/N68*100</f>
        <v>38.800411449016096</v>
      </c>
      <c r="U68" s="43">
        <f t="shared" si="9"/>
        <v>6842114</v>
      </c>
      <c r="V68" s="42"/>
      <c r="W68" s="22"/>
      <c r="X68" s="22">
        <f t="shared" si="1"/>
        <v>0.61717352415026838</v>
      </c>
      <c r="Z68" s="22"/>
    </row>
    <row r="69" spans="1:26" x14ac:dyDescent="0.25">
      <c r="A69" s="240"/>
      <c r="B69" s="329"/>
      <c r="C69" s="331"/>
      <c r="D69" s="323"/>
      <c r="E69" s="323"/>
      <c r="F69" s="323"/>
      <c r="G69" s="322"/>
      <c r="H69" s="322"/>
      <c r="I69" s="323"/>
      <c r="J69" s="362"/>
      <c r="K69" s="368"/>
      <c r="L69" s="337"/>
      <c r="M69" s="337"/>
      <c r="N69" s="337"/>
      <c r="O69" s="337"/>
      <c r="P69" s="337"/>
      <c r="Q69" s="363"/>
      <c r="R69" s="364"/>
      <c r="S69" s="364"/>
      <c r="T69" s="327"/>
      <c r="U69" s="43"/>
      <c r="V69" s="42"/>
      <c r="W69" s="22"/>
      <c r="X69" s="22"/>
      <c r="Z69" s="22"/>
    </row>
    <row r="70" spans="1:26" x14ac:dyDescent="0.25">
      <c r="A70" s="240"/>
      <c r="B70" s="329"/>
      <c r="C70" s="331"/>
      <c r="D70" s="323"/>
      <c r="E70" s="323"/>
      <c r="F70" s="323"/>
      <c r="G70" s="322"/>
      <c r="H70" s="322"/>
      <c r="I70" s="323"/>
      <c r="J70" s="362"/>
      <c r="K70" s="369" t="s">
        <v>210</v>
      </c>
      <c r="L70" s="43">
        <v>11500000</v>
      </c>
      <c r="M70" s="43">
        <v>0</v>
      </c>
      <c r="N70" s="43">
        <f t="shared" si="8"/>
        <v>11500000</v>
      </c>
      <c r="O70" s="337"/>
      <c r="P70" s="337"/>
      <c r="Q70" s="76">
        <v>0</v>
      </c>
      <c r="R70" s="364">
        <v>0</v>
      </c>
      <c r="S70" s="364">
        <f>Q70+R70</f>
        <v>0</v>
      </c>
      <c r="T70" s="327">
        <f>S70/N70*100</f>
        <v>0</v>
      </c>
      <c r="U70" s="43">
        <f t="shared" si="9"/>
        <v>11500000</v>
      </c>
      <c r="V70" s="42">
        <f t="shared" si="2"/>
        <v>5750000</v>
      </c>
      <c r="W70" s="22">
        <f t="shared" si="10"/>
        <v>0</v>
      </c>
      <c r="X70" s="22">
        <f t="shared" si="1"/>
        <v>0</v>
      </c>
      <c r="Z70" s="22">
        <f t="shared" si="4"/>
        <v>0</v>
      </c>
    </row>
    <row r="71" spans="1:26" x14ac:dyDescent="0.25">
      <c r="A71" s="240"/>
      <c r="B71" s="329"/>
      <c r="C71" s="331"/>
      <c r="D71" s="323"/>
      <c r="E71" s="323"/>
      <c r="F71" s="323"/>
      <c r="G71" s="322"/>
      <c r="H71" s="322"/>
      <c r="I71" s="323"/>
      <c r="J71" s="362"/>
      <c r="K71" s="369"/>
      <c r="L71" s="43" t="s">
        <v>212</v>
      </c>
      <c r="M71" s="43"/>
      <c r="N71" s="337"/>
      <c r="O71" s="337"/>
      <c r="P71" s="337"/>
      <c r="Q71" s="364"/>
      <c r="R71" s="364"/>
      <c r="S71" s="364"/>
      <c r="T71" s="327"/>
      <c r="U71" s="43"/>
      <c r="V71" s="42">
        <f t="shared" si="2"/>
        <v>0</v>
      </c>
      <c r="W71" s="22"/>
      <c r="X71" s="22"/>
      <c r="Z71" s="22" t="e">
        <f t="shared" si="4"/>
        <v>#DIV/0!</v>
      </c>
    </row>
    <row r="72" spans="1:26" x14ac:dyDescent="0.25">
      <c r="A72" s="240"/>
      <c r="B72" s="329"/>
      <c r="C72" s="331"/>
      <c r="D72" s="323"/>
      <c r="E72" s="323"/>
      <c r="F72" s="323"/>
      <c r="G72" s="322"/>
      <c r="H72" s="322"/>
      <c r="I72" s="323"/>
      <c r="J72" s="362"/>
      <c r="K72" s="369" t="s">
        <v>211</v>
      </c>
      <c r="L72" s="43">
        <v>400000</v>
      </c>
      <c r="M72" s="43">
        <v>0</v>
      </c>
      <c r="N72" s="43">
        <f t="shared" si="8"/>
        <v>400000</v>
      </c>
      <c r="O72" s="337"/>
      <c r="P72" s="337"/>
      <c r="Q72" s="364">
        <v>0</v>
      </c>
      <c r="R72" s="364">
        <v>165000</v>
      </c>
      <c r="S72" s="364">
        <f>Q72+R72</f>
        <v>165000</v>
      </c>
      <c r="T72" s="327">
        <f>S72/N72*100</f>
        <v>41.25</v>
      </c>
      <c r="U72" s="43">
        <f t="shared" si="9"/>
        <v>235000</v>
      </c>
      <c r="V72" s="42">
        <f t="shared" si="2"/>
        <v>117500</v>
      </c>
      <c r="W72" s="22">
        <f t="shared" si="10"/>
        <v>0</v>
      </c>
      <c r="X72" s="22">
        <f t="shared" si="1"/>
        <v>0</v>
      </c>
      <c r="Z72" s="22">
        <f t="shared" si="4"/>
        <v>0</v>
      </c>
    </row>
    <row r="73" spans="1:26" x14ac:dyDescent="0.25">
      <c r="A73" s="240"/>
      <c r="B73" s="329"/>
      <c r="C73" s="331"/>
      <c r="D73" s="323"/>
      <c r="E73" s="323"/>
      <c r="F73" s="323"/>
      <c r="G73" s="322"/>
      <c r="H73" s="322"/>
      <c r="I73" s="323"/>
      <c r="J73" s="362"/>
      <c r="K73" s="368"/>
      <c r="L73" s="337"/>
      <c r="M73" s="337"/>
      <c r="N73" s="337"/>
      <c r="O73" s="337"/>
      <c r="P73" s="337"/>
      <c r="Q73" s="363"/>
      <c r="R73" s="364"/>
      <c r="S73" s="364"/>
      <c r="T73" s="327"/>
      <c r="U73" s="43"/>
      <c r="V73" s="42">
        <f t="shared" si="2"/>
        <v>0</v>
      </c>
      <c r="W73" s="22"/>
      <c r="X73" s="22"/>
      <c r="Z73" s="22" t="e">
        <f t="shared" si="4"/>
        <v>#DIV/0!</v>
      </c>
    </row>
    <row r="74" spans="1:26" ht="17.25" x14ac:dyDescent="0.3">
      <c r="A74" s="240"/>
      <c r="B74" s="511" t="s">
        <v>249</v>
      </c>
      <c r="C74" s="512"/>
      <c r="D74" s="512"/>
      <c r="E74" s="512"/>
      <c r="F74" s="513"/>
      <c r="G74" s="329"/>
      <c r="H74" s="329"/>
      <c r="I74" s="339"/>
      <c r="J74" s="370"/>
      <c r="K74" s="361" t="s">
        <v>213</v>
      </c>
      <c r="L74" s="43">
        <v>1000000</v>
      </c>
      <c r="M74" s="43">
        <v>0</v>
      </c>
      <c r="N74" s="43">
        <f t="shared" si="8"/>
        <v>1000000</v>
      </c>
      <c r="O74" s="337"/>
      <c r="P74" s="337"/>
      <c r="Q74" s="364">
        <v>0</v>
      </c>
      <c r="R74" s="364">
        <v>500000</v>
      </c>
      <c r="S74" s="364">
        <f>Q74+R74</f>
        <v>500000</v>
      </c>
      <c r="T74" s="327">
        <f>S74/N74*100</f>
        <v>50</v>
      </c>
      <c r="U74" s="43">
        <f t="shared" si="9"/>
        <v>500000</v>
      </c>
      <c r="V74" s="42">
        <f t="shared" si="2"/>
        <v>250000</v>
      </c>
      <c r="W74" s="22">
        <f t="shared" si="10"/>
        <v>0</v>
      </c>
      <c r="X74" s="22">
        <f t="shared" si="1"/>
        <v>0</v>
      </c>
      <c r="Z74" s="65">
        <f t="shared" si="4"/>
        <v>0</v>
      </c>
    </row>
    <row r="75" spans="1:26" x14ac:dyDescent="0.25">
      <c r="A75" s="240"/>
      <c r="B75" s="329"/>
      <c r="C75" s="331"/>
      <c r="D75" s="323"/>
      <c r="E75" s="323"/>
      <c r="F75" s="323"/>
      <c r="G75" s="322"/>
      <c r="H75" s="322"/>
      <c r="I75" s="323"/>
      <c r="J75" s="362"/>
      <c r="K75" s="368"/>
      <c r="L75" s="337"/>
      <c r="M75" s="337"/>
      <c r="N75" s="337"/>
      <c r="O75" s="337"/>
      <c r="P75" s="337"/>
      <c r="Q75" s="363"/>
      <c r="R75" s="364"/>
      <c r="S75" s="364"/>
      <c r="T75" s="327"/>
      <c r="U75" s="43"/>
      <c r="V75" s="42">
        <f t="shared" si="2"/>
        <v>0</v>
      </c>
      <c r="W75" s="22"/>
      <c r="X75" s="22"/>
      <c r="Z75" s="22" t="e">
        <f t="shared" si="4"/>
        <v>#DIV/0!</v>
      </c>
    </row>
    <row r="76" spans="1:26" x14ac:dyDescent="0.25">
      <c r="A76" s="240"/>
      <c r="B76" s="511" t="s">
        <v>250</v>
      </c>
      <c r="C76" s="512"/>
      <c r="D76" s="512"/>
      <c r="E76" s="512"/>
      <c r="F76" s="513"/>
      <c r="G76" s="329"/>
      <c r="H76" s="329"/>
      <c r="I76" s="339"/>
      <c r="J76" s="370"/>
      <c r="K76" s="369" t="s">
        <v>214</v>
      </c>
      <c r="L76" s="43">
        <f>L78+L80</f>
        <v>60000000</v>
      </c>
      <c r="M76" s="43">
        <f>M78+M80</f>
        <v>0</v>
      </c>
      <c r="N76" s="43">
        <f t="shared" si="8"/>
        <v>60000000</v>
      </c>
      <c r="O76" s="337"/>
      <c r="P76" s="337"/>
      <c r="Q76" s="364">
        <f>Q78+Q80</f>
        <v>30641000</v>
      </c>
      <c r="R76" s="364">
        <v>1810000</v>
      </c>
      <c r="S76" s="364">
        <f>Q76+R76</f>
        <v>32451000</v>
      </c>
      <c r="T76" s="327">
        <f>S76/N76*100</f>
        <v>54.085000000000008</v>
      </c>
      <c r="U76" s="43">
        <f t="shared" si="9"/>
        <v>27549000</v>
      </c>
      <c r="V76" s="42">
        <f t="shared" si="2"/>
        <v>13774500</v>
      </c>
      <c r="W76" s="22">
        <f t="shared" si="10"/>
        <v>51.068333333333335</v>
      </c>
      <c r="X76" s="22">
        <f t="shared" ref="X76:X130" si="11">Q76/N76*100</f>
        <v>51.068333333333335</v>
      </c>
      <c r="Z76" s="65">
        <f t="shared" si="4"/>
        <v>51.068333333333335</v>
      </c>
    </row>
    <row r="77" spans="1:26" x14ac:dyDescent="0.25">
      <c r="A77" s="240"/>
      <c r="B77" s="329"/>
      <c r="C77" s="331"/>
      <c r="D77" s="323"/>
      <c r="E77" s="323"/>
      <c r="F77" s="323"/>
      <c r="G77" s="322"/>
      <c r="H77" s="322"/>
      <c r="I77" s="323"/>
      <c r="J77" s="362"/>
      <c r="K77" s="368"/>
      <c r="L77" s="337"/>
      <c r="M77" s="337"/>
      <c r="N77" s="337"/>
      <c r="O77" s="337"/>
      <c r="P77" s="337"/>
      <c r="Q77" s="363"/>
      <c r="R77" s="364"/>
      <c r="S77" s="364"/>
      <c r="T77" s="327"/>
      <c r="U77" s="43"/>
      <c r="V77" s="42">
        <f t="shared" ref="V77:V130" si="12">U77/2</f>
        <v>0</v>
      </c>
      <c r="W77" s="22"/>
      <c r="X77" s="22"/>
      <c r="Z77" s="22" t="e">
        <f t="shared" si="4"/>
        <v>#DIV/0!</v>
      </c>
    </row>
    <row r="78" spans="1:26" x14ac:dyDescent="0.25">
      <c r="A78" s="240"/>
      <c r="B78" s="329"/>
      <c r="C78" s="331"/>
      <c r="D78" s="323"/>
      <c r="E78" s="323"/>
      <c r="F78" s="323"/>
      <c r="G78" s="322"/>
      <c r="H78" s="322"/>
      <c r="I78" s="323"/>
      <c r="J78" s="362"/>
      <c r="K78" s="369" t="s">
        <v>128</v>
      </c>
      <c r="L78" s="43">
        <v>28000000</v>
      </c>
      <c r="M78" s="43">
        <v>0</v>
      </c>
      <c r="N78" s="43">
        <f t="shared" si="8"/>
        <v>28000000</v>
      </c>
      <c r="O78" s="337"/>
      <c r="P78" s="337"/>
      <c r="Q78" s="76">
        <v>5000000</v>
      </c>
      <c r="R78" s="364">
        <v>1810000</v>
      </c>
      <c r="S78" s="364">
        <f>Q78+R78</f>
        <v>6810000</v>
      </c>
      <c r="T78" s="327">
        <f>S78/N78*100</f>
        <v>24.321428571428573</v>
      </c>
      <c r="U78" s="43">
        <f t="shared" si="9"/>
        <v>21190000</v>
      </c>
      <c r="V78" s="42">
        <f t="shared" si="12"/>
        <v>10595000</v>
      </c>
      <c r="W78" s="22">
        <f t="shared" si="10"/>
        <v>17.857142857142858</v>
      </c>
      <c r="X78" s="22">
        <f t="shared" si="11"/>
        <v>17.857142857142858</v>
      </c>
      <c r="Z78" s="22">
        <f t="shared" si="4"/>
        <v>17.857142857142858</v>
      </c>
    </row>
    <row r="79" spans="1:26" x14ac:dyDescent="0.25">
      <c r="A79" s="240"/>
      <c r="B79" s="329"/>
      <c r="C79" s="331"/>
      <c r="D79" s="323"/>
      <c r="E79" s="323"/>
      <c r="F79" s="323"/>
      <c r="G79" s="322"/>
      <c r="H79" s="322"/>
      <c r="I79" s="323"/>
      <c r="J79" s="362"/>
      <c r="K79" s="369"/>
      <c r="L79" s="43"/>
      <c r="M79" s="43"/>
      <c r="N79" s="337"/>
      <c r="O79" s="337"/>
      <c r="P79" s="337"/>
      <c r="Q79" s="364"/>
      <c r="R79" s="364"/>
      <c r="S79" s="364"/>
      <c r="T79" s="327"/>
      <c r="U79" s="43"/>
      <c r="V79" s="42">
        <f t="shared" si="12"/>
        <v>0</v>
      </c>
      <c r="W79" s="22"/>
      <c r="X79" s="22"/>
      <c r="Z79" s="22" t="e">
        <f t="shared" ref="Z79:Z129" si="13">Q79/N79*100</f>
        <v>#DIV/0!</v>
      </c>
    </row>
    <row r="80" spans="1:26" x14ac:dyDescent="0.25">
      <c r="A80" s="240"/>
      <c r="B80" s="329"/>
      <c r="C80" s="331"/>
      <c r="D80" s="323"/>
      <c r="E80" s="323"/>
      <c r="F80" s="323"/>
      <c r="G80" s="322"/>
      <c r="H80" s="322"/>
      <c r="I80" s="323"/>
      <c r="J80" s="362"/>
      <c r="K80" s="369" t="s">
        <v>129</v>
      </c>
      <c r="L80" s="43">
        <v>32000000</v>
      </c>
      <c r="M80" s="43">
        <v>0</v>
      </c>
      <c r="N80" s="43">
        <f t="shared" si="8"/>
        <v>32000000</v>
      </c>
      <c r="O80" s="337"/>
      <c r="P80" s="337"/>
      <c r="Q80" s="364">
        <v>25641000</v>
      </c>
      <c r="R80" s="364">
        <v>0</v>
      </c>
      <c r="S80" s="364">
        <f>Q80+R80</f>
        <v>25641000</v>
      </c>
      <c r="T80" s="327">
        <f>S80/N80*100</f>
        <v>80.128124999999997</v>
      </c>
      <c r="U80" s="43">
        <f t="shared" si="9"/>
        <v>6359000</v>
      </c>
      <c r="V80" s="42">
        <f t="shared" si="12"/>
        <v>3179500</v>
      </c>
      <c r="W80" s="22">
        <f t="shared" si="10"/>
        <v>80.128124999999997</v>
      </c>
      <c r="X80" s="22">
        <f t="shared" si="11"/>
        <v>80.128124999999997</v>
      </c>
      <c r="Z80" s="22">
        <f t="shared" si="13"/>
        <v>80.128124999999997</v>
      </c>
    </row>
    <row r="81" spans="1:26" x14ac:dyDescent="0.25">
      <c r="A81" s="240"/>
      <c r="B81" s="329"/>
      <c r="C81" s="331"/>
      <c r="D81" s="323"/>
      <c r="E81" s="323"/>
      <c r="F81" s="323"/>
      <c r="G81" s="322"/>
      <c r="H81" s="322"/>
      <c r="I81" s="323"/>
      <c r="J81" s="362"/>
      <c r="K81" s="368"/>
      <c r="L81" s="337"/>
      <c r="M81" s="337"/>
      <c r="N81" s="337"/>
      <c r="O81" s="337"/>
      <c r="P81" s="337"/>
      <c r="Q81" s="363"/>
      <c r="R81" s="364"/>
      <c r="S81" s="364"/>
      <c r="T81" s="327"/>
      <c r="U81" s="43"/>
      <c r="V81" s="42">
        <f t="shared" si="12"/>
        <v>0</v>
      </c>
      <c r="W81" s="22"/>
      <c r="X81" s="22"/>
      <c r="Z81" s="22" t="e">
        <f t="shared" si="13"/>
        <v>#DIV/0!</v>
      </c>
    </row>
    <row r="82" spans="1:26" x14ac:dyDescent="0.25">
      <c r="A82" s="240"/>
      <c r="B82" s="511" t="s">
        <v>251</v>
      </c>
      <c r="C82" s="512"/>
      <c r="D82" s="512"/>
      <c r="E82" s="512"/>
      <c r="F82" s="513"/>
      <c r="G82" s="329"/>
      <c r="H82" s="329"/>
      <c r="I82" s="339"/>
      <c r="J82" s="370"/>
      <c r="K82" s="369" t="s">
        <v>215</v>
      </c>
      <c r="L82" s="43">
        <v>10000000</v>
      </c>
      <c r="M82" s="43">
        <v>0</v>
      </c>
      <c r="N82" s="43">
        <f t="shared" si="8"/>
        <v>10000000</v>
      </c>
      <c r="O82" s="337"/>
      <c r="P82" s="337"/>
      <c r="Q82" s="364">
        <v>0</v>
      </c>
      <c r="R82" s="364">
        <v>1190000</v>
      </c>
      <c r="S82" s="364">
        <f>Q82+R82</f>
        <v>1190000</v>
      </c>
      <c r="T82" s="327">
        <f>S82/N82*100</f>
        <v>11.899999999999999</v>
      </c>
      <c r="U82" s="43">
        <f t="shared" si="9"/>
        <v>8810000</v>
      </c>
      <c r="V82" s="42">
        <f t="shared" si="12"/>
        <v>4405000</v>
      </c>
      <c r="W82" s="22">
        <f t="shared" si="10"/>
        <v>0</v>
      </c>
      <c r="X82" s="22">
        <f t="shared" si="11"/>
        <v>0</v>
      </c>
      <c r="Z82" s="65">
        <f t="shared" si="13"/>
        <v>0</v>
      </c>
    </row>
    <row r="83" spans="1:26" x14ac:dyDescent="0.25">
      <c r="A83" s="240"/>
      <c r="B83" s="329"/>
      <c r="C83" s="331"/>
      <c r="D83" s="323"/>
      <c r="E83" s="323"/>
      <c r="F83" s="323"/>
      <c r="G83" s="322"/>
      <c r="H83" s="322"/>
      <c r="I83" s="323"/>
      <c r="J83" s="362"/>
      <c r="K83" s="368"/>
      <c r="L83" s="337"/>
      <c r="M83" s="337"/>
      <c r="N83" s="337"/>
      <c r="O83" s="337"/>
      <c r="P83" s="337"/>
      <c r="Q83" s="363"/>
      <c r="R83" s="364"/>
      <c r="S83" s="364"/>
      <c r="T83" s="327"/>
      <c r="U83" s="43"/>
      <c r="V83" s="42">
        <f t="shared" si="12"/>
        <v>0</v>
      </c>
      <c r="W83" s="22"/>
      <c r="X83" s="22"/>
      <c r="Z83" s="22" t="e">
        <f t="shared" si="13"/>
        <v>#DIV/0!</v>
      </c>
    </row>
    <row r="84" spans="1:26" x14ac:dyDescent="0.25">
      <c r="A84" s="240"/>
      <c r="B84" s="511" t="s">
        <v>252</v>
      </c>
      <c r="C84" s="512"/>
      <c r="D84" s="512"/>
      <c r="E84" s="512"/>
      <c r="F84" s="513"/>
      <c r="G84" s="322"/>
      <c r="H84" s="322"/>
      <c r="I84" s="323"/>
      <c r="J84" s="362"/>
      <c r="K84" s="369" t="s">
        <v>216</v>
      </c>
      <c r="L84" s="337">
        <f>L86+L88</f>
        <v>48000000</v>
      </c>
      <c r="M84" s="337">
        <v>0</v>
      </c>
      <c r="N84" s="337">
        <f>L84-M84</f>
        <v>48000000</v>
      </c>
      <c r="O84" s="337"/>
      <c r="P84" s="337"/>
      <c r="Q84" s="363">
        <f>Q86+Q88</f>
        <v>42590700</v>
      </c>
      <c r="R84" s="364">
        <v>0</v>
      </c>
      <c r="S84" s="364">
        <f>Q84+R84</f>
        <v>42590700</v>
      </c>
      <c r="T84" s="327">
        <f>S84/N84*100</f>
        <v>88.730625000000003</v>
      </c>
      <c r="U84" s="43">
        <f t="shared" si="9"/>
        <v>5409300</v>
      </c>
      <c r="V84" s="42"/>
      <c r="W84" s="22"/>
      <c r="X84" s="22">
        <f t="shared" si="11"/>
        <v>88.730625000000003</v>
      </c>
      <c r="Z84" s="65">
        <f t="shared" si="13"/>
        <v>88.730625000000003</v>
      </c>
    </row>
    <row r="85" spans="1:26" x14ac:dyDescent="0.25">
      <c r="A85" s="240"/>
      <c r="B85" s="329"/>
      <c r="C85" s="331"/>
      <c r="D85" s="323"/>
      <c r="E85" s="323"/>
      <c r="F85" s="323"/>
      <c r="G85" s="322"/>
      <c r="H85" s="322"/>
      <c r="I85" s="323"/>
      <c r="J85" s="362"/>
      <c r="K85" s="368"/>
      <c r="L85" s="337"/>
      <c r="M85" s="337"/>
      <c r="N85" s="337"/>
      <c r="O85" s="337"/>
      <c r="P85" s="337"/>
      <c r="Q85" s="363"/>
      <c r="R85" s="364"/>
      <c r="S85" s="364"/>
      <c r="T85" s="327"/>
      <c r="U85" s="43"/>
      <c r="V85" s="42"/>
      <c r="W85" s="22"/>
      <c r="X85" s="22"/>
      <c r="Z85" s="22" t="e">
        <f t="shared" si="13"/>
        <v>#DIV/0!</v>
      </c>
    </row>
    <row r="86" spans="1:26" x14ac:dyDescent="0.25">
      <c r="A86" s="240"/>
      <c r="B86" s="329"/>
      <c r="C86" s="331"/>
      <c r="D86" s="323"/>
      <c r="E86" s="323"/>
      <c r="F86" s="323"/>
      <c r="G86" s="322"/>
      <c r="H86" s="322"/>
      <c r="I86" s="323"/>
      <c r="J86" s="362"/>
      <c r="K86" s="368" t="s">
        <v>217</v>
      </c>
      <c r="L86" s="337">
        <v>43000000</v>
      </c>
      <c r="M86" s="337">
        <v>0</v>
      </c>
      <c r="N86" s="43">
        <f t="shared" ref="N86" si="14">L86-M86</f>
        <v>43000000</v>
      </c>
      <c r="O86" s="337"/>
      <c r="P86" s="337"/>
      <c r="Q86" s="363">
        <v>42590700</v>
      </c>
      <c r="R86" s="364">
        <v>0</v>
      </c>
      <c r="S86" s="364">
        <f>Q86+R86</f>
        <v>42590700</v>
      </c>
      <c r="T86" s="327"/>
      <c r="U86" s="43">
        <f t="shared" si="9"/>
        <v>409300</v>
      </c>
      <c r="V86" s="42"/>
      <c r="W86" s="22"/>
      <c r="X86" s="22">
        <f t="shared" si="11"/>
        <v>99.048139534883717</v>
      </c>
      <c r="Z86" s="65">
        <f t="shared" si="13"/>
        <v>99.048139534883717</v>
      </c>
    </row>
    <row r="87" spans="1:26" x14ac:dyDescent="0.25">
      <c r="A87" s="240"/>
      <c r="B87" s="329"/>
      <c r="C87" s="331"/>
      <c r="D87" s="323"/>
      <c r="E87" s="323"/>
      <c r="F87" s="323"/>
      <c r="G87" s="322"/>
      <c r="H87" s="322"/>
      <c r="I87" s="323"/>
      <c r="J87" s="362"/>
      <c r="K87" s="368"/>
      <c r="L87" s="337"/>
      <c r="M87" s="337"/>
      <c r="N87" s="337"/>
      <c r="O87" s="337"/>
      <c r="P87" s="337"/>
      <c r="Q87" s="363"/>
      <c r="R87" s="364"/>
      <c r="S87" s="364"/>
      <c r="T87" s="327"/>
      <c r="U87" s="43"/>
      <c r="V87" s="42"/>
      <c r="W87" s="22"/>
      <c r="X87" s="22"/>
      <c r="Z87" s="22" t="e">
        <f t="shared" si="13"/>
        <v>#DIV/0!</v>
      </c>
    </row>
    <row r="88" spans="1:26" x14ac:dyDescent="0.25">
      <c r="A88" s="240"/>
      <c r="B88" s="329"/>
      <c r="C88" s="331"/>
      <c r="D88" s="323"/>
      <c r="E88" s="323"/>
      <c r="F88" s="323"/>
      <c r="G88" s="322"/>
      <c r="H88" s="322"/>
      <c r="I88" s="323"/>
      <c r="J88" s="362"/>
      <c r="K88" s="368" t="s">
        <v>218</v>
      </c>
      <c r="L88" s="337">
        <v>5000000</v>
      </c>
      <c r="M88" s="337">
        <v>0</v>
      </c>
      <c r="N88" s="43">
        <f t="shared" ref="N88" si="15">L88-M88</f>
        <v>5000000</v>
      </c>
      <c r="O88" s="337"/>
      <c r="P88" s="337"/>
      <c r="Q88" s="363">
        <v>0</v>
      </c>
      <c r="R88" s="364">
        <v>0</v>
      </c>
      <c r="S88" s="364">
        <f>Q88+R88</f>
        <v>0</v>
      </c>
      <c r="T88" s="327"/>
      <c r="U88" s="43">
        <f t="shared" si="9"/>
        <v>5000000</v>
      </c>
      <c r="V88" s="42"/>
      <c r="W88" s="22"/>
      <c r="X88" s="22">
        <f t="shared" si="11"/>
        <v>0</v>
      </c>
      <c r="Z88" s="65">
        <f t="shared" si="13"/>
        <v>0</v>
      </c>
    </row>
    <row r="89" spans="1:26" x14ac:dyDescent="0.25">
      <c r="A89" s="240"/>
      <c r="B89" s="329"/>
      <c r="C89" s="331"/>
      <c r="D89" s="323"/>
      <c r="E89" s="323"/>
      <c r="F89" s="323"/>
      <c r="G89" s="322"/>
      <c r="H89" s="322"/>
      <c r="I89" s="323"/>
      <c r="J89" s="362"/>
      <c r="K89" s="368"/>
      <c r="L89" s="337"/>
      <c r="M89" s="337"/>
      <c r="N89" s="43"/>
      <c r="O89" s="337"/>
      <c r="P89" s="337"/>
      <c r="Q89" s="363"/>
      <c r="R89" s="364"/>
      <c r="S89" s="364"/>
      <c r="T89" s="327"/>
      <c r="U89" s="43"/>
      <c r="V89" s="42"/>
      <c r="W89" s="22"/>
      <c r="X89" s="22"/>
      <c r="Z89" s="22" t="e">
        <f t="shared" si="13"/>
        <v>#DIV/0!</v>
      </c>
    </row>
    <row r="90" spans="1:26" x14ac:dyDescent="0.25">
      <c r="A90" s="240"/>
      <c r="B90" s="511" t="s">
        <v>253</v>
      </c>
      <c r="C90" s="512"/>
      <c r="D90" s="512"/>
      <c r="E90" s="512"/>
      <c r="F90" s="513"/>
      <c r="G90" s="322"/>
      <c r="H90" s="322"/>
      <c r="I90" s="323"/>
      <c r="J90" s="362"/>
      <c r="K90" s="369" t="s">
        <v>219</v>
      </c>
      <c r="L90" s="337">
        <v>12500000</v>
      </c>
      <c r="M90" s="337">
        <v>0</v>
      </c>
      <c r="N90" s="337">
        <f>L90-M90</f>
        <v>12500000</v>
      </c>
      <c r="O90" s="337"/>
      <c r="P90" s="337"/>
      <c r="Q90" s="363">
        <v>1170500</v>
      </c>
      <c r="R90" s="364">
        <v>2650000</v>
      </c>
      <c r="S90" s="364">
        <f>Q90+R90</f>
        <v>3820500</v>
      </c>
      <c r="T90" s="327">
        <f>S90/N90*100</f>
        <v>30.564000000000004</v>
      </c>
      <c r="U90" s="43">
        <f t="shared" ref="U90" si="16">N90-S90</f>
        <v>8679500</v>
      </c>
      <c r="V90" s="42"/>
      <c r="W90" s="22"/>
      <c r="X90" s="22">
        <f t="shared" si="11"/>
        <v>9.3640000000000008</v>
      </c>
      <c r="Z90" s="65">
        <f t="shared" si="13"/>
        <v>9.3640000000000008</v>
      </c>
    </row>
    <row r="91" spans="1:26" x14ac:dyDescent="0.25">
      <c r="A91" s="240"/>
      <c r="B91" s="329"/>
      <c r="C91" s="331"/>
      <c r="D91" s="323"/>
      <c r="E91" s="323"/>
      <c r="F91" s="323"/>
      <c r="G91" s="322"/>
      <c r="H91" s="322"/>
      <c r="I91" s="323"/>
      <c r="J91" s="362"/>
      <c r="K91" s="368"/>
      <c r="L91" s="337"/>
      <c r="M91" s="337"/>
      <c r="N91" s="43"/>
      <c r="O91" s="337"/>
      <c r="P91" s="337"/>
      <c r="Q91" s="363"/>
      <c r="R91" s="364"/>
      <c r="S91" s="364"/>
      <c r="T91" s="327"/>
      <c r="U91" s="43"/>
      <c r="V91" s="42"/>
      <c r="W91" s="22"/>
      <c r="X91" s="22"/>
      <c r="Z91" s="22" t="e">
        <f t="shared" si="13"/>
        <v>#DIV/0!</v>
      </c>
    </row>
    <row r="92" spans="1:26" x14ac:dyDescent="0.25">
      <c r="A92" s="240"/>
      <c r="B92" s="511" t="s">
        <v>254</v>
      </c>
      <c r="C92" s="512"/>
      <c r="D92" s="512"/>
      <c r="E92" s="512"/>
      <c r="F92" s="513"/>
      <c r="G92" s="322"/>
      <c r="H92" s="322"/>
      <c r="I92" s="323"/>
      <c r="J92" s="362"/>
      <c r="K92" s="369" t="s">
        <v>220</v>
      </c>
      <c r="L92" s="337">
        <v>15000000</v>
      </c>
      <c r="M92" s="337">
        <v>0</v>
      </c>
      <c r="N92" s="337">
        <f>L92-M92</f>
        <v>15000000</v>
      </c>
      <c r="O92" s="337"/>
      <c r="P92" s="337"/>
      <c r="Q92" s="363">
        <v>0</v>
      </c>
      <c r="R92" s="364">
        <v>15000000</v>
      </c>
      <c r="S92" s="364">
        <f>Q92+R92</f>
        <v>15000000</v>
      </c>
      <c r="T92" s="327">
        <f>S92/N92*100</f>
        <v>100</v>
      </c>
      <c r="U92" s="43">
        <f t="shared" ref="U92" si="17">N92-S92</f>
        <v>0</v>
      </c>
      <c r="V92" s="42"/>
      <c r="W92" s="22"/>
      <c r="X92" s="22">
        <f t="shared" si="11"/>
        <v>0</v>
      </c>
      <c r="Z92" s="65">
        <f t="shared" si="13"/>
        <v>0</v>
      </c>
    </row>
    <row r="93" spans="1:26" x14ac:dyDescent="0.25">
      <c r="A93" s="240"/>
      <c r="B93" s="329"/>
      <c r="C93" s="331"/>
      <c r="D93" s="323"/>
      <c r="E93" s="323"/>
      <c r="F93" s="323"/>
      <c r="G93" s="322"/>
      <c r="H93" s="322"/>
      <c r="I93" s="323"/>
      <c r="J93" s="324"/>
      <c r="K93" s="334"/>
      <c r="L93" s="332"/>
      <c r="M93" s="332"/>
      <c r="N93" s="335"/>
      <c r="O93" s="332"/>
      <c r="P93" s="332"/>
      <c r="Q93" s="325"/>
      <c r="R93" s="141"/>
      <c r="S93" s="141"/>
      <c r="T93" s="327"/>
      <c r="U93" s="43"/>
      <c r="V93" s="42"/>
      <c r="W93" s="22"/>
      <c r="X93" s="22"/>
      <c r="Z93" s="22" t="e">
        <f t="shared" si="13"/>
        <v>#DIV/0!</v>
      </c>
    </row>
    <row r="94" spans="1:26" x14ac:dyDescent="0.25">
      <c r="A94" s="240"/>
      <c r="B94" s="313">
        <v>4</v>
      </c>
      <c r="C94" s="331"/>
      <c r="D94" s="323"/>
      <c r="E94" s="323"/>
      <c r="F94" s="323"/>
      <c r="G94" s="322"/>
      <c r="H94" s="322"/>
      <c r="I94" s="323"/>
      <c r="J94" s="343"/>
      <c r="K94" s="344" t="s">
        <v>135</v>
      </c>
      <c r="L94" s="42">
        <f>L97+L109</f>
        <v>656145000</v>
      </c>
      <c r="M94" s="42">
        <f>M97+M109</f>
        <v>0</v>
      </c>
      <c r="N94" s="42">
        <f>L94-M94</f>
        <v>656145000</v>
      </c>
      <c r="O94" s="345"/>
      <c r="P94" s="345"/>
      <c r="Q94" s="42">
        <f>Q97+Q109</f>
        <v>46580000</v>
      </c>
      <c r="R94" s="42">
        <v>79220000</v>
      </c>
      <c r="S94" s="42">
        <f>Q94+R94</f>
        <v>125800000</v>
      </c>
      <c r="T94" s="291">
        <f>S94/N94*100</f>
        <v>19.172591424151676</v>
      </c>
      <c r="U94" s="42">
        <f t="shared" ref="U94:U120" si="18">N94-S94</f>
        <v>530345000</v>
      </c>
      <c r="V94" s="42">
        <f t="shared" si="12"/>
        <v>265172500</v>
      </c>
      <c r="W94" s="22">
        <f>Q94/N94*100</f>
        <v>7.099040608402106</v>
      </c>
      <c r="X94" s="22">
        <f t="shared" si="11"/>
        <v>7.099040608402106</v>
      </c>
      <c r="Z94" s="22">
        <f t="shared" si="13"/>
        <v>7.099040608402106</v>
      </c>
    </row>
    <row r="95" spans="1:26" x14ac:dyDescent="0.25">
      <c r="A95" s="240"/>
      <c r="B95" s="329"/>
      <c r="C95" s="331"/>
      <c r="D95" s="323"/>
      <c r="E95" s="323"/>
      <c r="F95" s="323"/>
      <c r="G95" s="322"/>
      <c r="H95" s="322"/>
      <c r="I95" s="323"/>
      <c r="J95" s="324"/>
      <c r="K95" s="334"/>
      <c r="L95" s="332"/>
      <c r="M95" s="332"/>
      <c r="N95" s="335"/>
      <c r="O95" s="332"/>
      <c r="P95" s="332"/>
      <c r="Q95" s="325"/>
      <c r="R95" s="141"/>
      <c r="S95" s="141"/>
      <c r="T95" s="327"/>
      <c r="U95" s="43"/>
      <c r="V95" s="42">
        <f t="shared" si="12"/>
        <v>0</v>
      </c>
      <c r="W95" s="22"/>
      <c r="X95" s="22"/>
      <c r="Z95" s="22" t="e">
        <f t="shared" si="13"/>
        <v>#DIV/0!</v>
      </c>
    </row>
    <row r="96" spans="1:26" x14ac:dyDescent="0.25">
      <c r="A96" s="240"/>
      <c r="B96" s="329"/>
      <c r="C96" s="331"/>
      <c r="D96" s="323"/>
      <c r="E96" s="323"/>
      <c r="F96" s="323"/>
      <c r="G96" s="322"/>
      <c r="H96" s="322"/>
      <c r="I96" s="323"/>
      <c r="J96" s="324"/>
      <c r="K96" s="334"/>
      <c r="L96" s="332"/>
      <c r="M96" s="332"/>
      <c r="N96" s="335"/>
      <c r="O96" s="332"/>
      <c r="P96" s="332"/>
      <c r="Q96" s="325"/>
      <c r="R96" s="141"/>
      <c r="S96" s="141"/>
      <c r="T96" s="327"/>
      <c r="U96" s="43"/>
      <c r="V96" s="42">
        <f t="shared" si="12"/>
        <v>0</v>
      </c>
      <c r="W96" s="22"/>
      <c r="X96" s="22"/>
      <c r="Z96" s="22" t="e">
        <f t="shared" si="13"/>
        <v>#DIV/0!</v>
      </c>
    </row>
    <row r="97" spans="1:26" x14ac:dyDescent="0.25">
      <c r="A97" s="240"/>
      <c r="B97" s="313" t="s">
        <v>255</v>
      </c>
      <c r="C97" s="346"/>
      <c r="D97" s="341"/>
      <c r="E97" s="339"/>
      <c r="F97" s="339"/>
      <c r="G97" s="329"/>
      <c r="H97" s="329"/>
      <c r="I97" s="339"/>
      <c r="J97" s="340"/>
      <c r="K97" s="342" t="s">
        <v>256</v>
      </c>
      <c r="L97" s="117">
        <f>L99+L101+L103+L105+L107</f>
        <v>189650000</v>
      </c>
      <c r="M97" s="117">
        <f>M99+M101+M103+M105</f>
        <v>0</v>
      </c>
      <c r="N97" s="117">
        <f t="shared" ref="N97:N128" si="19">L97-M97</f>
        <v>189650000</v>
      </c>
      <c r="O97" s="320"/>
      <c r="P97" s="320"/>
      <c r="Q97" s="330">
        <f>Q99+Q101+Q102</f>
        <v>3900000</v>
      </c>
      <c r="R97" s="330">
        <v>7050000</v>
      </c>
      <c r="S97" s="330">
        <f>Q97+R97</f>
        <v>10950000</v>
      </c>
      <c r="T97" s="321">
        <f>S97/N97*100</f>
        <v>5.7737938307408383</v>
      </c>
      <c r="U97" s="117">
        <f t="shared" si="18"/>
        <v>178700000</v>
      </c>
      <c r="V97" s="42">
        <f t="shared" si="12"/>
        <v>89350000</v>
      </c>
      <c r="W97" s="22">
        <f t="shared" ref="W97:W130" si="20">Q97/N97*100</f>
        <v>2.056419720537833</v>
      </c>
      <c r="X97" s="22">
        <f t="shared" si="11"/>
        <v>2.056419720537833</v>
      </c>
      <c r="Z97" s="65">
        <f t="shared" si="13"/>
        <v>2.056419720537833</v>
      </c>
    </row>
    <row r="98" spans="1:26" x14ac:dyDescent="0.25">
      <c r="A98" s="240"/>
      <c r="B98" s="329"/>
      <c r="C98" s="331"/>
      <c r="D98" s="323"/>
      <c r="E98" s="323"/>
      <c r="F98" s="323"/>
      <c r="G98" s="322"/>
      <c r="H98" s="322"/>
      <c r="I98" s="323"/>
      <c r="J98" s="324"/>
      <c r="K98" s="334"/>
      <c r="L98" s="332"/>
      <c r="M98" s="332"/>
      <c r="N98" s="335">
        <f t="shared" si="19"/>
        <v>0</v>
      </c>
      <c r="O98" s="332"/>
      <c r="P98" s="332"/>
      <c r="Q98" s="325"/>
      <c r="R98" s="141"/>
      <c r="S98" s="141"/>
      <c r="T98" s="327"/>
      <c r="U98" s="43"/>
      <c r="V98" s="42">
        <f t="shared" si="12"/>
        <v>0</v>
      </c>
      <c r="W98" s="22"/>
      <c r="X98" s="22"/>
      <c r="Z98" s="22" t="e">
        <f t="shared" si="13"/>
        <v>#DIV/0!</v>
      </c>
    </row>
    <row r="99" spans="1:26" x14ac:dyDescent="0.25">
      <c r="A99" s="240"/>
      <c r="B99" s="329"/>
      <c r="C99" s="331"/>
      <c r="D99" s="323"/>
      <c r="E99" s="323"/>
      <c r="F99" s="323"/>
      <c r="G99" s="322"/>
      <c r="H99" s="322"/>
      <c r="I99" s="323"/>
      <c r="J99" s="324"/>
      <c r="K99" s="336" t="s">
        <v>221</v>
      </c>
      <c r="L99" s="326">
        <v>39000000</v>
      </c>
      <c r="M99" s="326">
        <v>0</v>
      </c>
      <c r="N99" s="43">
        <f t="shared" si="19"/>
        <v>39000000</v>
      </c>
      <c r="O99" s="332"/>
      <c r="P99" s="332"/>
      <c r="Q99" s="141">
        <v>0</v>
      </c>
      <c r="R99" s="141">
        <v>0</v>
      </c>
      <c r="S99" s="141">
        <f>Q99+R99</f>
        <v>0</v>
      </c>
      <c r="T99" s="338">
        <f>S99/N99*100</f>
        <v>0</v>
      </c>
      <c r="U99" s="43">
        <f t="shared" si="18"/>
        <v>39000000</v>
      </c>
      <c r="V99" s="42">
        <f t="shared" si="12"/>
        <v>19500000</v>
      </c>
      <c r="W99" s="22">
        <f t="shared" si="20"/>
        <v>0</v>
      </c>
      <c r="X99" s="22">
        <f t="shared" si="11"/>
        <v>0</v>
      </c>
      <c r="Z99" s="22">
        <f t="shared" si="13"/>
        <v>0</v>
      </c>
    </row>
    <row r="100" spans="1:26" x14ac:dyDescent="0.25">
      <c r="A100" s="240"/>
      <c r="B100" s="329"/>
      <c r="C100" s="331"/>
      <c r="D100" s="323"/>
      <c r="E100" s="323"/>
      <c r="F100" s="323"/>
      <c r="G100" s="322"/>
      <c r="H100" s="322"/>
      <c r="I100" s="323"/>
      <c r="J100" s="324"/>
      <c r="K100" s="336"/>
      <c r="L100" s="43">
        <f>L101+L103+L105+L107</f>
        <v>150650000</v>
      </c>
      <c r="M100" s="43"/>
      <c r="N100" s="43">
        <f>N101+N103+N105+N107</f>
        <v>150650000</v>
      </c>
      <c r="O100" s="337"/>
      <c r="P100" s="337"/>
      <c r="Q100" s="43">
        <f>Q101+Q103+Q105+Q107</f>
        <v>3900000</v>
      </c>
      <c r="R100" s="43">
        <v>7500000</v>
      </c>
      <c r="S100" s="43">
        <f>S101+S103+S105+S107</f>
        <v>10950000</v>
      </c>
      <c r="T100" s="327"/>
      <c r="U100" s="43">
        <f t="shared" si="18"/>
        <v>139700000</v>
      </c>
      <c r="V100" s="270">
        <f t="shared" si="12"/>
        <v>69850000</v>
      </c>
      <c r="W100" s="273"/>
      <c r="X100" s="273">
        <f t="shared" si="11"/>
        <v>2.5887819449054099</v>
      </c>
      <c r="Y100" s="274"/>
      <c r="Z100" s="273">
        <f t="shared" si="13"/>
        <v>2.5887819449054099</v>
      </c>
    </row>
    <row r="101" spans="1:26" x14ac:dyDescent="0.25">
      <c r="A101" s="240"/>
      <c r="B101" s="329"/>
      <c r="C101" s="331"/>
      <c r="D101" s="323"/>
      <c r="E101" s="323"/>
      <c r="F101" s="323"/>
      <c r="G101" s="322"/>
      <c r="H101" s="322"/>
      <c r="I101" s="323"/>
      <c r="J101" s="324"/>
      <c r="K101" s="336" t="s">
        <v>222</v>
      </c>
      <c r="L101" s="326">
        <v>100000000</v>
      </c>
      <c r="M101" s="326">
        <v>0</v>
      </c>
      <c r="N101" s="335">
        <f t="shared" si="19"/>
        <v>100000000</v>
      </c>
      <c r="O101" s="332"/>
      <c r="P101" s="332"/>
      <c r="Q101" s="141">
        <v>0</v>
      </c>
      <c r="R101" s="141">
        <v>0</v>
      </c>
      <c r="S101" s="141">
        <f t="shared" ref="S101:S105" si="21">Q101+R101</f>
        <v>0</v>
      </c>
      <c r="T101" s="327"/>
      <c r="U101" s="43">
        <f t="shared" si="18"/>
        <v>100000000</v>
      </c>
      <c r="V101" s="42">
        <f t="shared" si="12"/>
        <v>50000000</v>
      </c>
      <c r="W101" s="22"/>
      <c r="X101" s="22">
        <f t="shared" si="11"/>
        <v>0</v>
      </c>
      <c r="Z101" s="22">
        <f t="shared" si="13"/>
        <v>0</v>
      </c>
    </row>
    <row r="102" spans="1:26" x14ac:dyDescent="0.25">
      <c r="A102" s="240"/>
      <c r="B102" s="329"/>
      <c r="C102" s="331"/>
      <c r="D102" s="323"/>
      <c r="E102" s="323"/>
      <c r="F102" s="323"/>
      <c r="G102" s="322"/>
      <c r="H102" s="322"/>
      <c r="I102" s="323"/>
      <c r="J102" s="324"/>
      <c r="K102" s="336" t="s">
        <v>275</v>
      </c>
      <c r="L102" s="326">
        <f>L103+L105+L107</f>
        <v>50650000</v>
      </c>
      <c r="M102" s="326"/>
      <c r="N102" s="326">
        <f>N103+N105+N107</f>
        <v>50650000</v>
      </c>
      <c r="O102" s="332"/>
      <c r="P102" s="332"/>
      <c r="Q102" s="326">
        <f>Q103+Q105+Q107</f>
        <v>3900000</v>
      </c>
      <c r="R102" s="326">
        <f>R103+R105+R107</f>
        <v>7050000</v>
      </c>
      <c r="S102" s="141">
        <f>Q102+R102</f>
        <v>10950000</v>
      </c>
      <c r="T102" s="327"/>
      <c r="U102" s="43">
        <f t="shared" si="18"/>
        <v>39700000</v>
      </c>
      <c r="V102" s="42">
        <f t="shared" si="12"/>
        <v>19850000</v>
      </c>
      <c r="W102" s="22"/>
      <c r="X102" s="22"/>
      <c r="Z102" s="22">
        <f t="shared" si="13"/>
        <v>7.6999012833168807</v>
      </c>
    </row>
    <row r="103" spans="1:26" x14ac:dyDescent="0.25">
      <c r="A103" s="240"/>
      <c r="B103" s="329"/>
      <c r="C103" s="331"/>
      <c r="D103" s="323"/>
      <c r="E103" s="323"/>
      <c r="F103" s="323"/>
      <c r="G103" s="322"/>
      <c r="H103" s="322"/>
      <c r="I103" s="323"/>
      <c r="J103" s="324"/>
      <c r="K103" s="336" t="s">
        <v>224</v>
      </c>
      <c r="L103" s="326">
        <v>3600000</v>
      </c>
      <c r="M103" s="326">
        <v>0</v>
      </c>
      <c r="N103" s="335">
        <f t="shared" si="19"/>
        <v>3600000</v>
      </c>
      <c r="O103" s="332"/>
      <c r="P103" s="332"/>
      <c r="Q103" s="141">
        <v>0</v>
      </c>
      <c r="R103" s="141">
        <v>0</v>
      </c>
      <c r="S103" s="141">
        <f t="shared" si="21"/>
        <v>0</v>
      </c>
      <c r="T103" s="327"/>
      <c r="U103" s="43">
        <f t="shared" si="18"/>
        <v>3600000</v>
      </c>
      <c r="V103" s="42">
        <f t="shared" si="12"/>
        <v>1800000</v>
      </c>
      <c r="W103" s="22"/>
      <c r="X103" s="22">
        <f t="shared" si="11"/>
        <v>0</v>
      </c>
      <c r="Z103" s="22">
        <f t="shared" si="13"/>
        <v>0</v>
      </c>
    </row>
    <row r="104" spans="1:26" x14ac:dyDescent="0.25">
      <c r="A104" s="240"/>
      <c r="B104" s="329"/>
      <c r="C104" s="331"/>
      <c r="D104" s="323"/>
      <c r="E104" s="323"/>
      <c r="F104" s="323"/>
      <c r="G104" s="322"/>
      <c r="H104" s="322"/>
      <c r="I104" s="323"/>
      <c r="J104" s="324"/>
      <c r="K104" s="336"/>
      <c r="L104" s="326"/>
      <c r="M104" s="326"/>
      <c r="N104" s="335"/>
      <c r="O104" s="332"/>
      <c r="P104" s="332"/>
      <c r="Q104" s="141"/>
      <c r="R104" s="141"/>
      <c r="S104" s="141"/>
      <c r="T104" s="327"/>
      <c r="U104" s="43"/>
      <c r="V104" s="42">
        <f t="shared" si="12"/>
        <v>0</v>
      </c>
      <c r="W104" s="22"/>
      <c r="X104" s="22"/>
      <c r="Z104" s="22" t="e">
        <f t="shared" si="13"/>
        <v>#DIV/0!</v>
      </c>
    </row>
    <row r="105" spans="1:26" x14ac:dyDescent="0.25">
      <c r="A105" s="240"/>
      <c r="B105" s="329"/>
      <c r="C105" s="331"/>
      <c r="D105" s="323"/>
      <c r="E105" s="323"/>
      <c r="F105" s="323"/>
      <c r="G105" s="322"/>
      <c r="H105" s="322"/>
      <c r="I105" s="323"/>
      <c r="J105" s="324"/>
      <c r="K105" s="336" t="s">
        <v>141</v>
      </c>
      <c r="L105" s="326">
        <v>43900000</v>
      </c>
      <c r="M105" s="326">
        <v>0</v>
      </c>
      <c r="N105" s="335">
        <f t="shared" si="19"/>
        <v>43900000</v>
      </c>
      <c r="O105" s="332"/>
      <c r="P105" s="332"/>
      <c r="Q105" s="141">
        <v>3900000</v>
      </c>
      <c r="R105" s="141">
        <v>7050000</v>
      </c>
      <c r="S105" s="141">
        <f t="shared" si="21"/>
        <v>10950000</v>
      </c>
      <c r="T105" s="338">
        <f>S105/N105*100</f>
        <v>24.943052391799544</v>
      </c>
      <c r="U105" s="43">
        <f t="shared" si="18"/>
        <v>32950000</v>
      </c>
      <c r="V105" s="42">
        <f t="shared" si="12"/>
        <v>16475000</v>
      </c>
      <c r="W105" s="22">
        <f t="shared" si="20"/>
        <v>8.8838268792710693</v>
      </c>
      <c r="X105" s="22">
        <f t="shared" si="11"/>
        <v>8.8838268792710693</v>
      </c>
      <c r="Z105" s="22">
        <f t="shared" si="13"/>
        <v>8.8838268792710693</v>
      </c>
    </row>
    <row r="106" spans="1:26" x14ac:dyDescent="0.25">
      <c r="A106" s="240"/>
      <c r="B106" s="329"/>
      <c r="C106" s="331"/>
      <c r="D106" s="323"/>
      <c r="E106" s="323"/>
      <c r="F106" s="323"/>
      <c r="G106" s="322"/>
      <c r="H106" s="322"/>
      <c r="I106" s="323"/>
      <c r="J106" s="324"/>
      <c r="K106" s="336"/>
      <c r="L106" s="326"/>
      <c r="M106" s="326"/>
      <c r="N106" s="335"/>
      <c r="O106" s="332"/>
      <c r="P106" s="332"/>
      <c r="Q106" s="141"/>
      <c r="R106" s="141"/>
      <c r="S106" s="141"/>
      <c r="T106" s="338"/>
      <c r="U106" s="43"/>
      <c r="V106" s="42"/>
      <c r="W106" s="22"/>
      <c r="X106" s="22"/>
      <c r="Z106" s="22"/>
    </row>
    <row r="107" spans="1:26" x14ac:dyDescent="0.25">
      <c r="A107" s="240"/>
      <c r="B107" s="329"/>
      <c r="C107" s="331"/>
      <c r="D107" s="323"/>
      <c r="E107" s="323"/>
      <c r="F107" s="323"/>
      <c r="G107" s="322"/>
      <c r="H107" s="322"/>
      <c r="I107" s="323"/>
      <c r="J107" s="324"/>
      <c r="K107" s="336" t="s">
        <v>223</v>
      </c>
      <c r="L107" s="326">
        <v>3150000</v>
      </c>
      <c r="M107" s="326">
        <v>0</v>
      </c>
      <c r="N107" s="335">
        <f t="shared" si="19"/>
        <v>3150000</v>
      </c>
      <c r="O107" s="332"/>
      <c r="P107" s="332"/>
      <c r="Q107" s="141"/>
      <c r="R107" s="141"/>
      <c r="S107" s="141"/>
      <c r="T107" s="338"/>
      <c r="U107" s="43">
        <f t="shared" si="18"/>
        <v>3150000</v>
      </c>
      <c r="V107" s="42"/>
      <c r="W107" s="22"/>
      <c r="X107" s="22">
        <f t="shared" si="11"/>
        <v>0</v>
      </c>
      <c r="Z107" s="22"/>
    </row>
    <row r="108" spans="1:26" x14ac:dyDescent="0.25">
      <c r="A108" s="240"/>
      <c r="B108" s="329"/>
      <c r="C108" s="331"/>
      <c r="D108" s="323"/>
      <c r="E108" s="323"/>
      <c r="F108" s="323"/>
      <c r="G108" s="322"/>
      <c r="H108" s="322"/>
      <c r="I108" s="323"/>
      <c r="J108" s="324"/>
      <c r="K108" s="334"/>
      <c r="L108" s="332"/>
      <c r="M108" s="332"/>
      <c r="N108" s="335"/>
      <c r="O108" s="332"/>
      <c r="P108" s="332"/>
      <c r="Q108" s="325"/>
      <c r="R108" s="141"/>
      <c r="S108" s="141"/>
      <c r="T108" s="327"/>
      <c r="U108" s="43"/>
      <c r="V108" s="42">
        <f t="shared" si="12"/>
        <v>0</v>
      </c>
      <c r="W108" s="22"/>
      <c r="X108" s="22"/>
      <c r="Z108" s="22" t="e">
        <f t="shared" si="13"/>
        <v>#DIV/0!</v>
      </c>
    </row>
    <row r="109" spans="1:26" x14ac:dyDescent="0.25">
      <c r="A109" s="232"/>
      <c r="B109" s="511" t="s">
        <v>257</v>
      </c>
      <c r="C109" s="512"/>
      <c r="D109" s="512"/>
      <c r="E109" s="512"/>
      <c r="F109" s="512"/>
      <c r="G109" s="513"/>
      <c r="H109" s="318"/>
      <c r="I109" s="319"/>
      <c r="J109" s="333"/>
      <c r="K109" s="347" t="s">
        <v>143</v>
      </c>
      <c r="L109" s="117">
        <f>L111+L113+L115+L122</f>
        <v>466495000</v>
      </c>
      <c r="M109" s="117">
        <f>M111+M113+M115+M120+M122</f>
        <v>0</v>
      </c>
      <c r="N109" s="117">
        <f t="shared" ref="N109" si="22">L109-M109</f>
        <v>466495000</v>
      </c>
      <c r="O109" s="320"/>
      <c r="P109" s="320"/>
      <c r="Q109" s="117">
        <f>Q111+Q113+Q115+Q120+Q122</f>
        <v>42680000</v>
      </c>
      <c r="R109" s="117">
        <v>72170000</v>
      </c>
      <c r="S109" s="117">
        <f t="shared" ref="S109:S120" si="23">Q109+R109</f>
        <v>114850000</v>
      </c>
      <c r="T109" s="321">
        <f>S109/N109*100</f>
        <v>24.619770844274857</v>
      </c>
      <c r="U109" s="117">
        <f t="shared" si="18"/>
        <v>351645000</v>
      </c>
      <c r="V109" s="42">
        <f t="shared" si="12"/>
        <v>175822500</v>
      </c>
      <c r="W109" s="22">
        <f t="shared" si="20"/>
        <v>9.1490798400840312</v>
      </c>
      <c r="X109" s="22">
        <f t="shared" si="11"/>
        <v>9.1490798400840312</v>
      </c>
      <c r="Z109" s="65">
        <f t="shared" si="13"/>
        <v>9.1490798400840312</v>
      </c>
    </row>
    <row r="110" spans="1:26" x14ac:dyDescent="0.25">
      <c r="A110" s="232"/>
      <c r="B110" s="314"/>
      <c r="C110" s="314"/>
      <c r="D110" s="348"/>
      <c r="E110" s="349"/>
      <c r="F110" s="349"/>
      <c r="G110" s="349"/>
      <c r="H110" s="318"/>
      <c r="I110" s="319"/>
      <c r="J110" s="312"/>
      <c r="K110" s="377"/>
      <c r="L110" s="43"/>
      <c r="M110" s="43"/>
      <c r="N110" s="43"/>
      <c r="O110" s="337"/>
      <c r="P110" s="337"/>
      <c r="Q110" s="43"/>
      <c r="R110" s="43"/>
      <c r="S110" s="43"/>
      <c r="T110" s="327"/>
      <c r="U110" s="43"/>
      <c r="V110" s="42"/>
      <c r="W110" s="22"/>
      <c r="X110" s="22"/>
      <c r="Z110" s="65"/>
    </row>
    <row r="111" spans="1:26" x14ac:dyDescent="0.25">
      <c r="A111" s="255"/>
      <c r="B111" s="328"/>
      <c r="C111" s="328"/>
      <c r="D111" s="350"/>
      <c r="E111" s="349"/>
      <c r="F111" s="349"/>
      <c r="G111" s="349"/>
      <c r="H111" s="318"/>
      <c r="I111" s="319"/>
      <c r="J111" s="362"/>
      <c r="K111" s="374" t="s">
        <v>225</v>
      </c>
      <c r="L111" s="43">
        <v>11750000</v>
      </c>
      <c r="M111" s="43">
        <v>0</v>
      </c>
      <c r="N111" s="337">
        <f t="shared" si="19"/>
        <v>11750000</v>
      </c>
      <c r="O111" s="43"/>
      <c r="P111" s="43"/>
      <c r="Q111" s="43">
        <v>660000</v>
      </c>
      <c r="R111" s="364">
        <v>100000</v>
      </c>
      <c r="S111" s="364">
        <f t="shared" si="23"/>
        <v>760000</v>
      </c>
      <c r="T111" s="327">
        <f t="shared" ref="T111" si="24">S111/N111*100</f>
        <v>6.4680851063829783</v>
      </c>
      <c r="U111" s="43">
        <f t="shared" si="18"/>
        <v>10990000</v>
      </c>
      <c r="V111" s="42">
        <f t="shared" si="12"/>
        <v>5495000</v>
      </c>
      <c r="W111" s="22"/>
      <c r="X111" s="22">
        <f t="shared" si="11"/>
        <v>5.6170212765957448</v>
      </c>
      <c r="Z111" s="22">
        <f t="shared" si="13"/>
        <v>5.6170212765957448</v>
      </c>
    </row>
    <row r="112" spans="1:26" x14ac:dyDescent="0.25">
      <c r="A112" s="255"/>
      <c r="B112" s="328"/>
      <c r="C112" s="328"/>
      <c r="D112" s="348"/>
      <c r="E112" s="349"/>
      <c r="F112" s="349"/>
      <c r="G112" s="349"/>
      <c r="H112" s="318"/>
      <c r="I112" s="319"/>
      <c r="J112" s="362"/>
      <c r="K112" s="368"/>
      <c r="L112" s="337"/>
      <c r="M112" s="337"/>
      <c r="N112" s="337"/>
      <c r="O112" s="337"/>
      <c r="P112" s="337"/>
      <c r="Q112" s="337"/>
      <c r="R112" s="363"/>
      <c r="S112" s="363"/>
      <c r="T112" s="327"/>
      <c r="U112" s="43"/>
      <c r="V112" s="42">
        <f t="shared" si="12"/>
        <v>0</v>
      </c>
      <c r="W112" s="22"/>
      <c r="X112" s="22"/>
      <c r="Z112" s="22" t="e">
        <f t="shared" si="13"/>
        <v>#DIV/0!</v>
      </c>
    </row>
    <row r="113" spans="1:32" x14ac:dyDescent="0.25">
      <c r="A113" s="255"/>
      <c r="B113" s="328"/>
      <c r="C113" s="328"/>
      <c r="D113" s="348"/>
      <c r="E113" s="349"/>
      <c r="F113" s="349"/>
      <c r="G113" s="349"/>
      <c r="H113" s="318"/>
      <c r="I113" s="319"/>
      <c r="J113" s="362"/>
      <c r="K113" s="368" t="s">
        <v>226</v>
      </c>
      <c r="L113" s="337">
        <v>895000</v>
      </c>
      <c r="M113" s="337">
        <v>0</v>
      </c>
      <c r="N113" s="337">
        <f t="shared" si="19"/>
        <v>895000</v>
      </c>
      <c r="O113" s="337"/>
      <c r="P113" s="337"/>
      <c r="Q113" s="337">
        <v>0</v>
      </c>
      <c r="R113" s="363">
        <v>0</v>
      </c>
      <c r="S113" s="363">
        <f t="shared" si="23"/>
        <v>0</v>
      </c>
      <c r="T113" s="327"/>
      <c r="U113" s="43">
        <f t="shared" si="18"/>
        <v>895000</v>
      </c>
      <c r="V113" s="42">
        <f t="shared" si="12"/>
        <v>447500</v>
      </c>
      <c r="W113" s="22"/>
      <c r="X113" s="22">
        <f t="shared" si="11"/>
        <v>0</v>
      </c>
      <c r="Z113" s="22">
        <f t="shared" si="13"/>
        <v>0</v>
      </c>
    </row>
    <row r="114" spans="1:32" x14ac:dyDescent="0.25">
      <c r="A114" s="240"/>
      <c r="B114" s="329"/>
      <c r="C114" s="331"/>
      <c r="D114" s="323"/>
      <c r="E114" s="323"/>
      <c r="F114" s="323"/>
      <c r="G114" s="322"/>
      <c r="H114" s="322"/>
      <c r="I114" s="323"/>
      <c r="J114" s="362"/>
      <c r="K114" s="368"/>
      <c r="L114" s="337"/>
      <c r="M114" s="337"/>
      <c r="N114" s="337"/>
      <c r="O114" s="43"/>
      <c r="P114" s="43"/>
      <c r="Q114" s="363"/>
      <c r="R114" s="364"/>
      <c r="S114" s="364"/>
      <c r="T114" s="327"/>
      <c r="U114" s="43"/>
      <c r="V114" s="42">
        <f t="shared" si="12"/>
        <v>0</v>
      </c>
      <c r="W114" s="22"/>
      <c r="X114" s="22"/>
      <c r="Z114" s="22" t="e">
        <f t="shared" si="13"/>
        <v>#DIV/0!</v>
      </c>
    </row>
    <row r="115" spans="1:32" x14ac:dyDescent="0.25">
      <c r="A115" s="240"/>
      <c r="B115" s="329"/>
      <c r="C115" s="331"/>
      <c r="D115" s="350"/>
      <c r="E115" s="351"/>
      <c r="F115" s="351"/>
      <c r="G115" s="351"/>
      <c r="H115" s="318"/>
      <c r="I115" s="319"/>
      <c r="J115" s="362"/>
      <c r="K115" s="369" t="s">
        <v>227</v>
      </c>
      <c r="L115" s="43">
        <f>L116+L117+L118+L120</f>
        <v>355800000</v>
      </c>
      <c r="M115" s="43">
        <f>M116+M117</f>
        <v>0</v>
      </c>
      <c r="N115" s="337">
        <f t="shared" si="19"/>
        <v>355800000</v>
      </c>
      <c r="O115" s="337"/>
      <c r="P115" s="337"/>
      <c r="Q115" s="43">
        <f>Q116+Q117+Q118</f>
        <v>23520000</v>
      </c>
      <c r="R115" s="364">
        <v>52920000</v>
      </c>
      <c r="S115" s="364">
        <f t="shared" si="23"/>
        <v>76440000</v>
      </c>
      <c r="T115" s="327">
        <f t="shared" ref="T115:T117" si="25">S115/N115*100</f>
        <v>21.483979763912313</v>
      </c>
      <c r="U115" s="43">
        <f t="shared" si="18"/>
        <v>279360000</v>
      </c>
      <c r="V115" s="42">
        <f t="shared" si="12"/>
        <v>139680000</v>
      </c>
      <c r="W115" s="22">
        <f t="shared" si="20"/>
        <v>6.6104553119730181</v>
      </c>
      <c r="X115" s="22">
        <f t="shared" si="11"/>
        <v>6.6104553119730181</v>
      </c>
      <c r="Z115" s="65">
        <f t="shared" si="13"/>
        <v>6.6104553119730181</v>
      </c>
    </row>
    <row r="116" spans="1:32" x14ac:dyDescent="0.25">
      <c r="A116" s="240"/>
      <c r="B116" s="329"/>
      <c r="C116" s="331"/>
      <c r="D116" s="323"/>
      <c r="E116" s="323"/>
      <c r="F116" s="323"/>
      <c r="G116" s="322"/>
      <c r="H116" s="322"/>
      <c r="I116" s="323"/>
      <c r="J116" s="362"/>
      <c r="K116" s="375" t="s">
        <v>228</v>
      </c>
      <c r="L116" s="337">
        <v>192000000</v>
      </c>
      <c r="M116" s="337">
        <v>0</v>
      </c>
      <c r="N116" s="337">
        <f t="shared" si="19"/>
        <v>192000000</v>
      </c>
      <c r="O116" s="337"/>
      <c r="P116" s="337"/>
      <c r="Q116" s="376">
        <v>13000000</v>
      </c>
      <c r="R116" s="364">
        <v>48000000</v>
      </c>
      <c r="S116" s="364">
        <f t="shared" si="23"/>
        <v>61000000</v>
      </c>
      <c r="T116" s="327"/>
      <c r="U116" s="43">
        <f t="shared" si="18"/>
        <v>131000000</v>
      </c>
      <c r="V116" s="42">
        <f t="shared" si="12"/>
        <v>65500000</v>
      </c>
      <c r="W116" s="22"/>
      <c r="X116" s="22">
        <f t="shared" si="11"/>
        <v>6.770833333333333</v>
      </c>
      <c r="Z116" s="22">
        <f t="shared" si="13"/>
        <v>6.770833333333333</v>
      </c>
    </row>
    <row r="117" spans="1:32" x14ac:dyDescent="0.25">
      <c r="A117" s="240"/>
      <c r="B117" s="329"/>
      <c r="C117" s="331"/>
      <c r="D117" s="323"/>
      <c r="E117" s="323"/>
      <c r="F117" s="323"/>
      <c r="G117" s="322"/>
      <c r="H117" s="322"/>
      <c r="I117" s="323"/>
      <c r="J117" s="362"/>
      <c r="K117" s="368" t="s">
        <v>229</v>
      </c>
      <c r="L117" s="337">
        <v>56000000</v>
      </c>
      <c r="M117" s="337">
        <v>0</v>
      </c>
      <c r="N117" s="337">
        <f t="shared" si="19"/>
        <v>56000000</v>
      </c>
      <c r="O117" s="337"/>
      <c r="P117" s="337"/>
      <c r="Q117" s="363">
        <v>10000000</v>
      </c>
      <c r="R117" s="364">
        <v>3000000</v>
      </c>
      <c r="S117" s="364">
        <f t="shared" si="23"/>
        <v>13000000</v>
      </c>
      <c r="T117" s="327">
        <f t="shared" si="25"/>
        <v>23.214285714285715</v>
      </c>
      <c r="U117" s="43">
        <f t="shared" si="18"/>
        <v>43000000</v>
      </c>
      <c r="V117" s="42">
        <f t="shared" si="12"/>
        <v>21500000</v>
      </c>
      <c r="W117" s="22">
        <f t="shared" si="20"/>
        <v>17.857142857142858</v>
      </c>
      <c r="X117" s="22">
        <f t="shared" si="11"/>
        <v>17.857142857142858</v>
      </c>
      <c r="Z117" s="22">
        <f t="shared" si="13"/>
        <v>17.857142857142858</v>
      </c>
    </row>
    <row r="118" spans="1:32" x14ac:dyDescent="0.25">
      <c r="A118" s="240"/>
      <c r="B118" s="329"/>
      <c r="C118" s="331"/>
      <c r="D118" s="323"/>
      <c r="E118" s="323"/>
      <c r="F118" s="323"/>
      <c r="G118" s="322"/>
      <c r="H118" s="322"/>
      <c r="I118" s="323"/>
      <c r="J118" s="362"/>
      <c r="K118" s="368" t="s">
        <v>161</v>
      </c>
      <c r="L118" s="337">
        <v>7800000</v>
      </c>
      <c r="M118" s="337">
        <v>0</v>
      </c>
      <c r="N118" s="337">
        <f t="shared" si="19"/>
        <v>7800000</v>
      </c>
      <c r="O118" s="43"/>
      <c r="P118" s="43"/>
      <c r="Q118" s="363">
        <v>520000</v>
      </c>
      <c r="R118" s="364">
        <v>1920000</v>
      </c>
      <c r="S118" s="364">
        <f>Q118+R118</f>
        <v>2440000</v>
      </c>
      <c r="T118" s="327"/>
      <c r="U118" s="43">
        <f t="shared" si="18"/>
        <v>5360000</v>
      </c>
      <c r="V118" s="42">
        <f t="shared" si="12"/>
        <v>2680000</v>
      </c>
      <c r="W118" s="22"/>
      <c r="X118" s="22">
        <f t="shared" si="11"/>
        <v>6.666666666666667</v>
      </c>
      <c r="Z118" s="22">
        <f t="shared" si="13"/>
        <v>6.666666666666667</v>
      </c>
      <c r="AF118" s="378">
        <f>S115+S111+S128</f>
        <v>112000000</v>
      </c>
    </row>
    <row r="119" spans="1:32" x14ac:dyDescent="0.25">
      <c r="A119" s="240"/>
      <c r="B119" s="329"/>
      <c r="C119" s="331"/>
      <c r="D119" s="323"/>
      <c r="E119" s="323"/>
      <c r="F119" s="323"/>
      <c r="G119" s="322"/>
      <c r="H119" s="322"/>
      <c r="I119" s="323"/>
      <c r="J119" s="362"/>
      <c r="K119" s="368"/>
      <c r="L119" s="337"/>
      <c r="M119" s="337"/>
      <c r="N119" s="337"/>
      <c r="O119" s="43"/>
      <c r="P119" s="43"/>
      <c r="Q119" s="363"/>
      <c r="R119" s="364"/>
      <c r="S119" s="364"/>
      <c r="T119" s="327"/>
      <c r="U119" s="43"/>
      <c r="V119" s="42"/>
      <c r="W119" s="22"/>
      <c r="X119" s="22"/>
      <c r="Z119" s="22"/>
    </row>
    <row r="120" spans="1:32" x14ac:dyDescent="0.25">
      <c r="A120" s="240"/>
      <c r="B120" s="329"/>
      <c r="C120" s="331"/>
      <c r="D120" s="350"/>
      <c r="E120" s="351"/>
      <c r="F120" s="351"/>
      <c r="G120" s="351"/>
      <c r="H120" s="318"/>
      <c r="I120" s="319"/>
      <c r="J120" s="312"/>
      <c r="K120" s="374" t="s">
        <v>230</v>
      </c>
      <c r="L120" s="43">
        <v>100000000</v>
      </c>
      <c r="M120" s="43">
        <v>0</v>
      </c>
      <c r="N120" s="337">
        <f t="shared" si="19"/>
        <v>100000000</v>
      </c>
      <c r="O120" s="337"/>
      <c r="P120" s="337"/>
      <c r="Q120" s="43">
        <v>0</v>
      </c>
      <c r="R120" s="43">
        <v>0</v>
      </c>
      <c r="S120" s="43">
        <f t="shared" si="23"/>
        <v>0</v>
      </c>
      <c r="T120" s="327">
        <f t="shared" ref="T120" si="26">S120/N120*100</f>
        <v>0</v>
      </c>
      <c r="U120" s="43">
        <f t="shared" si="18"/>
        <v>100000000</v>
      </c>
      <c r="V120" s="42">
        <f t="shared" si="12"/>
        <v>50000000</v>
      </c>
      <c r="W120" s="22">
        <f t="shared" si="20"/>
        <v>0</v>
      </c>
      <c r="X120" s="22">
        <f t="shared" si="11"/>
        <v>0</v>
      </c>
      <c r="Z120" s="65">
        <f t="shared" si="13"/>
        <v>0</v>
      </c>
    </row>
    <row r="121" spans="1:32" x14ac:dyDescent="0.25">
      <c r="A121" s="240"/>
      <c r="B121" s="329"/>
      <c r="C121" s="331"/>
      <c r="D121" s="323"/>
      <c r="E121" s="323"/>
      <c r="F121" s="323"/>
      <c r="G121" s="322"/>
      <c r="H121" s="322"/>
      <c r="I121" s="323"/>
      <c r="J121" s="362"/>
      <c r="K121" s="368"/>
      <c r="L121" s="337"/>
      <c r="M121" s="337"/>
      <c r="N121" s="337"/>
      <c r="O121" s="337"/>
      <c r="P121" s="337"/>
      <c r="Q121" s="363"/>
      <c r="R121" s="363"/>
      <c r="S121" s="363"/>
      <c r="T121" s="327"/>
      <c r="U121" s="43"/>
      <c r="V121" s="42">
        <f t="shared" si="12"/>
        <v>0</v>
      </c>
      <c r="W121" s="22"/>
      <c r="X121" s="22"/>
      <c r="Z121" s="22" t="e">
        <f t="shared" si="13"/>
        <v>#DIV/0!</v>
      </c>
    </row>
    <row r="122" spans="1:32" x14ac:dyDescent="0.25">
      <c r="A122" s="240"/>
      <c r="B122" s="329"/>
      <c r="C122" s="331"/>
      <c r="D122" s="323"/>
      <c r="E122" s="323"/>
      <c r="F122" s="323"/>
      <c r="G122" s="322"/>
      <c r="H122" s="322"/>
      <c r="I122" s="323"/>
      <c r="J122" s="362"/>
      <c r="K122" s="375" t="s">
        <v>231</v>
      </c>
      <c r="L122" s="337">
        <f>L124+L126+L128</f>
        <v>98050000</v>
      </c>
      <c r="M122" s="337">
        <f>M124+M126+M128</f>
        <v>0</v>
      </c>
      <c r="N122" s="337">
        <f t="shared" si="19"/>
        <v>98050000</v>
      </c>
      <c r="O122" s="43"/>
      <c r="P122" s="43"/>
      <c r="Q122" s="363">
        <f>Q124+Q126+Q128</f>
        <v>18500000</v>
      </c>
      <c r="R122" s="364">
        <v>19150000</v>
      </c>
      <c r="S122" s="364">
        <f t="shared" ref="S122" si="27">Q122+R122</f>
        <v>37650000</v>
      </c>
      <c r="T122" s="327">
        <f t="shared" ref="T122" si="28">S122/N122*100</f>
        <v>38.398776134625187</v>
      </c>
      <c r="U122" s="43">
        <f t="shared" ref="U122:U128" si="29">N122-S122</f>
        <v>60400000</v>
      </c>
      <c r="V122" s="42">
        <f t="shared" si="12"/>
        <v>30200000</v>
      </c>
      <c r="W122" s="22">
        <f t="shared" si="20"/>
        <v>18.867924528301888</v>
      </c>
      <c r="X122" s="22">
        <f t="shared" si="11"/>
        <v>18.867924528301888</v>
      </c>
      <c r="Z122" s="22">
        <f t="shared" si="13"/>
        <v>18.867924528301888</v>
      </c>
    </row>
    <row r="123" spans="1:32" x14ac:dyDescent="0.25">
      <c r="A123" s="240"/>
      <c r="B123" s="329"/>
      <c r="C123" s="331"/>
      <c r="D123" s="323"/>
      <c r="E123" s="323"/>
      <c r="F123" s="323"/>
      <c r="G123" s="322"/>
      <c r="H123" s="322"/>
      <c r="I123" s="323"/>
      <c r="J123" s="362"/>
      <c r="K123" s="368"/>
      <c r="L123" s="337"/>
      <c r="M123" s="337"/>
      <c r="N123" s="337"/>
      <c r="O123" s="43"/>
      <c r="P123" s="43"/>
      <c r="Q123" s="363"/>
      <c r="R123" s="364"/>
      <c r="S123" s="364"/>
      <c r="T123" s="327"/>
      <c r="U123" s="43"/>
      <c r="V123" s="42">
        <f t="shared" si="12"/>
        <v>0</v>
      </c>
      <c r="W123" s="22"/>
      <c r="X123" s="22"/>
      <c r="Z123" s="22" t="e">
        <f t="shared" si="13"/>
        <v>#DIV/0!</v>
      </c>
    </row>
    <row r="124" spans="1:32" x14ac:dyDescent="0.25">
      <c r="A124" s="240"/>
      <c r="B124" s="329"/>
      <c r="C124" s="331"/>
      <c r="D124" s="341"/>
      <c r="E124" s="339"/>
      <c r="F124" s="339"/>
      <c r="G124" s="329"/>
      <c r="H124" s="329"/>
      <c r="I124" s="339"/>
      <c r="J124" s="370"/>
      <c r="K124" s="369" t="s">
        <v>232</v>
      </c>
      <c r="L124" s="43">
        <v>5000000</v>
      </c>
      <c r="M124" s="43">
        <v>0</v>
      </c>
      <c r="N124" s="337">
        <f t="shared" si="19"/>
        <v>5000000</v>
      </c>
      <c r="O124" s="43"/>
      <c r="P124" s="43"/>
      <c r="Q124" s="364">
        <v>0</v>
      </c>
      <c r="R124" s="364">
        <v>1350000</v>
      </c>
      <c r="S124" s="364">
        <f t="shared" ref="S124:S128" si="30">Q124+R124</f>
        <v>1350000</v>
      </c>
      <c r="T124" s="327"/>
      <c r="U124" s="43">
        <f t="shared" si="29"/>
        <v>3650000</v>
      </c>
      <c r="V124" s="42">
        <f t="shared" si="12"/>
        <v>1825000</v>
      </c>
      <c r="W124" s="22">
        <f t="shared" si="20"/>
        <v>0</v>
      </c>
      <c r="X124" s="22">
        <f t="shared" si="11"/>
        <v>0</v>
      </c>
      <c r="Z124" s="22">
        <f t="shared" si="13"/>
        <v>0</v>
      </c>
    </row>
    <row r="125" spans="1:32" x14ac:dyDescent="0.25">
      <c r="A125" s="240"/>
      <c r="B125" s="329"/>
      <c r="C125" s="331"/>
      <c r="D125" s="323"/>
      <c r="E125" s="323"/>
      <c r="F125" s="323"/>
      <c r="G125" s="322"/>
      <c r="H125" s="322"/>
      <c r="I125" s="323"/>
      <c r="J125" s="362"/>
      <c r="K125" s="375"/>
      <c r="L125" s="337"/>
      <c r="M125" s="337"/>
      <c r="N125" s="337"/>
      <c r="O125" s="43"/>
      <c r="P125" s="43"/>
      <c r="Q125" s="363"/>
      <c r="R125" s="364"/>
      <c r="S125" s="364"/>
      <c r="T125" s="327"/>
      <c r="U125" s="43"/>
      <c r="V125" s="42">
        <f t="shared" si="12"/>
        <v>0</v>
      </c>
      <c r="W125" s="22" t="e">
        <f t="shared" si="20"/>
        <v>#DIV/0!</v>
      </c>
      <c r="X125" s="22"/>
      <c r="Z125" s="22" t="e">
        <f t="shared" si="13"/>
        <v>#DIV/0!</v>
      </c>
    </row>
    <row r="126" spans="1:32" x14ac:dyDescent="0.25">
      <c r="A126" s="240"/>
      <c r="B126" s="329"/>
      <c r="C126" s="331"/>
      <c r="D126" s="323"/>
      <c r="E126" s="323"/>
      <c r="F126" s="323"/>
      <c r="G126" s="322"/>
      <c r="H126" s="322"/>
      <c r="I126" s="323"/>
      <c r="J126" s="362"/>
      <c r="K126" s="375" t="s">
        <v>233</v>
      </c>
      <c r="L126" s="337">
        <v>13050000</v>
      </c>
      <c r="M126" s="337">
        <v>0</v>
      </c>
      <c r="N126" s="337">
        <f t="shared" si="19"/>
        <v>13050000</v>
      </c>
      <c r="O126" s="43"/>
      <c r="P126" s="43"/>
      <c r="Q126" s="363">
        <v>0</v>
      </c>
      <c r="R126" s="364">
        <v>1500000</v>
      </c>
      <c r="S126" s="364">
        <f t="shared" si="30"/>
        <v>1500000</v>
      </c>
      <c r="T126" s="327">
        <f t="shared" ref="T126:T128" si="31">S126/N126*100</f>
        <v>11.494252873563218</v>
      </c>
      <c r="U126" s="43">
        <f t="shared" si="29"/>
        <v>11550000</v>
      </c>
      <c r="V126" s="42">
        <f t="shared" si="12"/>
        <v>5775000</v>
      </c>
      <c r="W126" s="22">
        <f t="shared" si="20"/>
        <v>0</v>
      </c>
      <c r="X126" s="22">
        <f t="shared" si="11"/>
        <v>0</v>
      </c>
      <c r="Z126" s="22">
        <f t="shared" si="13"/>
        <v>0</v>
      </c>
    </row>
    <row r="127" spans="1:32" x14ac:dyDescent="0.25">
      <c r="A127" s="240"/>
      <c r="B127" s="329"/>
      <c r="C127" s="331"/>
      <c r="D127" s="323"/>
      <c r="E127" s="323"/>
      <c r="F127" s="323"/>
      <c r="G127" s="322"/>
      <c r="H127" s="322"/>
      <c r="I127" s="323"/>
      <c r="J127" s="362"/>
      <c r="K127" s="375"/>
      <c r="L127" s="337"/>
      <c r="M127" s="337"/>
      <c r="N127" s="337"/>
      <c r="O127" s="43"/>
      <c r="P127" s="43"/>
      <c r="Q127" s="363"/>
      <c r="R127" s="363"/>
      <c r="S127" s="363"/>
      <c r="T127" s="327"/>
      <c r="U127" s="43"/>
      <c r="V127" s="42"/>
      <c r="W127" s="22"/>
      <c r="X127" s="22"/>
      <c r="Z127" s="22" t="e">
        <f t="shared" si="13"/>
        <v>#DIV/0!</v>
      </c>
    </row>
    <row r="128" spans="1:32" x14ac:dyDescent="0.25">
      <c r="A128" s="240"/>
      <c r="B128" s="329"/>
      <c r="C128" s="331"/>
      <c r="D128" s="323"/>
      <c r="E128" s="323"/>
      <c r="F128" s="323"/>
      <c r="G128" s="322"/>
      <c r="H128" s="322"/>
      <c r="I128" s="323"/>
      <c r="J128" s="362"/>
      <c r="K128" s="375" t="s">
        <v>234</v>
      </c>
      <c r="L128" s="337">
        <v>80000000</v>
      </c>
      <c r="M128" s="337">
        <v>0</v>
      </c>
      <c r="N128" s="337">
        <f t="shared" si="19"/>
        <v>80000000</v>
      </c>
      <c r="O128" s="43"/>
      <c r="P128" s="43"/>
      <c r="Q128" s="363">
        <v>18500000</v>
      </c>
      <c r="R128" s="363">
        <v>16300000</v>
      </c>
      <c r="S128" s="364">
        <f t="shared" si="30"/>
        <v>34800000</v>
      </c>
      <c r="T128" s="327">
        <f t="shared" si="31"/>
        <v>43.5</v>
      </c>
      <c r="U128" s="43">
        <f t="shared" si="29"/>
        <v>45200000</v>
      </c>
      <c r="V128" s="42"/>
      <c r="W128" s="22"/>
      <c r="X128" s="22">
        <f t="shared" si="11"/>
        <v>23.125</v>
      </c>
      <c r="Z128" s="22">
        <f t="shared" si="13"/>
        <v>23.125</v>
      </c>
    </row>
    <row r="129" spans="1:31" x14ac:dyDescent="0.25">
      <c r="A129" s="240"/>
      <c r="B129" s="329"/>
      <c r="C129" s="331"/>
      <c r="D129" s="323"/>
      <c r="E129" s="323"/>
      <c r="F129" s="323"/>
      <c r="G129" s="322"/>
      <c r="H129" s="322"/>
      <c r="I129" s="323"/>
      <c r="J129" s="324"/>
      <c r="K129" s="334"/>
      <c r="L129" s="332"/>
      <c r="M129" s="332"/>
      <c r="N129" s="335"/>
      <c r="O129" s="326"/>
      <c r="P129" s="326"/>
      <c r="Q129" s="325"/>
      <c r="R129" s="141"/>
      <c r="S129" s="141"/>
      <c r="T129" s="327"/>
      <c r="U129" s="43"/>
      <c r="V129" s="42">
        <f t="shared" si="12"/>
        <v>0</v>
      </c>
      <c r="W129" s="22"/>
      <c r="X129" s="22"/>
      <c r="Z129" s="22" t="e">
        <f t="shared" si="13"/>
        <v>#DIV/0!</v>
      </c>
    </row>
    <row r="130" spans="1:31" x14ac:dyDescent="0.25">
      <c r="A130" s="265"/>
      <c r="B130" s="352"/>
      <c r="C130" s="353"/>
      <c r="D130" s="354"/>
      <c r="E130" s="354"/>
      <c r="F130" s="354"/>
      <c r="G130" s="355"/>
      <c r="H130" s="355"/>
      <c r="I130" s="354"/>
      <c r="J130" s="356"/>
      <c r="K130" s="357"/>
      <c r="L130" s="358">
        <f>L12+L94</f>
        <v>2184252000</v>
      </c>
      <c r="M130" s="358">
        <f>M12+M94</f>
        <v>0</v>
      </c>
      <c r="N130" s="358">
        <f>N94+N12</f>
        <v>2184252000</v>
      </c>
      <c r="O130" s="359"/>
      <c r="P130" s="359"/>
      <c r="Q130" s="358">
        <f>Q12+Q94</f>
        <v>290816510</v>
      </c>
      <c r="R130" s="358">
        <f>R12+R94</f>
        <v>439812611</v>
      </c>
      <c r="S130" s="358">
        <f>S12+S94</f>
        <v>730629121</v>
      </c>
      <c r="T130" s="360">
        <f>S130/N130*100</f>
        <v>33.449854732878812</v>
      </c>
      <c r="U130" s="358">
        <f>N130-S130</f>
        <v>1453622879</v>
      </c>
      <c r="V130" s="42">
        <f t="shared" si="12"/>
        <v>726811439.5</v>
      </c>
      <c r="W130" s="22">
        <f t="shared" si="20"/>
        <v>13.31423800916744</v>
      </c>
      <c r="X130" s="22">
        <f t="shared" si="11"/>
        <v>13.31423800916744</v>
      </c>
    </row>
    <row r="131" spans="1:31" x14ac:dyDescent="0.25">
      <c r="A131" s="155"/>
      <c r="B131" s="156"/>
      <c r="C131" s="157"/>
      <c r="D131" s="158"/>
      <c r="E131" s="158"/>
      <c r="F131" s="158"/>
      <c r="G131" s="159"/>
      <c r="H131" s="159"/>
      <c r="I131" s="158"/>
      <c r="J131" s="160"/>
      <c r="K131" s="161"/>
      <c r="L131" s="162"/>
      <c r="M131" s="162"/>
      <c r="N131" s="162"/>
      <c r="O131" s="163"/>
      <c r="P131" s="163"/>
      <c r="Q131" s="162"/>
      <c r="R131" s="164"/>
      <c r="S131" s="165"/>
      <c r="T131" s="166"/>
      <c r="W131" s="166"/>
      <c r="X131" s="166"/>
      <c r="AE131" s="1">
        <f>816-756</f>
        <v>60</v>
      </c>
    </row>
    <row r="132" spans="1:31" hidden="1" x14ac:dyDescent="0.25">
      <c r="A132" s="167"/>
      <c r="B132" s="167"/>
      <c r="C132" s="168"/>
      <c r="D132" s="169"/>
      <c r="E132" s="169"/>
      <c r="F132" s="169"/>
      <c r="G132" s="170"/>
      <c r="H132" s="170"/>
      <c r="I132" s="169"/>
      <c r="J132" s="171"/>
      <c r="K132" s="171"/>
      <c r="L132" s="172"/>
      <c r="M132" s="172"/>
      <c r="N132" s="172"/>
      <c r="O132" s="162"/>
      <c r="P132" s="162"/>
      <c r="Q132" s="173"/>
      <c r="R132" s="174"/>
      <c r="S132" s="173"/>
      <c r="T132" s="175"/>
      <c r="W132" s="175"/>
      <c r="X132" s="175"/>
    </row>
    <row r="133" spans="1:31" hidden="1" x14ac:dyDescent="0.25">
      <c r="A133" s="167"/>
      <c r="B133" s="167"/>
      <c r="C133" s="168"/>
      <c r="D133" s="169"/>
      <c r="E133" s="169"/>
      <c r="F133" s="169"/>
      <c r="G133" s="170"/>
      <c r="H133" s="170"/>
      <c r="I133" s="169"/>
      <c r="J133" s="171"/>
      <c r="K133" s="171"/>
      <c r="L133" s="172"/>
      <c r="M133" s="172"/>
      <c r="N133" s="172"/>
      <c r="O133" s="162"/>
      <c r="P133" s="162"/>
      <c r="Q133" s="173"/>
      <c r="R133" s="174"/>
      <c r="S133" s="173"/>
      <c r="T133" s="175"/>
      <c r="W133" s="175"/>
      <c r="X133" s="175"/>
    </row>
    <row r="134" spans="1:31" x14ac:dyDescent="0.25">
      <c r="A134" s="497"/>
      <c r="B134" s="497"/>
      <c r="C134" s="497"/>
      <c r="D134" s="497"/>
      <c r="E134" s="497"/>
      <c r="F134" s="497"/>
      <c r="G134" s="497"/>
      <c r="H134" s="497"/>
      <c r="I134" s="497"/>
      <c r="J134" s="497"/>
      <c r="K134" s="176"/>
      <c r="L134" s="176"/>
      <c r="M134" s="284"/>
      <c r="N134" s="284"/>
      <c r="O134" s="162"/>
      <c r="P134" s="162"/>
      <c r="Q134" s="178"/>
      <c r="R134" s="179"/>
      <c r="S134" s="179"/>
      <c r="T134" s="180"/>
      <c r="W134" s="180"/>
      <c r="X134" s="180"/>
    </row>
    <row r="135" spans="1:31" x14ac:dyDescent="0.25">
      <c r="A135" s="176"/>
      <c r="B135" s="176"/>
      <c r="C135" s="176"/>
      <c r="D135" s="495" t="s">
        <v>168</v>
      </c>
      <c r="E135" s="495"/>
      <c r="F135" s="495"/>
      <c r="G135" s="495"/>
      <c r="H135" s="495"/>
      <c r="I135" s="495"/>
      <c r="J135" s="495"/>
      <c r="K135" s="495"/>
      <c r="L135" s="495"/>
      <c r="M135" s="284"/>
      <c r="N135" s="284"/>
      <c r="O135" s="163"/>
      <c r="P135" s="163"/>
      <c r="Q135" s="181"/>
      <c r="R135" s="498"/>
      <c r="S135" s="498"/>
      <c r="T135" s="498"/>
    </row>
    <row r="136" spans="1:31" x14ac:dyDescent="0.25">
      <c r="A136" s="495" t="s">
        <v>169</v>
      </c>
      <c r="B136" s="495"/>
      <c r="C136" s="495"/>
      <c r="D136" s="495"/>
      <c r="E136" s="495"/>
      <c r="F136" s="495"/>
      <c r="G136" s="495"/>
      <c r="H136" s="495"/>
      <c r="I136" s="495"/>
      <c r="J136" s="495"/>
      <c r="K136" s="284" t="s">
        <v>170</v>
      </c>
      <c r="L136" s="176"/>
      <c r="N136" s="496" t="s">
        <v>171</v>
      </c>
      <c r="O136" s="496"/>
      <c r="P136" s="496"/>
      <c r="Q136" s="496"/>
      <c r="R136" s="496" t="s">
        <v>172</v>
      </c>
      <c r="S136" s="496"/>
      <c r="T136" s="496"/>
      <c r="U136" s="496"/>
      <c r="W136" s="182"/>
      <c r="X136" s="182"/>
    </row>
    <row r="137" spans="1:31" x14ac:dyDescent="0.25">
      <c r="A137" s="284"/>
      <c r="B137" s="284"/>
      <c r="C137" s="284"/>
      <c r="D137" s="495" t="s">
        <v>173</v>
      </c>
      <c r="E137" s="495"/>
      <c r="F137" s="495"/>
      <c r="G137" s="495"/>
      <c r="H137" s="495"/>
      <c r="I137" s="495"/>
      <c r="J137" s="495"/>
      <c r="K137" s="284" t="s">
        <v>174</v>
      </c>
      <c r="L137" s="176"/>
      <c r="N137" s="496" t="s">
        <v>174</v>
      </c>
      <c r="O137" s="496"/>
      <c r="P137" s="496"/>
      <c r="Q137" s="496"/>
      <c r="R137" s="495" t="s">
        <v>175</v>
      </c>
      <c r="S137" s="495"/>
      <c r="T137" s="495"/>
      <c r="U137" s="495"/>
      <c r="W137" s="176"/>
      <c r="X137" s="176"/>
    </row>
    <row r="138" spans="1:31" x14ac:dyDescent="0.25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N138" s="183"/>
      <c r="O138" s="286"/>
      <c r="P138" s="286"/>
      <c r="Q138" s="286"/>
      <c r="R138" s="185"/>
      <c r="S138" s="185"/>
      <c r="T138" s="185"/>
      <c r="W138" s="185"/>
      <c r="X138" s="185"/>
    </row>
    <row r="139" spans="1:31" x14ac:dyDescent="0.25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N139" s="183"/>
      <c r="O139" s="286"/>
      <c r="P139" s="286"/>
      <c r="Q139" s="286"/>
      <c r="R139" s="185"/>
      <c r="S139" s="185"/>
      <c r="T139" s="185"/>
      <c r="W139" s="185"/>
      <c r="X139" s="185"/>
    </row>
    <row r="140" spans="1:31" x14ac:dyDescent="0.25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284"/>
      <c r="L140" s="284"/>
      <c r="N140" s="164"/>
      <c r="O140" s="186"/>
      <c r="P140" s="186"/>
      <c r="Q140" s="186"/>
      <c r="R140" s="185"/>
      <c r="S140" s="185"/>
      <c r="T140" s="185"/>
      <c r="W140" s="185"/>
      <c r="X140" s="185"/>
    </row>
    <row r="141" spans="1:31" x14ac:dyDescent="0.25">
      <c r="A141" s="499"/>
      <c r="B141" s="499"/>
      <c r="C141" s="499"/>
      <c r="D141" s="499"/>
      <c r="E141" s="499"/>
      <c r="F141" s="499"/>
      <c r="G141" s="499"/>
      <c r="H141" s="499"/>
      <c r="I141" s="499"/>
      <c r="J141" s="499"/>
      <c r="K141" s="284"/>
      <c r="L141" s="176"/>
      <c r="N141" s="183"/>
      <c r="O141" s="187"/>
      <c r="P141" s="186"/>
      <c r="Q141" s="186"/>
      <c r="R141" s="186"/>
      <c r="S141" s="186"/>
      <c r="T141" s="186"/>
      <c r="W141" s="186"/>
      <c r="X141" s="186"/>
    </row>
    <row r="142" spans="1:31" x14ac:dyDescent="0.25">
      <c r="A142" s="499" t="s">
        <v>176</v>
      </c>
      <c r="B142" s="499"/>
      <c r="C142" s="499"/>
      <c r="D142" s="499"/>
      <c r="E142" s="499"/>
      <c r="F142" s="499"/>
      <c r="G142" s="499"/>
      <c r="H142" s="499"/>
      <c r="I142" s="499"/>
      <c r="J142" s="499"/>
      <c r="K142" s="285" t="s">
        <v>177</v>
      </c>
      <c r="L142" s="189"/>
      <c r="N142" s="500" t="s">
        <v>178</v>
      </c>
      <c r="O142" s="500"/>
      <c r="P142" s="500"/>
      <c r="Q142" s="500"/>
      <c r="R142" s="501" t="s">
        <v>179</v>
      </c>
      <c r="S142" s="501"/>
      <c r="T142" s="501"/>
      <c r="U142" s="501"/>
    </row>
    <row r="143" spans="1:31" x14ac:dyDescent="0.25">
      <c r="A143" s="502" t="s">
        <v>180</v>
      </c>
      <c r="B143" s="502"/>
      <c r="C143" s="502"/>
      <c r="D143" s="502"/>
      <c r="E143" s="502"/>
      <c r="F143" s="502"/>
      <c r="G143" s="502"/>
      <c r="H143" s="502"/>
      <c r="I143" s="502"/>
      <c r="J143" s="502"/>
      <c r="K143" s="284" t="s">
        <v>181</v>
      </c>
      <c r="L143" s="176"/>
      <c r="N143" s="503" t="s">
        <v>182</v>
      </c>
      <c r="O143" s="503"/>
      <c r="P143" s="503"/>
      <c r="Q143" s="503"/>
      <c r="R143" s="504" t="s">
        <v>183</v>
      </c>
      <c r="S143" s="504"/>
      <c r="T143" s="504"/>
      <c r="U143" s="504"/>
    </row>
    <row r="144" spans="1:31" x14ac:dyDescent="0.25">
      <c r="A144" s="190"/>
      <c r="B144" s="190"/>
      <c r="C144" s="190"/>
      <c r="D144" s="495"/>
      <c r="E144" s="495"/>
      <c r="F144" s="495"/>
      <c r="G144" s="495"/>
      <c r="H144" s="495"/>
      <c r="I144" s="190"/>
      <c r="J144" s="190"/>
      <c r="K144" s="190"/>
      <c r="L144" s="190"/>
      <c r="M144" s="190"/>
      <c r="N144" s="190"/>
      <c r="O144" s="163"/>
      <c r="P144" s="163"/>
      <c r="Q144" s="191"/>
      <c r="R144" s="191"/>
      <c r="S144" s="191"/>
      <c r="T144" s="191"/>
      <c r="W144" s="191"/>
      <c r="X144" s="191"/>
    </row>
    <row r="145" spans="1:24" x14ac:dyDescent="0.25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63"/>
      <c r="P145" s="163"/>
      <c r="Q145" s="191"/>
      <c r="R145" s="191"/>
      <c r="S145" s="191"/>
      <c r="T145" s="191"/>
      <c r="W145" s="191"/>
      <c r="X145" s="191"/>
    </row>
    <row r="146" spans="1:24" x14ac:dyDescent="0.25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62"/>
      <c r="P146" s="162"/>
      <c r="Q146" s="191"/>
      <c r="R146" s="191"/>
      <c r="S146" s="191"/>
      <c r="T146" s="191"/>
      <c r="W146" s="191"/>
      <c r="X146" s="191"/>
    </row>
    <row r="147" spans="1:24" x14ac:dyDescent="0.25">
      <c r="A147" s="190"/>
      <c r="B147" s="190"/>
      <c r="C147" s="190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90"/>
      <c r="O147" s="163"/>
      <c r="P147" s="163"/>
      <c r="Q147" s="191"/>
      <c r="R147" s="191"/>
      <c r="S147" s="191"/>
      <c r="T147" s="191"/>
      <c r="W147" s="191"/>
      <c r="X147" s="191"/>
    </row>
    <row r="148" spans="1:24" x14ac:dyDescent="0.25">
      <c r="A148" s="190"/>
      <c r="B148" s="190"/>
      <c r="C148" s="190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0"/>
      <c r="O148" s="163"/>
      <c r="P148" s="163"/>
      <c r="Q148" s="191"/>
      <c r="R148" s="191"/>
      <c r="S148" s="191"/>
      <c r="T148" s="191"/>
      <c r="W148" s="191"/>
      <c r="X148" s="191"/>
    </row>
    <row r="149" spans="1:24" x14ac:dyDescent="0.25">
      <c r="A149" s="190"/>
      <c r="B149" s="190"/>
      <c r="C149" s="190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90"/>
      <c r="O149" s="163"/>
      <c r="P149" s="163"/>
      <c r="Q149" s="191"/>
      <c r="R149" s="191"/>
      <c r="S149" s="191"/>
      <c r="T149" s="191"/>
      <c r="U149" s="1"/>
      <c r="W149" s="191"/>
      <c r="X149" s="191"/>
    </row>
    <row r="150" spans="1:24" x14ac:dyDescent="0.25">
      <c r="A150" s="190"/>
      <c r="B150" s="190"/>
      <c r="C150" s="190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90"/>
      <c r="O150" s="162"/>
      <c r="P150" s="162"/>
      <c r="Q150" s="191"/>
      <c r="R150" s="191"/>
      <c r="S150" s="191"/>
      <c r="T150" s="191"/>
      <c r="U150" s="1"/>
      <c r="W150" s="191"/>
      <c r="X150" s="191"/>
    </row>
    <row r="151" spans="1:24" x14ac:dyDescent="0.25">
      <c r="A151" s="190"/>
      <c r="B151" s="190"/>
      <c r="C151" s="190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190"/>
      <c r="O151" s="163"/>
      <c r="P151" s="163"/>
      <c r="Q151" s="191"/>
      <c r="R151" s="191"/>
      <c r="S151" s="191"/>
      <c r="T151" s="191"/>
      <c r="U151" s="1"/>
      <c r="W151" s="191"/>
      <c r="X151" s="191"/>
    </row>
    <row r="152" spans="1:24" x14ac:dyDescent="0.25">
      <c r="A152" s="190"/>
      <c r="B152" s="190"/>
      <c r="C152" s="190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190"/>
      <c r="O152" s="163"/>
      <c r="P152" s="163"/>
      <c r="Q152" s="191"/>
      <c r="R152" s="191"/>
      <c r="S152" s="191"/>
      <c r="T152" s="191"/>
      <c r="U152" s="1"/>
      <c r="W152" s="191"/>
      <c r="X152" s="191"/>
    </row>
    <row r="153" spans="1:24" x14ac:dyDescent="0.25">
      <c r="A153" s="190"/>
      <c r="B153" s="190"/>
      <c r="C153" s="190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190"/>
      <c r="O153" s="162"/>
      <c r="P153" s="162"/>
      <c r="Q153" s="191"/>
      <c r="R153" s="191"/>
      <c r="S153" s="191"/>
      <c r="T153" s="191"/>
      <c r="U153" s="1"/>
      <c r="W153" s="191"/>
      <c r="X153" s="191"/>
    </row>
    <row r="154" spans="1:24" x14ac:dyDescent="0.25">
      <c r="A154" s="190"/>
      <c r="B154" s="190"/>
      <c r="C154" s="190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90"/>
      <c r="O154" s="172"/>
      <c r="P154" s="172"/>
      <c r="Q154" s="191"/>
      <c r="R154" s="191"/>
      <c r="S154" s="191"/>
      <c r="T154" s="191"/>
      <c r="U154" s="1"/>
      <c r="W154" s="191"/>
      <c r="X154" s="191"/>
    </row>
    <row r="155" spans="1:24" x14ac:dyDescent="0.25">
      <c r="A155" s="193"/>
      <c r="B155" s="193"/>
      <c r="C155" s="193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O155" s="194"/>
      <c r="P155" s="194"/>
      <c r="Q155" s="195"/>
      <c r="R155" s="195"/>
      <c r="S155" s="195"/>
      <c r="T155" s="195"/>
      <c r="U155" s="1"/>
      <c r="W155" s="195"/>
      <c r="X155" s="195"/>
    </row>
    <row r="156" spans="1:24" x14ac:dyDescent="0.25"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O156" s="284"/>
      <c r="P156" s="284"/>
      <c r="Q156" s="195"/>
      <c r="R156" s="195"/>
      <c r="S156" s="195"/>
      <c r="T156" s="195"/>
      <c r="U156" s="1"/>
      <c r="W156" s="195"/>
      <c r="X156" s="195"/>
    </row>
    <row r="157" spans="1:24" x14ac:dyDescent="0.25">
      <c r="O157" s="284"/>
      <c r="P157" s="284"/>
      <c r="Q157" s="195"/>
      <c r="R157" s="195"/>
      <c r="S157" s="195"/>
      <c r="T157" s="195"/>
      <c r="U157" s="1"/>
      <c r="W157" s="195"/>
      <c r="X157" s="195"/>
    </row>
    <row r="158" spans="1:24" x14ac:dyDescent="0.25">
      <c r="O158" s="284"/>
      <c r="P158" s="284"/>
      <c r="Q158" s="195"/>
      <c r="R158" s="195"/>
      <c r="S158" s="195"/>
      <c r="T158" s="195"/>
      <c r="U158" s="1"/>
      <c r="W158" s="195"/>
      <c r="X158" s="195"/>
    </row>
    <row r="159" spans="1:24" x14ac:dyDescent="0.25">
      <c r="O159" s="284"/>
      <c r="P159" s="284"/>
      <c r="Q159" s="195"/>
      <c r="R159" s="195"/>
      <c r="S159" s="195"/>
      <c r="T159" s="195"/>
      <c r="U159" s="1"/>
      <c r="W159" s="195"/>
      <c r="X159" s="195"/>
    </row>
    <row r="160" spans="1:24" x14ac:dyDescent="0.25">
      <c r="O160" s="284"/>
      <c r="P160" s="284"/>
      <c r="Q160" s="195"/>
      <c r="R160" s="195"/>
      <c r="S160" s="195"/>
      <c r="T160" s="195"/>
      <c r="U160" s="1"/>
      <c r="W160" s="195"/>
      <c r="X160" s="195"/>
    </row>
    <row r="161" spans="15:24" x14ac:dyDescent="0.25">
      <c r="O161" s="284"/>
      <c r="P161" s="284"/>
      <c r="Q161" s="195"/>
      <c r="R161" s="195"/>
      <c r="S161" s="195"/>
      <c r="T161" s="195"/>
      <c r="U161" s="1"/>
      <c r="W161" s="195"/>
      <c r="X161" s="195"/>
    </row>
    <row r="162" spans="15:24" x14ac:dyDescent="0.25">
      <c r="O162" s="285"/>
      <c r="P162" s="285"/>
      <c r="Q162" s="195"/>
      <c r="R162" s="195"/>
      <c r="S162" s="195"/>
      <c r="T162" s="195"/>
      <c r="U162" s="1"/>
      <c r="W162" s="195"/>
      <c r="X162" s="195"/>
    </row>
    <row r="163" spans="15:24" x14ac:dyDescent="0.25">
      <c r="O163" s="284"/>
      <c r="P163" s="284"/>
      <c r="Q163" s="195"/>
      <c r="R163" s="195"/>
      <c r="S163" s="195"/>
      <c r="T163" s="195"/>
      <c r="U163" s="1"/>
      <c r="W163" s="195"/>
      <c r="X163" s="195"/>
    </row>
    <row r="164" spans="15:24" x14ac:dyDescent="0.25">
      <c r="O164" s="190"/>
      <c r="P164" s="190"/>
      <c r="Q164" s="195"/>
      <c r="R164" s="195"/>
      <c r="S164" s="195"/>
      <c r="T164" s="195"/>
      <c r="U164" s="1"/>
      <c r="W164" s="195"/>
      <c r="X164" s="195"/>
    </row>
    <row r="165" spans="15:24" x14ac:dyDescent="0.25">
      <c r="O165" s="190"/>
      <c r="P165" s="190"/>
      <c r="Q165" s="195"/>
      <c r="R165" s="195"/>
      <c r="S165" s="195"/>
      <c r="T165" s="195"/>
      <c r="U165" s="1"/>
      <c r="W165" s="195"/>
      <c r="X165" s="195"/>
    </row>
    <row r="166" spans="15:24" x14ac:dyDescent="0.25">
      <c r="O166" s="190"/>
      <c r="P166" s="190"/>
      <c r="Q166" s="195"/>
      <c r="R166" s="195"/>
      <c r="S166" s="195"/>
      <c r="T166" s="195"/>
      <c r="U166" s="1"/>
      <c r="W166" s="195"/>
      <c r="X166" s="195"/>
    </row>
    <row r="167" spans="15:24" x14ac:dyDescent="0.25">
      <c r="O167" s="190"/>
      <c r="P167" s="190"/>
      <c r="Q167" s="195"/>
      <c r="R167" s="195"/>
      <c r="S167" s="195"/>
      <c r="T167" s="195"/>
      <c r="U167" s="1"/>
      <c r="W167" s="195"/>
      <c r="X167" s="195"/>
    </row>
    <row r="168" spans="15:24" x14ac:dyDescent="0.25">
      <c r="O168" s="190"/>
      <c r="P168" s="190"/>
      <c r="Q168" s="195"/>
      <c r="R168" s="195"/>
      <c r="S168" s="195"/>
      <c r="T168" s="195"/>
      <c r="U168" s="1"/>
      <c r="W168" s="195"/>
      <c r="X168" s="195"/>
    </row>
    <row r="169" spans="15:24" x14ac:dyDescent="0.25">
      <c r="O169" s="190"/>
      <c r="P169" s="190"/>
      <c r="Q169" s="195"/>
      <c r="R169" s="195"/>
      <c r="S169" s="195"/>
      <c r="T169" s="195"/>
      <c r="U169" s="1"/>
      <c r="W169" s="195"/>
      <c r="X169" s="195"/>
    </row>
    <row r="170" spans="15:24" x14ac:dyDescent="0.25">
      <c r="O170" s="190"/>
      <c r="P170" s="190"/>
      <c r="Q170" s="195"/>
      <c r="R170" s="195"/>
      <c r="S170" s="195"/>
      <c r="T170" s="195"/>
      <c r="U170" s="1"/>
      <c r="W170" s="195"/>
      <c r="X170" s="195"/>
    </row>
    <row r="171" spans="15:24" x14ac:dyDescent="0.25">
      <c r="O171" s="190"/>
      <c r="P171" s="190"/>
      <c r="Q171" s="195"/>
      <c r="R171" s="195"/>
      <c r="S171" s="195"/>
      <c r="T171" s="195"/>
      <c r="U171" s="1"/>
      <c r="W171" s="195"/>
      <c r="X171" s="195"/>
    </row>
    <row r="172" spans="15:24" x14ac:dyDescent="0.25">
      <c r="O172" s="190"/>
      <c r="P172" s="190"/>
      <c r="Q172" s="195"/>
      <c r="R172" s="195"/>
      <c r="S172" s="195"/>
      <c r="T172" s="195"/>
      <c r="U172" s="1"/>
      <c r="W172" s="195"/>
      <c r="X172" s="195"/>
    </row>
    <row r="173" spans="15:24" x14ac:dyDescent="0.25">
      <c r="O173" s="190"/>
      <c r="P173" s="190"/>
      <c r="Q173" s="195"/>
      <c r="R173" s="195"/>
      <c r="S173" s="195"/>
      <c r="T173" s="195"/>
      <c r="U173" s="1"/>
      <c r="W173" s="195"/>
      <c r="X173" s="195"/>
    </row>
    <row r="174" spans="15:24" x14ac:dyDescent="0.25">
      <c r="O174" s="190"/>
      <c r="P174" s="190"/>
      <c r="Q174" s="195"/>
      <c r="R174" s="195"/>
      <c r="S174" s="195"/>
      <c r="T174" s="195"/>
      <c r="U174" s="1"/>
      <c r="W174" s="195"/>
      <c r="X174" s="195"/>
    </row>
    <row r="175" spans="15:24" x14ac:dyDescent="0.25">
      <c r="O175" s="190"/>
      <c r="P175" s="190"/>
      <c r="Q175" s="195"/>
      <c r="R175" s="195"/>
      <c r="S175" s="195"/>
      <c r="T175" s="195"/>
      <c r="U175" s="1"/>
      <c r="W175" s="195"/>
      <c r="X175" s="195"/>
    </row>
    <row r="176" spans="15:24" x14ac:dyDescent="0.25">
      <c r="Q176" s="195"/>
      <c r="R176" s="195"/>
      <c r="S176" s="195"/>
      <c r="T176" s="195"/>
      <c r="U176" s="1"/>
      <c r="W176" s="195"/>
      <c r="X176" s="195"/>
    </row>
    <row r="177" spans="17:24" x14ac:dyDescent="0.25">
      <c r="Q177" s="195"/>
      <c r="R177" s="195"/>
      <c r="S177" s="195"/>
      <c r="T177" s="195"/>
      <c r="U177" s="1"/>
      <c r="W177" s="195"/>
      <c r="X177" s="195"/>
    </row>
    <row r="178" spans="17:24" x14ac:dyDescent="0.25">
      <c r="Q178" s="195"/>
      <c r="R178" s="195"/>
      <c r="S178" s="195"/>
      <c r="T178" s="195"/>
      <c r="U178" s="1"/>
      <c r="W178" s="195"/>
      <c r="X178" s="195"/>
    </row>
    <row r="179" spans="17:24" x14ac:dyDescent="0.25">
      <c r="Q179" s="195"/>
      <c r="R179" s="195"/>
      <c r="S179" s="195"/>
      <c r="T179" s="195"/>
      <c r="U179" s="1"/>
      <c r="W179" s="195"/>
      <c r="X179" s="195"/>
    </row>
    <row r="180" spans="17:24" x14ac:dyDescent="0.25">
      <c r="Q180" s="195"/>
      <c r="R180" s="195"/>
      <c r="S180" s="195"/>
      <c r="T180" s="195"/>
      <c r="U180" s="1"/>
      <c r="W180" s="195"/>
      <c r="X180" s="195"/>
    </row>
    <row r="181" spans="17:24" x14ac:dyDescent="0.25">
      <c r="Q181" s="195"/>
      <c r="R181" s="195"/>
      <c r="S181" s="195"/>
      <c r="T181" s="195"/>
      <c r="U181" s="1"/>
      <c r="W181" s="195"/>
      <c r="X181" s="195"/>
    </row>
    <row r="182" spans="17:24" x14ac:dyDescent="0.25">
      <c r="Q182" s="195"/>
      <c r="R182" s="195"/>
      <c r="S182" s="195"/>
      <c r="T182" s="195"/>
      <c r="U182" s="1"/>
      <c r="W182" s="195"/>
      <c r="X182" s="195"/>
    </row>
    <row r="183" spans="17:24" x14ac:dyDescent="0.25">
      <c r="Q183" s="195"/>
      <c r="R183" s="195"/>
      <c r="S183" s="195"/>
      <c r="T183" s="195"/>
      <c r="U183" s="1"/>
      <c r="W183" s="195"/>
      <c r="X183" s="195"/>
    </row>
    <row r="184" spans="17:24" x14ac:dyDescent="0.25">
      <c r="Q184" s="195"/>
      <c r="R184" s="195"/>
      <c r="S184" s="195"/>
      <c r="T184" s="195"/>
      <c r="U184" s="1"/>
      <c r="W184" s="195"/>
      <c r="X184" s="195"/>
    </row>
    <row r="185" spans="17:24" x14ac:dyDescent="0.25">
      <c r="Q185" s="195"/>
      <c r="R185" s="195"/>
      <c r="S185" s="195"/>
      <c r="T185" s="195"/>
      <c r="U185" s="1"/>
      <c r="W185" s="195"/>
      <c r="X185" s="195"/>
    </row>
    <row r="186" spans="17:24" x14ac:dyDescent="0.25">
      <c r="Q186" s="195"/>
      <c r="R186" s="195"/>
      <c r="S186" s="195"/>
      <c r="T186" s="195"/>
      <c r="U186" s="1"/>
      <c r="W186" s="195"/>
      <c r="X186" s="195"/>
    </row>
    <row r="187" spans="17:24" x14ac:dyDescent="0.25">
      <c r="Q187" s="195"/>
      <c r="R187" s="195"/>
      <c r="S187" s="195"/>
      <c r="T187" s="195"/>
      <c r="U187" s="1"/>
      <c r="W187" s="195"/>
      <c r="X187" s="195"/>
    </row>
    <row r="188" spans="17:24" x14ac:dyDescent="0.25">
      <c r="Q188" s="195"/>
      <c r="R188" s="195"/>
      <c r="S188" s="195"/>
      <c r="T188" s="195"/>
      <c r="U188" s="1"/>
      <c r="W188" s="195"/>
      <c r="X188" s="195"/>
    </row>
    <row r="189" spans="17:24" x14ac:dyDescent="0.25">
      <c r="Q189" s="195"/>
      <c r="R189" s="195"/>
      <c r="S189" s="195"/>
      <c r="T189" s="195"/>
      <c r="U189" s="1"/>
      <c r="W189" s="195"/>
      <c r="X189" s="195"/>
    </row>
    <row r="190" spans="17:24" x14ac:dyDescent="0.25">
      <c r="Q190" s="195"/>
      <c r="R190" s="195"/>
      <c r="S190" s="195"/>
      <c r="T190" s="195"/>
      <c r="U190" s="1"/>
      <c r="W190" s="195"/>
      <c r="X190" s="195"/>
    </row>
    <row r="191" spans="17:24" x14ac:dyDescent="0.25">
      <c r="Q191" s="195"/>
      <c r="R191" s="195"/>
      <c r="S191" s="195"/>
      <c r="T191" s="195"/>
      <c r="U191" s="1"/>
      <c r="W191" s="195"/>
      <c r="X191" s="195"/>
    </row>
    <row r="192" spans="17:24" x14ac:dyDescent="0.25">
      <c r="Q192" s="195"/>
      <c r="R192" s="195"/>
      <c r="S192" s="195"/>
      <c r="T192" s="195"/>
      <c r="U192" s="1"/>
      <c r="W192" s="195"/>
      <c r="X192" s="195"/>
    </row>
    <row r="193" spans="17:24" x14ac:dyDescent="0.25">
      <c r="Q193" s="195"/>
      <c r="R193" s="195"/>
      <c r="S193" s="195"/>
      <c r="T193" s="195"/>
      <c r="U193" s="1"/>
      <c r="W193" s="195"/>
      <c r="X193" s="195"/>
    </row>
    <row r="194" spans="17:24" x14ac:dyDescent="0.25">
      <c r="Q194" s="195"/>
      <c r="R194" s="195"/>
      <c r="S194" s="195"/>
      <c r="T194" s="195"/>
      <c r="U194" s="1"/>
      <c r="W194" s="195"/>
      <c r="X194" s="195"/>
    </row>
    <row r="195" spans="17:24" x14ac:dyDescent="0.25">
      <c r="Q195" s="195"/>
      <c r="R195" s="195"/>
      <c r="S195" s="195"/>
      <c r="T195" s="195"/>
      <c r="U195" s="1"/>
      <c r="W195" s="195"/>
      <c r="X195" s="195"/>
    </row>
    <row r="196" spans="17:24" x14ac:dyDescent="0.25">
      <c r="Q196" s="195"/>
      <c r="R196" s="195"/>
      <c r="S196" s="195"/>
      <c r="T196" s="195"/>
      <c r="U196" s="1"/>
      <c r="W196" s="195"/>
      <c r="X196" s="195"/>
    </row>
    <row r="197" spans="17:24" x14ac:dyDescent="0.25">
      <c r="Q197" s="195"/>
      <c r="R197" s="195"/>
      <c r="S197" s="195"/>
      <c r="T197" s="195"/>
      <c r="U197" s="1"/>
      <c r="W197" s="195"/>
      <c r="X197" s="195"/>
    </row>
    <row r="198" spans="17:24" x14ac:dyDescent="0.25">
      <c r="Q198" s="195"/>
      <c r="R198" s="195"/>
      <c r="S198" s="195"/>
      <c r="T198" s="195"/>
      <c r="U198" s="1"/>
      <c r="W198" s="195"/>
      <c r="X198" s="195"/>
    </row>
    <row r="199" spans="17:24" x14ac:dyDescent="0.25">
      <c r="Q199" s="195"/>
      <c r="R199" s="195"/>
      <c r="S199" s="195"/>
      <c r="T199" s="195"/>
      <c r="U199" s="1"/>
      <c r="W199" s="195"/>
      <c r="X199" s="195"/>
    </row>
    <row r="200" spans="17:24" x14ac:dyDescent="0.25">
      <c r="Q200" s="195"/>
      <c r="R200" s="195"/>
      <c r="S200" s="195"/>
      <c r="T200" s="195"/>
      <c r="U200" s="1"/>
      <c r="W200" s="195"/>
      <c r="X200" s="195"/>
    </row>
    <row r="201" spans="17:24" x14ac:dyDescent="0.25">
      <c r="Q201" s="195"/>
      <c r="R201" s="195"/>
      <c r="S201" s="195"/>
      <c r="T201" s="195"/>
      <c r="U201" s="1"/>
      <c r="W201" s="195"/>
      <c r="X201" s="195"/>
    </row>
    <row r="202" spans="17:24" x14ac:dyDescent="0.25">
      <c r="Q202" s="195"/>
      <c r="R202" s="195"/>
      <c r="S202" s="195"/>
      <c r="T202" s="195"/>
      <c r="U202" s="1"/>
      <c r="W202" s="195"/>
      <c r="X202" s="195"/>
    </row>
    <row r="203" spans="17:24" x14ac:dyDescent="0.25">
      <c r="Q203" s="195"/>
      <c r="R203" s="195"/>
      <c r="S203" s="195"/>
      <c r="T203" s="195"/>
      <c r="U203" s="1"/>
      <c r="W203" s="195"/>
      <c r="X203" s="195"/>
    </row>
    <row r="204" spans="17:24" x14ac:dyDescent="0.25">
      <c r="Q204" s="195"/>
      <c r="R204" s="195"/>
      <c r="S204" s="195"/>
      <c r="T204" s="195"/>
      <c r="U204" s="1"/>
      <c r="W204" s="195"/>
      <c r="X204" s="195"/>
    </row>
    <row r="205" spans="17:24" x14ac:dyDescent="0.25">
      <c r="Q205" s="195"/>
      <c r="R205" s="195"/>
      <c r="S205" s="195"/>
      <c r="T205" s="195"/>
      <c r="U205" s="1"/>
      <c r="W205" s="195"/>
      <c r="X205" s="195"/>
    </row>
    <row r="206" spans="17:24" x14ac:dyDescent="0.25">
      <c r="Q206" s="195"/>
      <c r="R206" s="195"/>
      <c r="S206" s="195"/>
      <c r="T206" s="195"/>
      <c r="U206" s="1"/>
      <c r="W206" s="195"/>
      <c r="X206" s="195"/>
    </row>
    <row r="207" spans="17:24" x14ac:dyDescent="0.25">
      <c r="Q207" s="195"/>
      <c r="R207" s="195"/>
      <c r="S207" s="195"/>
      <c r="T207" s="195"/>
      <c r="U207" s="1"/>
      <c r="W207" s="195"/>
      <c r="X207" s="195"/>
    </row>
    <row r="208" spans="17:24" x14ac:dyDescent="0.25">
      <c r="Q208" s="195"/>
      <c r="R208" s="195"/>
      <c r="S208" s="195"/>
      <c r="T208" s="195"/>
      <c r="U208" s="1"/>
      <c r="W208" s="195"/>
      <c r="X208" s="195"/>
    </row>
    <row r="209" spans="17:24" x14ac:dyDescent="0.25">
      <c r="Q209" s="195"/>
      <c r="R209" s="195"/>
      <c r="S209" s="195"/>
      <c r="T209" s="195"/>
      <c r="U209" s="1"/>
      <c r="W209" s="195"/>
      <c r="X209" s="195"/>
    </row>
    <row r="210" spans="17:24" x14ac:dyDescent="0.25">
      <c r="Q210" s="195"/>
      <c r="R210" s="195"/>
      <c r="S210" s="195"/>
      <c r="T210" s="195"/>
      <c r="U210" s="1"/>
      <c r="W210" s="195"/>
      <c r="X210" s="195"/>
    </row>
    <row r="211" spans="17:24" x14ac:dyDescent="0.25">
      <c r="Q211" s="195"/>
      <c r="R211" s="195"/>
      <c r="S211" s="195"/>
      <c r="T211" s="195"/>
      <c r="U211" s="1"/>
      <c r="W211" s="195"/>
      <c r="X211" s="195"/>
    </row>
    <row r="212" spans="17:24" x14ac:dyDescent="0.25">
      <c r="Q212" s="195"/>
      <c r="R212" s="195"/>
      <c r="S212" s="195"/>
      <c r="T212" s="195"/>
      <c r="U212" s="1"/>
      <c r="W212" s="195"/>
      <c r="X212" s="195"/>
    </row>
    <row r="213" spans="17:24" x14ac:dyDescent="0.25">
      <c r="Q213" s="195"/>
      <c r="R213" s="195"/>
      <c r="S213" s="195"/>
      <c r="T213" s="195"/>
      <c r="U213" s="1"/>
      <c r="W213" s="195"/>
      <c r="X213" s="195"/>
    </row>
    <row r="214" spans="17:24" x14ac:dyDescent="0.25">
      <c r="Q214" s="195"/>
      <c r="R214" s="195"/>
      <c r="S214" s="195"/>
      <c r="T214" s="195"/>
      <c r="U214" s="1"/>
      <c r="W214" s="195"/>
      <c r="X214" s="195"/>
    </row>
    <row r="215" spans="17:24" x14ac:dyDescent="0.25">
      <c r="Q215" s="195"/>
      <c r="R215" s="195"/>
      <c r="S215" s="195"/>
      <c r="T215" s="195"/>
      <c r="U215" s="1"/>
      <c r="W215" s="195"/>
      <c r="X215" s="195"/>
    </row>
    <row r="216" spans="17:24" x14ac:dyDescent="0.25">
      <c r="Q216" s="195"/>
      <c r="R216" s="195"/>
      <c r="S216" s="195"/>
      <c r="T216" s="195"/>
      <c r="U216" s="1"/>
      <c r="W216" s="195"/>
      <c r="X216" s="195"/>
    </row>
    <row r="217" spans="17:24" x14ac:dyDescent="0.25">
      <c r="Q217" s="195"/>
      <c r="R217" s="195"/>
      <c r="S217" s="195"/>
      <c r="T217" s="195"/>
      <c r="U217" s="1"/>
      <c r="W217" s="195"/>
      <c r="X217" s="195"/>
    </row>
    <row r="218" spans="17:24" x14ac:dyDescent="0.25">
      <c r="Q218" s="195"/>
      <c r="R218" s="195"/>
      <c r="S218" s="195"/>
      <c r="T218" s="195"/>
      <c r="U218" s="1"/>
      <c r="W218" s="195"/>
      <c r="X218" s="195"/>
    </row>
    <row r="219" spans="17:24" x14ac:dyDescent="0.25">
      <c r="Q219" s="195"/>
      <c r="R219" s="195"/>
      <c r="S219" s="195"/>
      <c r="T219" s="195"/>
      <c r="U219" s="1"/>
      <c r="W219" s="195"/>
      <c r="X219" s="195"/>
    </row>
    <row r="220" spans="17:24" x14ac:dyDescent="0.25">
      <c r="Q220" s="195"/>
      <c r="R220" s="195"/>
      <c r="S220" s="195"/>
      <c r="T220" s="195"/>
      <c r="U220" s="1"/>
      <c r="W220" s="195"/>
      <c r="X220" s="195"/>
    </row>
    <row r="221" spans="17:24" x14ac:dyDescent="0.25">
      <c r="Q221" s="195"/>
      <c r="R221" s="195"/>
      <c r="S221" s="195"/>
      <c r="T221" s="195"/>
      <c r="U221" s="1"/>
      <c r="W221" s="195"/>
      <c r="X221" s="195"/>
    </row>
    <row r="222" spans="17:24" x14ac:dyDescent="0.25">
      <c r="Q222" s="195"/>
      <c r="R222" s="195"/>
      <c r="S222" s="195"/>
      <c r="T222" s="195"/>
      <c r="U222" s="1"/>
      <c r="W222" s="195"/>
      <c r="X222" s="195"/>
    </row>
    <row r="223" spans="17:24" x14ac:dyDescent="0.25">
      <c r="Q223" s="195"/>
      <c r="R223" s="195"/>
      <c r="S223" s="195"/>
      <c r="T223" s="195"/>
      <c r="U223" s="1"/>
      <c r="W223" s="195"/>
      <c r="X223" s="195"/>
    </row>
    <row r="224" spans="17:24" x14ac:dyDescent="0.25">
      <c r="Q224" s="195"/>
      <c r="R224" s="195"/>
      <c r="S224" s="195"/>
      <c r="T224" s="195"/>
      <c r="U224" s="1"/>
      <c r="W224" s="195"/>
      <c r="X224" s="195"/>
    </row>
    <row r="225" spans="17:24" x14ac:dyDescent="0.25">
      <c r="Q225" s="195"/>
      <c r="R225" s="195"/>
      <c r="S225" s="195"/>
      <c r="T225" s="195"/>
      <c r="U225" s="1"/>
      <c r="W225" s="195"/>
      <c r="X225" s="195"/>
    </row>
    <row r="226" spans="17:24" x14ac:dyDescent="0.25">
      <c r="Q226" s="195"/>
      <c r="R226" s="195"/>
      <c r="S226" s="195"/>
      <c r="T226" s="195"/>
      <c r="U226" s="1"/>
      <c r="W226" s="195"/>
      <c r="X226" s="195"/>
    </row>
    <row r="227" spans="17:24" x14ac:dyDescent="0.25">
      <c r="Q227" s="195"/>
      <c r="R227" s="195"/>
      <c r="S227" s="195"/>
      <c r="T227" s="195"/>
      <c r="U227" s="1"/>
      <c r="W227" s="195"/>
      <c r="X227" s="195"/>
    </row>
    <row r="228" spans="17:24" x14ac:dyDescent="0.25">
      <c r="Q228" s="195"/>
      <c r="R228" s="195"/>
      <c r="S228" s="195"/>
      <c r="T228" s="195"/>
      <c r="U228" s="1"/>
      <c r="W228" s="195"/>
      <c r="X228" s="195"/>
    </row>
    <row r="229" spans="17:24" x14ac:dyDescent="0.25">
      <c r="Q229" s="195"/>
      <c r="R229" s="195"/>
      <c r="S229" s="195"/>
      <c r="T229" s="195"/>
      <c r="U229" s="1"/>
      <c r="W229" s="195"/>
      <c r="X229" s="195"/>
    </row>
    <row r="230" spans="17:24" x14ac:dyDescent="0.25">
      <c r="Q230" s="195"/>
      <c r="R230" s="195"/>
      <c r="S230" s="195"/>
      <c r="T230" s="195"/>
      <c r="U230" s="1"/>
      <c r="W230" s="195"/>
      <c r="X230" s="195"/>
    </row>
    <row r="231" spans="17:24" x14ac:dyDescent="0.25">
      <c r="Q231" s="195"/>
      <c r="R231" s="195"/>
      <c r="S231" s="195"/>
      <c r="T231" s="195"/>
      <c r="U231" s="1"/>
      <c r="W231" s="195"/>
      <c r="X231" s="195"/>
    </row>
    <row r="232" spans="17:24" x14ac:dyDescent="0.25">
      <c r="Q232" s="195"/>
      <c r="R232" s="195"/>
      <c r="S232" s="195"/>
      <c r="T232" s="195"/>
      <c r="U232" s="1"/>
      <c r="W232" s="195"/>
      <c r="X232" s="195"/>
    </row>
    <row r="233" spans="17:24" x14ac:dyDescent="0.25">
      <c r="Q233" s="195"/>
      <c r="R233" s="195"/>
      <c r="S233" s="195"/>
      <c r="T233" s="195"/>
      <c r="U233" s="1"/>
      <c r="W233" s="195"/>
      <c r="X233" s="195"/>
    </row>
    <row r="234" spans="17:24" x14ac:dyDescent="0.25">
      <c r="Q234" s="195"/>
      <c r="R234" s="195"/>
      <c r="S234" s="195"/>
      <c r="T234" s="195"/>
      <c r="U234" s="1"/>
      <c r="W234" s="195"/>
      <c r="X234" s="195"/>
    </row>
    <row r="235" spans="17:24" x14ac:dyDescent="0.25">
      <c r="Q235" s="195"/>
      <c r="R235" s="195"/>
      <c r="S235" s="195"/>
      <c r="T235" s="195"/>
      <c r="U235" s="1"/>
      <c r="W235" s="195"/>
      <c r="X235" s="195"/>
    </row>
    <row r="236" spans="17:24" x14ac:dyDescent="0.25">
      <c r="Q236" s="195"/>
      <c r="R236" s="195"/>
      <c r="S236" s="195"/>
      <c r="T236" s="195"/>
      <c r="U236" s="1"/>
      <c r="W236" s="195"/>
      <c r="X236" s="195"/>
    </row>
    <row r="237" spans="17:24" x14ac:dyDescent="0.25">
      <c r="Q237" s="195"/>
      <c r="R237" s="195"/>
      <c r="S237" s="195"/>
      <c r="T237" s="195"/>
      <c r="U237" s="1"/>
      <c r="W237" s="195"/>
      <c r="X237" s="195"/>
    </row>
    <row r="238" spans="17:24" x14ac:dyDescent="0.25">
      <c r="Q238" s="195"/>
      <c r="R238" s="195"/>
      <c r="S238" s="195"/>
      <c r="T238" s="195"/>
      <c r="U238" s="1"/>
      <c r="W238" s="195"/>
      <c r="X238" s="195"/>
    </row>
    <row r="239" spans="17:24" x14ac:dyDescent="0.25">
      <c r="Q239" s="195"/>
      <c r="R239" s="195"/>
      <c r="S239" s="195"/>
      <c r="T239" s="195"/>
      <c r="U239" s="1"/>
      <c r="W239" s="195"/>
      <c r="X239" s="195"/>
    </row>
    <row r="240" spans="17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</sheetData>
  <mergeCells count="51">
    <mergeCell ref="A143:J143"/>
    <mergeCell ref="N143:Q143"/>
    <mergeCell ref="R143:U143"/>
    <mergeCell ref="D144:H144"/>
    <mergeCell ref="D137:J137"/>
    <mergeCell ref="N137:Q137"/>
    <mergeCell ref="R137:U137"/>
    <mergeCell ref="A141:J141"/>
    <mergeCell ref="A142:J142"/>
    <mergeCell ref="N142:Q142"/>
    <mergeCell ref="R142:U142"/>
    <mergeCell ref="D135:J135"/>
    <mergeCell ref="K135:L135"/>
    <mergeCell ref="R135:T135"/>
    <mergeCell ref="A136:J136"/>
    <mergeCell ref="N136:Q136"/>
    <mergeCell ref="R136:U136"/>
    <mergeCell ref="A134:J134"/>
    <mergeCell ref="B40:F40"/>
    <mergeCell ref="B42:F42"/>
    <mergeCell ref="B50:F50"/>
    <mergeCell ref="B62:F62"/>
    <mergeCell ref="B74:F74"/>
    <mergeCell ref="B76:F76"/>
    <mergeCell ref="B82:F82"/>
    <mergeCell ref="B84:F84"/>
    <mergeCell ref="B90:F90"/>
    <mergeCell ref="B92:F92"/>
    <mergeCell ref="B109:G109"/>
    <mergeCell ref="B38:F38"/>
    <mergeCell ref="U7:U8"/>
    <mergeCell ref="V7:V8"/>
    <mergeCell ref="A9:I9"/>
    <mergeCell ref="J9:K9"/>
    <mergeCell ref="B18:F18"/>
    <mergeCell ref="B20:F20"/>
    <mergeCell ref="B24:G24"/>
    <mergeCell ref="B26:F26"/>
    <mergeCell ref="B28:F28"/>
    <mergeCell ref="B30:F30"/>
    <mergeCell ref="B36:F36"/>
    <mergeCell ref="A3:U3"/>
    <mergeCell ref="A4:U4"/>
    <mergeCell ref="A5:U5"/>
    <mergeCell ref="A7:I8"/>
    <mergeCell ref="J7:K8"/>
    <mergeCell ref="L7:L8"/>
    <mergeCell ref="M7:M8"/>
    <mergeCell ref="N7:N8"/>
    <mergeCell ref="O7:P7"/>
    <mergeCell ref="Q7:S7"/>
  </mergeCells>
  <pageMargins left="0.25" right="0.25" top="0.75" bottom="0.75" header="0.3" footer="0.3"/>
  <pageSetup paperSize="5" scale="80" orientation="landscape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95"/>
  <sheetViews>
    <sheetView topLeftCell="A101" zoomScale="70" zoomScaleNormal="70" workbookViewId="0">
      <selection activeCell="R134" sqref="R134"/>
    </sheetView>
  </sheetViews>
  <sheetFormatPr defaultRowHeight="15.75" x14ac:dyDescent="0.25"/>
  <cols>
    <col min="1" max="1" width="3.140625" style="1" customWidth="1"/>
    <col min="2" max="2" width="3.7109375" style="1" customWidth="1"/>
    <col min="3" max="3" width="2" style="1" customWidth="1"/>
    <col min="4" max="5" width="8.7109375" style="1" customWidth="1"/>
    <col min="6" max="7" width="8.5703125" style="1" customWidth="1"/>
    <col min="8" max="8" width="0.140625" style="1" customWidth="1"/>
    <col min="9" max="9" width="6.85546875" style="1" hidden="1" customWidth="1"/>
    <col min="10" max="10" width="7" style="1" customWidth="1"/>
    <col min="11" max="11" width="83.140625" style="1" customWidth="1"/>
    <col min="12" max="12" width="16.140625" style="1" customWidth="1"/>
    <col min="13" max="14" width="20.42578125" style="1" customWidth="1"/>
    <col min="15" max="15" width="14.140625" style="1" hidden="1" customWidth="1"/>
    <col min="16" max="16" width="14.5703125" style="1" hidden="1" customWidth="1"/>
    <col min="17" max="17" width="17.42578125" style="1" customWidth="1"/>
    <col min="18" max="18" width="17.140625" style="196" customWidth="1"/>
    <col min="19" max="19" width="15.85546875" style="1" customWidth="1"/>
    <col min="20" max="20" width="14.42578125" style="1" hidden="1" customWidth="1"/>
    <col min="21" max="21" width="18.5703125" style="4" customWidth="1"/>
    <col min="22" max="22" width="18.140625" style="1" hidden="1" customWidth="1"/>
    <col min="23" max="24" width="13.85546875" style="1" hidden="1" customWidth="1"/>
    <col min="25" max="31" width="9.140625" style="1"/>
    <col min="32" max="32" width="13" style="1" bestFit="1" customWidth="1"/>
    <col min="33" max="16384" width="9.140625" style="1"/>
  </cols>
  <sheetData>
    <row r="1" spans="1:26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6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6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5"/>
    </row>
    <row r="4" spans="1:26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5"/>
    </row>
    <row r="5" spans="1:26" ht="18" x14ac:dyDescent="0.25">
      <c r="A5" s="482" t="s">
        <v>279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5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6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276</v>
      </c>
      <c r="M7" s="488" t="s">
        <v>7</v>
      </c>
      <c r="N7" s="488" t="s">
        <v>277</v>
      </c>
      <c r="O7" s="490" t="s">
        <v>9</v>
      </c>
      <c r="P7" s="490"/>
      <c r="Q7" s="491" t="s">
        <v>10</v>
      </c>
      <c r="R7" s="492"/>
      <c r="S7" s="492"/>
      <c r="T7" s="11"/>
      <c r="U7" s="493" t="s">
        <v>278</v>
      </c>
      <c r="V7" s="490" t="s">
        <v>12</v>
      </c>
      <c r="W7" s="11"/>
      <c r="X7" s="11"/>
    </row>
    <row r="8" spans="1:26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379" t="s">
        <v>14</v>
      </c>
      <c r="Q8" s="379" t="s">
        <v>13</v>
      </c>
      <c r="R8" s="14" t="s">
        <v>14</v>
      </c>
      <c r="S8" s="379" t="s">
        <v>15</v>
      </c>
      <c r="T8" s="379" t="s">
        <v>16</v>
      </c>
      <c r="U8" s="493"/>
      <c r="V8" s="490"/>
      <c r="W8" s="379" t="s">
        <v>17</v>
      </c>
      <c r="X8" s="379" t="s">
        <v>17</v>
      </c>
    </row>
    <row r="9" spans="1:26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 t="s">
        <v>19</v>
      </c>
      <c r="K9" s="494"/>
      <c r="L9" s="379" t="s">
        <v>20</v>
      </c>
      <c r="M9" s="379" t="s">
        <v>21</v>
      </c>
      <c r="N9" s="379" t="s">
        <v>22</v>
      </c>
      <c r="O9" s="379" t="s">
        <v>22</v>
      </c>
      <c r="P9" s="379" t="s">
        <v>23</v>
      </c>
      <c r="Q9" s="379" t="s">
        <v>24</v>
      </c>
      <c r="R9" s="14" t="s">
        <v>25</v>
      </c>
      <c r="S9" s="379" t="s">
        <v>26</v>
      </c>
      <c r="T9" s="379" t="s">
        <v>27</v>
      </c>
      <c r="U9" s="379" t="s">
        <v>28</v>
      </c>
      <c r="V9" s="15"/>
      <c r="W9" s="379" t="s">
        <v>27</v>
      </c>
      <c r="X9" s="379" t="s">
        <v>27</v>
      </c>
    </row>
    <row r="10" spans="1:26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f>L12+L118</f>
        <v>2184252000</v>
      </c>
      <c r="M10" s="19">
        <f>M12+M118</f>
        <v>0</v>
      </c>
      <c r="N10" s="19">
        <f>N12+N118</f>
        <v>2184252000</v>
      </c>
      <c r="O10" s="19" t="e">
        <f>O12</f>
        <v>#REF!</v>
      </c>
      <c r="P10" s="19"/>
      <c r="Q10" s="19">
        <f>Q12+Q118</f>
        <v>128786540</v>
      </c>
      <c r="R10" s="19">
        <v>730629121</v>
      </c>
      <c r="S10" s="19">
        <f>Q10+R10</f>
        <v>859415661</v>
      </c>
      <c r="T10" s="20">
        <f>S10/N10*100</f>
        <v>39.345994006186096</v>
      </c>
      <c r="U10" s="21">
        <f>N10-S10</f>
        <v>1324836339</v>
      </c>
      <c r="V10" s="21">
        <f>U10/2</f>
        <v>662418169.5</v>
      </c>
      <c r="W10" s="22">
        <f>Q10/N10*100</f>
        <v>5.8961392733072922</v>
      </c>
      <c r="X10" s="22">
        <f>Q10/N10*100</f>
        <v>5.8961392733072922</v>
      </c>
    </row>
    <row r="11" spans="1:26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</row>
    <row r="12" spans="1:26" x14ac:dyDescent="0.25">
      <c r="A12" s="34"/>
      <c r="B12" s="35" t="s">
        <v>31</v>
      </c>
      <c r="C12" s="36"/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L14+L16+L18+L20+L22+L28+L36+L38+L40+L46+L48+L50+L52+L60+L72+L84+L86+L106+L108+L114+L116</f>
        <v>1528107000</v>
      </c>
      <c r="M12" s="41">
        <f>M14+M16+M18+M20+M22+M28+M36+M38+M40+M46+M48+M50+M52+M60+M72+M84+M86+M106+M108+M114+M116</f>
        <v>0</v>
      </c>
      <c r="N12" s="41">
        <f>L12-M12</f>
        <v>1528107000</v>
      </c>
      <c r="O12" s="41" t="e">
        <f>#REF!</f>
        <v>#REF!</v>
      </c>
      <c r="P12" s="41"/>
      <c r="Q12" s="41">
        <f>Q14+Q16+Q18+Q20+Q22+Q28+Q36+Q38+Q40+Q46+Q48+Q50+Q52+Q60+Q72+Q84+Q86+Q106+Q108+Q114+Q116</f>
        <v>110166540</v>
      </c>
      <c r="R12" s="41">
        <v>604829121</v>
      </c>
      <c r="S12" s="41">
        <f>Q12+R12</f>
        <v>714995661</v>
      </c>
      <c r="T12" s="20">
        <f>S12/N12*100</f>
        <v>46.789633252121746</v>
      </c>
      <c r="U12" s="42">
        <f>N12-S12</f>
        <v>813111339</v>
      </c>
      <c r="V12" s="42">
        <f>U12/2</f>
        <v>406555669.5</v>
      </c>
      <c r="W12" s="22">
        <f t="shared" ref="W12:W36" si="0">Q12/N12*100</f>
        <v>7.2093472512068848</v>
      </c>
      <c r="X12" s="22">
        <f t="shared" ref="X12:X84" si="1">Q12/N12*100</f>
        <v>7.2093472512068848</v>
      </c>
    </row>
    <row r="13" spans="1:26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86" si="2">U13/2</f>
        <v>0</v>
      </c>
      <c r="W13" s="22"/>
      <c r="X13" s="22"/>
    </row>
    <row r="14" spans="1:26" ht="17.25" x14ac:dyDescent="0.3">
      <c r="A14" s="232"/>
      <c r="B14" s="313" t="s">
        <v>236</v>
      </c>
      <c r="C14" s="314"/>
      <c r="D14" s="315"/>
      <c r="E14" s="316"/>
      <c r="F14" s="316"/>
      <c r="G14" s="317"/>
      <c r="H14" s="318"/>
      <c r="I14" s="319"/>
      <c r="J14" s="318"/>
      <c r="K14" s="361" t="s">
        <v>184</v>
      </c>
      <c r="L14" s="43">
        <v>42000000</v>
      </c>
      <c r="M14" s="43">
        <v>0</v>
      </c>
      <c r="N14" s="43">
        <f>L14-M14</f>
        <v>42000000</v>
      </c>
      <c r="O14" s="337"/>
      <c r="P14" s="337"/>
      <c r="Q14" s="43">
        <v>2000000</v>
      </c>
      <c r="R14" s="43">
        <v>14000000</v>
      </c>
      <c r="S14" s="43">
        <f t="shared" ref="S14:S16" si="3">Q14+R14</f>
        <v>16000000</v>
      </c>
      <c r="T14" s="327">
        <f>S14/N14*100</f>
        <v>38.095238095238095</v>
      </c>
      <c r="U14" s="43">
        <f>N14-S14</f>
        <v>26000000</v>
      </c>
      <c r="V14" s="42">
        <f t="shared" si="2"/>
        <v>13000000</v>
      </c>
      <c r="W14" s="22">
        <f>Q14/N14*100</f>
        <v>4.7619047619047619</v>
      </c>
      <c r="X14" s="22">
        <f t="shared" si="1"/>
        <v>4.7619047619047619</v>
      </c>
      <c r="Z14" s="22">
        <f>Q14/N14*100</f>
        <v>4.7619047619047619</v>
      </c>
    </row>
    <row r="15" spans="1:26" x14ac:dyDescent="0.25">
      <c r="A15" s="240"/>
      <c r="B15" s="322"/>
      <c r="C15" s="322"/>
      <c r="D15" s="322"/>
      <c r="E15" s="323"/>
      <c r="F15" s="323"/>
      <c r="G15" s="323"/>
      <c r="H15" s="323"/>
      <c r="I15" s="323"/>
      <c r="J15" s="362"/>
      <c r="K15" s="363"/>
      <c r="L15" s="43"/>
      <c r="M15" s="43"/>
      <c r="N15" s="43"/>
      <c r="O15" s="43"/>
      <c r="P15" s="43"/>
      <c r="Q15" s="363"/>
      <c r="R15" s="364"/>
      <c r="S15" s="364"/>
      <c r="T15" s="327"/>
      <c r="U15" s="43"/>
      <c r="V15" s="42">
        <f t="shared" si="2"/>
        <v>0</v>
      </c>
      <c r="W15" s="22"/>
      <c r="X15" s="22"/>
      <c r="Z15" s="22" t="e">
        <f t="shared" ref="Z15:Z88" si="4">Q15/N15*100</f>
        <v>#DIV/0!</v>
      </c>
    </row>
    <row r="16" spans="1:26" ht="17.25" x14ac:dyDescent="0.3">
      <c r="A16" s="232"/>
      <c r="B16" s="313" t="s">
        <v>237</v>
      </c>
      <c r="C16" s="328"/>
      <c r="D16" s="315"/>
      <c r="E16" s="316"/>
      <c r="F16" s="316"/>
      <c r="G16" s="317"/>
      <c r="H16" s="318"/>
      <c r="I16" s="319"/>
      <c r="J16" s="318"/>
      <c r="K16" s="361" t="s">
        <v>185</v>
      </c>
      <c r="L16" s="43">
        <v>4740000</v>
      </c>
      <c r="M16" s="43">
        <v>0</v>
      </c>
      <c r="N16" s="43">
        <f>L16-M16</f>
        <v>4740000</v>
      </c>
      <c r="O16" s="337"/>
      <c r="P16" s="337"/>
      <c r="Q16" s="43">
        <v>0</v>
      </c>
      <c r="R16" s="43">
        <v>1620000</v>
      </c>
      <c r="S16" s="43">
        <f t="shared" si="3"/>
        <v>1620000</v>
      </c>
      <c r="T16" s="327">
        <f>S16/N16*100</f>
        <v>34.177215189873415</v>
      </c>
      <c r="U16" s="43">
        <f t="shared" ref="U16:U36" si="5">N16-S16</f>
        <v>3120000</v>
      </c>
      <c r="V16" s="42">
        <f t="shared" si="2"/>
        <v>1560000</v>
      </c>
      <c r="W16" s="22">
        <f t="shared" si="0"/>
        <v>0</v>
      </c>
      <c r="X16" s="22">
        <f t="shared" si="1"/>
        <v>0</v>
      </c>
      <c r="Z16" s="65">
        <f t="shared" si="4"/>
        <v>0</v>
      </c>
    </row>
    <row r="17" spans="1:26" x14ac:dyDescent="0.25">
      <c r="A17" s="240"/>
      <c r="B17" s="329"/>
      <c r="C17" s="329"/>
      <c r="D17" s="322"/>
      <c r="E17" s="323"/>
      <c r="F17" s="323"/>
      <c r="G17" s="323"/>
      <c r="H17" s="323"/>
      <c r="I17" s="323"/>
      <c r="J17" s="362"/>
      <c r="K17" s="365"/>
      <c r="L17" s="43"/>
      <c r="M17" s="43"/>
      <c r="N17" s="43"/>
      <c r="O17" s="43"/>
      <c r="P17" s="43"/>
      <c r="Q17" s="363"/>
      <c r="R17" s="364"/>
      <c r="S17" s="364"/>
      <c r="T17" s="327"/>
      <c r="U17" s="43"/>
      <c r="V17" s="42">
        <f t="shared" si="2"/>
        <v>0</v>
      </c>
      <c r="W17" s="22"/>
      <c r="X17" s="22"/>
      <c r="Z17" s="22" t="e">
        <f t="shared" si="4"/>
        <v>#DIV/0!</v>
      </c>
    </row>
    <row r="18" spans="1:26" ht="17.25" x14ac:dyDescent="0.3">
      <c r="A18" s="394"/>
      <c r="B18" s="514" t="s">
        <v>43</v>
      </c>
      <c r="C18" s="515"/>
      <c r="D18" s="515"/>
      <c r="E18" s="515"/>
      <c r="F18" s="516"/>
      <c r="G18" s="395"/>
      <c r="H18" s="395"/>
      <c r="I18" s="395"/>
      <c r="J18" s="396"/>
      <c r="K18" s="397" t="s">
        <v>186</v>
      </c>
      <c r="L18" s="398">
        <v>19754000</v>
      </c>
      <c r="M18" s="398">
        <v>0</v>
      </c>
      <c r="N18" s="398">
        <f>L18-M18</f>
        <v>19754000</v>
      </c>
      <c r="O18" s="398"/>
      <c r="P18" s="398"/>
      <c r="Q18" s="399">
        <v>0</v>
      </c>
      <c r="R18" s="399">
        <v>19693400</v>
      </c>
      <c r="S18" s="399">
        <f>Q18+R18</f>
        <v>19693400</v>
      </c>
      <c r="T18" s="400">
        <f>S18/N18*100</f>
        <v>99.693226688265668</v>
      </c>
      <c r="U18" s="398">
        <f t="shared" si="5"/>
        <v>60600</v>
      </c>
      <c r="V18" s="42">
        <f t="shared" si="2"/>
        <v>30300</v>
      </c>
      <c r="W18" s="22">
        <f t="shared" si="0"/>
        <v>0</v>
      </c>
      <c r="X18" s="22">
        <f t="shared" si="1"/>
        <v>0</v>
      </c>
      <c r="Z18" s="65">
        <f t="shared" si="4"/>
        <v>0</v>
      </c>
    </row>
    <row r="19" spans="1:26" x14ac:dyDescent="0.25">
      <c r="A19" s="240"/>
      <c r="B19" s="329"/>
      <c r="C19" s="329"/>
      <c r="D19" s="322"/>
      <c r="E19" s="323"/>
      <c r="F19" s="323"/>
      <c r="G19" s="323"/>
      <c r="H19" s="323"/>
      <c r="I19" s="323"/>
      <c r="J19" s="362"/>
      <c r="K19" s="365"/>
      <c r="L19" s="43"/>
      <c r="M19" s="43"/>
      <c r="N19" s="43"/>
      <c r="O19" s="43"/>
      <c r="P19" s="43"/>
      <c r="Q19" s="363"/>
      <c r="R19" s="364"/>
      <c r="S19" s="364"/>
      <c r="T19" s="327"/>
      <c r="U19" s="43"/>
      <c r="V19" s="42">
        <f t="shared" si="2"/>
        <v>0</v>
      </c>
      <c r="W19" s="22"/>
      <c r="X19" s="22"/>
      <c r="Z19" s="22" t="e">
        <f t="shared" si="4"/>
        <v>#DIV/0!</v>
      </c>
    </row>
    <row r="20" spans="1:26" ht="17.25" x14ac:dyDescent="0.3">
      <c r="A20" s="394"/>
      <c r="B20" s="514" t="s">
        <v>238</v>
      </c>
      <c r="C20" s="515"/>
      <c r="D20" s="515"/>
      <c r="E20" s="515"/>
      <c r="F20" s="516"/>
      <c r="G20" s="401"/>
      <c r="H20" s="401"/>
      <c r="I20" s="395"/>
      <c r="J20" s="396"/>
      <c r="K20" s="397" t="s">
        <v>92</v>
      </c>
      <c r="L20" s="398">
        <v>4468000</v>
      </c>
      <c r="M20" s="398">
        <v>0</v>
      </c>
      <c r="N20" s="398">
        <f>L20-M20</f>
        <v>4468000</v>
      </c>
      <c r="O20" s="402"/>
      <c r="P20" s="402"/>
      <c r="Q20" s="399">
        <v>580000</v>
      </c>
      <c r="R20" s="399">
        <v>932000</v>
      </c>
      <c r="S20" s="399">
        <f>Q20+R20</f>
        <v>1512000</v>
      </c>
      <c r="T20" s="400">
        <f>S20/N20*100</f>
        <v>33.840644583706357</v>
      </c>
      <c r="U20" s="398">
        <f t="shared" si="5"/>
        <v>2956000</v>
      </c>
      <c r="V20" s="42">
        <f t="shared" si="2"/>
        <v>1478000</v>
      </c>
      <c r="W20" s="22">
        <f t="shared" si="0"/>
        <v>12.981199641897941</v>
      </c>
      <c r="X20" s="22">
        <f t="shared" si="1"/>
        <v>12.981199641897941</v>
      </c>
      <c r="Z20" s="65">
        <f t="shared" si="4"/>
        <v>12.981199641897941</v>
      </c>
    </row>
    <row r="21" spans="1:26" x14ac:dyDescent="0.25">
      <c r="A21" s="240"/>
      <c r="B21" s="329"/>
      <c r="C21" s="331"/>
      <c r="D21" s="323"/>
      <c r="E21" s="323"/>
      <c r="F21" s="323"/>
      <c r="G21" s="322"/>
      <c r="H21" s="322"/>
      <c r="I21" s="323"/>
      <c r="J21" s="362"/>
      <c r="K21" s="366"/>
      <c r="L21" s="43"/>
      <c r="M21" s="43"/>
      <c r="N21" s="43"/>
      <c r="O21" s="337"/>
      <c r="P21" s="337"/>
      <c r="Q21" s="363"/>
      <c r="R21" s="364"/>
      <c r="S21" s="364"/>
      <c r="T21" s="327"/>
      <c r="U21" s="43"/>
      <c r="V21" s="42">
        <f t="shared" si="2"/>
        <v>0</v>
      </c>
      <c r="W21" s="22"/>
      <c r="X21" s="22"/>
      <c r="Z21" s="22" t="e">
        <f t="shared" si="4"/>
        <v>#DIV/0!</v>
      </c>
    </row>
    <row r="22" spans="1:26" ht="17.25" x14ac:dyDescent="0.3">
      <c r="A22" s="403"/>
      <c r="B22" s="404" t="s">
        <v>239</v>
      </c>
      <c r="C22" s="405"/>
      <c r="D22" s="406"/>
      <c r="E22" s="407"/>
      <c r="F22" s="407"/>
      <c r="G22" s="408"/>
      <c r="H22" s="409"/>
      <c r="I22" s="409"/>
      <c r="J22" s="410"/>
      <c r="K22" s="397" t="s">
        <v>187</v>
      </c>
      <c r="L22" s="411">
        <f>L24+L26</f>
        <v>3020000</v>
      </c>
      <c r="M22" s="411">
        <v>0</v>
      </c>
      <c r="N22" s="398">
        <f>L22-M22</f>
        <v>3020000</v>
      </c>
      <c r="O22" s="411"/>
      <c r="P22" s="411"/>
      <c r="Q22" s="411">
        <v>611500</v>
      </c>
      <c r="R22" s="411">
        <v>700000</v>
      </c>
      <c r="S22" s="411">
        <f t="shared" ref="S22" si="6">Q22+R22</f>
        <v>1311500</v>
      </c>
      <c r="T22" s="400">
        <f>S22/N22*100</f>
        <v>43.427152317880797</v>
      </c>
      <c r="U22" s="398">
        <f t="shared" si="5"/>
        <v>1708500</v>
      </c>
      <c r="V22" s="42">
        <f t="shared" si="2"/>
        <v>854250</v>
      </c>
      <c r="W22" s="22">
        <f t="shared" si="0"/>
        <v>20.248344370860927</v>
      </c>
      <c r="X22" s="22">
        <f t="shared" si="1"/>
        <v>20.248344370860927</v>
      </c>
      <c r="Z22" s="65">
        <f t="shared" si="4"/>
        <v>20.248344370860927</v>
      </c>
    </row>
    <row r="23" spans="1:26" ht="17.25" x14ac:dyDescent="0.3">
      <c r="A23" s="232"/>
      <c r="B23" s="313"/>
      <c r="C23" s="328"/>
      <c r="D23" s="315"/>
      <c r="E23" s="316"/>
      <c r="F23" s="316"/>
      <c r="G23" s="317"/>
      <c r="H23" s="319"/>
      <c r="I23" s="319"/>
      <c r="J23" s="312"/>
      <c r="K23" s="361"/>
      <c r="L23" s="367"/>
      <c r="M23" s="367"/>
      <c r="N23" s="43"/>
      <c r="O23" s="367"/>
      <c r="P23" s="367"/>
      <c r="Q23" s="367"/>
      <c r="R23" s="367"/>
      <c r="S23" s="367"/>
      <c r="T23" s="327"/>
      <c r="U23" s="43"/>
      <c r="V23" s="42"/>
      <c r="W23" s="22"/>
      <c r="X23" s="22"/>
      <c r="Z23" s="65"/>
    </row>
    <row r="24" spans="1:26" ht="17.25" x14ac:dyDescent="0.3">
      <c r="A24" s="232"/>
      <c r="B24" s="313"/>
      <c r="C24" s="328"/>
      <c r="D24" s="315"/>
      <c r="E24" s="316"/>
      <c r="F24" s="316"/>
      <c r="G24" s="317"/>
      <c r="H24" s="319"/>
      <c r="I24" s="319"/>
      <c r="J24" s="312"/>
      <c r="K24" s="361" t="s">
        <v>292</v>
      </c>
      <c r="L24" s="367">
        <v>1800000</v>
      </c>
      <c r="M24" s="367"/>
      <c r="N24" s="43">
        <f>L24-M24</f>
        <v>1800000</v>
      </c>
      <c r="O24" s="367"/>
      <c r="P24" s="367"/>
      <c r="Q24" s="367"/>
      <c r="R24" s="367"/>
      <c r="S24" s="367"/>
      <c r="T24" s="327"/>
      <c r="U24" s="43"/>
      <c r="V24" s="42"/>
      <c r="W24" s="22"/>
      <c r="X24" s="22"/>
      <c r="Z24" s="65"/>
    </row>
    <row r="25" spans="1:26" ht="17.25" x14ac:dyDescent="0.3">
      <c r="A25" s="232"/>
      <c r="B25" s="313"/>
      <c r="C25" s="328"/>
      <c r="D25" s="315"/>
      <c r="E25" s="316"/>
      <c r="F25" s="316"/>
      <c r="G25" s="317"/>
      <c r="H25" s="319"/>
      <c r="I25" s="319"/>
      <c r="J25" s="312"/>
      <c r="K25" s="361"/>
      <c r="L25" s="367"/>
      <c r="M25" s="367"/>
      <c r="N25" s="43"/>
      <c r="O25" s="367"/>
      <c r="P25" s="367"/>
      <c r="Q25" s="367"/>
      <c r="R25" s="367"/>
      <c r="S25" s="367"/>
      <c r="T25" s="327"/>
      <c r="U25" s="43"/>
      <c r="V25" s="42"/>
      <c r="W25" s="22"/>
      <c r="X25" s="22"/>
      <c r="Z25" s="65"/>
    </row>
    <row r="26" spans="1:26" ht="17.25" x14ac:dyDescent="0.3">
      <c r="A26" s="232"/>
      <c r="B26" s="313"/>
      <c r="C26" s="328"/>
      <c r="D26" s="315"/>
      <c r="E26" s="316"/>
      <c r="F26" s="316"/>
      <c r="G26" s="317"/>
      <c r="H26" s="319"/>
      <c r="I26" s="319"/>
      <c r="J26" s="312"/>
      <c r="K26" s="361" t="s">
        <v>293</v>
      </c>
      <c r="L26" s="367">
        <v>1220000</v>
      </c>
      <c r="M26" s="367"/>
      <c r="N26" s="43">
        <f>L26-M26</f>
        <v>1220000</v>
      </c>
      <c r="O26" s="367"/>
      <c r="P26" s="367"/>
      <c r="Q26" s="367"/>
      <c r="R26" s="367"/>
      <c r="S26" s="367"/>
      <c r="T26" s="327"/>
      <c r="U26" s="43"/>
      <c r="V26" s="42"/>
      <c r="W26" s="22"/>
      <c r="X26" s="22"/>
      <c r="Z26" s="65"/>
    </row>
    <row r="27" spans="1:26" x14ac:dyDescent="0.25">
      <c r="A27" s="240"/>
      <c r="B27" s="329"/>
      <c r="C27" s="331"/>
      <c r="D27" s="323"/>
      <c r="E27" s="323"/>
      <c r="F27" s="323"/>
      <c r="G27" s="322"/>
      <c r="H27" s="322"/>
      <c r="I27" s="323"/>
      <c r="J27" s="362"/>
      <c r="K27" s="368"/>
      <c r="L27" s="337"/>
      <c r="M27" s="337"/>
      <c r="N27" s="43"/>
      <c r="O27" s="337"/>
      <c r="P27" s="337"/>
      <c r="Q27" s="363"/>
      <c r="R27" s="364"/>
      <c r="S27" s="364"/>
      <c r="T27" s="327"/>
      <c r="U27" s="43"/>
      <c r="V27" s="42">
        <f t="shared" si="2"/>
        <v>0</v>
      </c>
      <c r="W27" s="22"/>
      <c r="X27" s="22"/>
      <c r="Z27" s="22" t="e">
        <f t="shared" si="4"/>
        <v>#DIV/0!</v>
      </c>
    </row>
    <row r="28" spans="1:26" ht="17.25" x14ac:dyDescent="0.3">
      <c r="A28" s="403"/>
      <c r="B28" s="514" t="s">
        <v>240</v>
      </c>
      <c r="C28" s="515"/>
      <c r="D28" s="515"/>
      <c r="E28" s="515"/>
      <c r="F28" s="515"/>
      <c r="G28" s="516"/>
      <c r="H28" s="412"/>
      <c r="I28" s="409"/>
      <c r="J28" s="410"/>
      <c r="K28" s="397" t="s">
        <v>88</v>
      </c>
      <c r="L28" s="398">
        <v>12200000</v>
      </c>
      <c r="M28" s="398">
        <v>0</v>
      </c>
      <c r="N28" s="398">
        <f>L28-M28</f>
        <v>12200000</v>
      </c>
      <c r="O28" s="398"/>
      <c r="P28" s="398"/>
      <c r="Q28" s="398">
        <v>730000</v>
      </c>
      <c r="R28" s="398">
        <v>7862000</v>
      </c>
      <c r="S28" s="398">
        <f t="shared" ref="S28" si="7">Q28+R28</f>
        <v>8592000</v>
      </c>
      <c r="T28" s="400">
        <f>S28/N28*100</f>
        <v>70.426229508196727</v>
      </c>
      <c r="U28" s="398">
        <f t="shared" si="5"/>
        <v>3608000</v>
      </c>
      <c r="V28" s="42">
        <f t="shared" si="2"/>
        <v>1804000</v>
      </c>
      <c r="W28" s="22">
        <f t="shared" si="0"/>
        <v>5.9836065573770494</v>
      </c>
      <c r="X28" s="22">
        <f>Q28/N28*100</f>
        <v>5.9836065573770494</v>
      </c>
      <c r="Z28" s="65">
        <f t="shared" si="4"/>
        <v>5.9836065573770494</v>
      </c>
    </row>
    <row r="29" spans="1:26" ht="17.25" x14ac:dyDescent="0.3">
      <c r="A29" s="232"/>
      <c r="B29" s="391"/>
      <c r="C29" s="392"/>
      <c r="D29" s="392"/>
      <c r="E29" s="392"/>
      <c r="F29" s="392"/>
      <c r="G29" s="393"/>
      <c r="H29" s="318"/>
      <c r="I29" s="319"/>
      <c r="J29" s="312"/>
      <c r="K29" s="361"/>
      <c r="L29" s="43"/>
      <c r="M29" s="43"/>
      <c r="N29" s="43"/>
      <c r="O29" s="43"/>
      <c r="P29" s="43"/>
      <c r="Q29" s="43"/>
      <c r="R29" s="43"/>
      <c r="S29" s="43"/>
      <c r="T29" s="327"/>
      <c r="U29" s="43"/>
      <c r="V29" s="42"/>
      <c r="W29" s="22"/>
      <c r="X29" s="22"/>
      <c r="Z29" s="65"/>
    </row>
    <row r="30" spans="1:26" ht="17.25" x14ac:dyDescent="0.3">
      <c r="A30" s="232"/>
      <c r="B30" s="391"/>
      <c r="C30" s="392"/>
      <c r="D30" s="392"/>
      <c r="E30" s="392"/>
      <c r="F30" s="392"/>
      <c r="G30" s="393"/>
      <c r="H30" s="318"/>
      <c r="I30" s="319"/>
      <c r="J30" s="312"/>
      <c r="K30" s="361" t="s">
        <v>294</v>
      </c>
      <c r="L30" s="43">
        <v>6000000</v>
      </c>
      <c r="M30" s="43"/>
      <c r="N30" s="43"/>
      <c r="O30" s="43"/>
      <c r="P30" s="43"/>
      <c r="Q30" s="43"/>
      <c r="R30" s="43"/>
      <c r="S30" s="43"/>
      <c r="T30" s="327"/>
      <c r="U30" s="43"/>
      <c r="V30" s="42"/>
      <c r="W30" s="22"/>
      <c r="X30" s="22"/>
      <c r="Z30" s="65"/>
    </row>
    <row r="31" spans="1:26" ht="17.25" x14ac:dyDescent="0.3">
      <c r="A31" s="232"/>
      <c r="B31" s="391"/>
      <c r="C31" s="392"/>
      <c r="D31" s="392"/>
      <c r="E31" s="392"/>
      <c r="F31" s="392"/>
      <c r="G31" s="393"/>
      <c r="H31" s="318"/>
      <c r="I31" s="319"/>
      <c r="J31" s="312"/>
      <c r="K31" s="361"/>
      <c r="L31" s="43"/>
      <c r="M31" s="43"/>
      <c r="N31" s="43"/>
      <c r="O31" s="43"/>
      <c r="P31" s="43"/>
      <c r="Q31" s="43"/>
      <c r="R31" s="43"/>
      <c r="S31" s="43"/>
      <c r="T31" s="327"/>
      <c r="U31" s="43"/>
      <c r="V31" s="42"/>
      <c r="W31" s="22"/>
      <c r="X31" s="22"/>
      <c r="Z31" s="65"/>
    </row>
    <row r="32" spans="1:26" ht="17.25" x14ac:dyDescent="0.3">
      <c r="A32" s="232"/>
      <c r="B32" s="391"/>
      <c r="C32" s="392"/>
      <c r="D32" s="392"/>
      <c r="E32" s="392"/>
      <c r="F32" s="392"/>
      <c r="G32" s="393"/>
      <c r="H32" s="318"/>
      <c r="I32" s="319"/>
      <c r="J32" s="312"/>
      <c r="K32" s="361" t="s">
        <v>295</v>
      </c>
      <c r="L32" s="43">
        <v>3200000</v>
      </c>
      <c r="M32" s="43"/>
      <c r="N32" s="43"/>
      <c r="O32" s="43"/>
      <c r="P32" s="43"/>
      <c r="Q32" s="43"/>
      <c r="R32" s="43"/>
      <c r="S32" s="43"/>
      <c r="T32" s="327"/>
      <c r="U32" s="43"/>
      <c r="V32" s="42"/>
      <c r="W32" s="22"/>
      <c r="X32" s="22"/>
      <c r="Z32" s="65"/>
    </row>
    <row r="33" spans="1:26" ht="17.25" x14ac:dyDescent="0.3">
      <c r="A33" s="232"/>
      <c r="B33" s="391"/>
      <c r="C33" s="392"/>
      <c r="D33" s="392"/>
      <c r="E33" s="392"/>
      <c r="F33" s="392"/>
      <c r="G33" s="393"/>
      <c r="H33" s="318"/>
      <c r="I33" s="319"/>
      <c r="J33" s="312"/>
      <c r="K33" s="361"/>
      <c r="L33" s="43"/>
      <c r="M33" s="43"/>
      <c r="N33" s="43"/>
      <c r="O33" s="43"/>
      <c r="P33" s="43"/>
      <c r="Q33" s="43"/>
      <c r="R33" s="43"/>
      <c r="S33" s="43"/>
      <c r="T33" s="327"/>
      <c r="U33" s="43"/>
      <c r="V33" s="42"/>
      <c r="W33" s="22"/>
      <c r="X33" s="22"/>
      <c r="Z33" s="65"/>
    </row>
    <row r="34" spans="1:26" ht="17.25" x14ac:dyDescent="0.3">
      <c r="A34" s="232"/>
      <c r="B34" s="391"/>
      <c r="C34" s="392"/>
      <c r="D34" s="392"/>
      <c r="E34" s="392"/>
      <c r="F34" s="392"/>
      <c r="G34" s="393"/>
      <c r="H34" s="318"/>
      <c r="I34" s="319"/>
      <c r="J34" s="312"/>
      <c r="K34" s="361" t="s">
        <v>296</v>
      </c>
      <c r="L34" s="43">
        <v>3000000</v>
      </c>
      <c r="M34" s="43"/>
      <c r="N34" s="43"/>
      <c r="O34" s="43"/>
      <c r="P34" s="43"/>
      <c r="Q34" s="43"/>
      <c r="R34" s="43"/>
      <c r="S34" s="43"/>
      <c r="T34" s="327"/>
      <c r="U34" s="43"/>
      <c r="V34" s="42"/>
      <c r="W34" s="22"/>
      <c r="X34" s="22"/>
      <c r="Z34" s="65"/>
    </row>
    <row r="35" spans="1:26" x14ac:dyDescent="0.25">
      <c r="A35" s="240"/>
      <c r="B35" s="329"/>
      <c r="C35" s="331"/>
      <c r="D35" s="323"/>
      <c r="E35" s="323"/>
      <c r="F35" s="323"/>
      <c r="G35" s="322"/>
      <c r="H35" s="322"/>
      <c r="I35" s="323"/>
      <c r="J35" s="362"/>
      <c r="K35" s="368"/>
      <c r="L35" s="337"/>
      <c r="M35" s="337"/>
      <c r="N35" s="337"/>
      <c r="O35" s="337"/>
      <c r="P35" s="337"/>
      <c r="Q35" s="363"/>
      <c r="R35" s="364"/>
      <c r="S35" s="364"/>
      <c r="T35" s="327"/>
      <c r="U35" s="43"/>
      <c r="V35" s="42">
        <f t="shared" si="2"/>
        <v>0</v>
      </c>
      <c r="W35" s="22"/>
      <c r="X35" s="22"/>
      <c r="Z35" s="22" t="e">
        <f t="shared" si="4"/>
        <v>#DIV/0!</v>
      </c>
    </row>
    <row r="36" spans="1:26" ht="17.25" x14ac:dyDescent="0.3">
      <c r="A36" s="394"/>
      <c r="B36" s="514" t="s">
        <v>241</v>
      </c>
      <c r="C36" s="515"/>
      <c r="D36" s="515"/>
      <c r="E36" s="515"/>
      <c r="F36" s="516"/>
      <c r="G36" s="401"/>
      <c r="H36" s="401"/>
      <c r="I36" s="395"/>
      <c r="J36" s="396"/>
      <c r="K36" s="397" t="s">
        <v>188</v>
      </c>
      <c r="L36" s="398">
        <v>3600000</v>
      </c>
      <c r="M36" s="398">
        <v>0</v>
      </c>
      <c r="N36" s="398">
        <f t="shared" ref="N36:N106" si="8">L36-M36</f>
        <v>3600000</v>
      </c>
      <c r="O36" s="402"/>
      <c r="P36" s="402"/>
      <c r="Q36" s="399">
        <v>300000</v>
      </c>
      <c r="R36" s="399">
        <v>1200000</v>
      </c>
      <c r="S36" s="399">
        <f>Q36+R36</f>
        <v>1500000</v>
      </c>
      <c r="T36" s="400">
        <f>S36/N36*100</f>
        <v>41.666666666666671</v>
      </c>
      <c r="U36" s="398">
        <f t="shared" si="5"/>
        <v>2100000</v>
      </c>
      <c r="V36" s="42">
        <f t="shared" si="2"/>
        <v>1050000</v>
      </c>
      <c r="W36" s="22">
        <f t="shared" si="0"/>
        <v>8.3333333333333321</v>
      </c>
      <c r="X36" s="22">
        <f t="shared" si="1"/>
        <v>8.3333333333333321</v>
      </c>
      <c r="Z36" s="65">
        <f t="shared" si="4"/>
        <v>8.3333333333333321</v>
      </c>
    </row>
    <row r="37" spans="1:26" x14ac:dyDescent="0.25">
      <c r="A37" s="240"/>
      <c r="B37" s="329"/>
      <c r="C37" s="331"/>
      <c r="D37" s="323"/>
      <c r="E37" s="323"/>
      <c r="F37" s="323"/>
      <c r="G37" s="322"/>
      <c r="H37" s="322"/>
      <c r="I37" s="323"/>
      <c r="J37" s="362"/>
      <c r="K37" s="368"/>
      <c r="L37" s="337"/>
      <c r="M37" s="337"/>
      <c r="N37" s="43"/>
      <c r="O37" s="337"/>
      <c r="P37" s="337"/>
      <c r="Q37" s="364"/>
      <c r="R37" s="364"/>
      <c r="S37" s="364"/>
      <c r="T37" s="327"/>
      <c r="U37" s="43"/>
      <c r="V37" s="42">
        <f t="shared" si="2"/>
        <v>0</v>
      </c>
      <c r="W37" s="22"/>
      <c r="X37" s="22"/>
      <c r="Z37" s="22" t="e">
        <f t="shared" si="4"/>
        <v>#DIV/0!</v>
      </c>
    </row>
    <row r="38" spans="1:26" ht="17.25" x14ac:dyDescent="0.3">
      <c r="A38" s="394"/>
      <c r="B38" s="514" t="s">
        <v>242</v>
      </c>
      <c r="C38" s="515"/>
      <c r="D38" s="515"/>
      <c r="E38" s="515"/>
      <c r="F38" s="516"/>
      <c r="G38" s="401"/>
      <c r="H38" s="401"/>
      <c r="I38" s="395"/>
      <c r="J38" s="396"/>
      <c r="K38" s="397" t="s">
        <v>189</v>
      </c>
      <c r="L38" s="398">
        <v>50388000</v>
      </c>
      <c r="M38" s="398">
        <v>0</v>
      </c>
      <c r="N38" s="398">
        <f t="shared" si="8"/>
        <v>50388000</v>
      </c>
      <c r="O38" s="402"/>
      <c r="P38" s="402"/>
      <c r="Q38" s="399">
        <v>5567004</v>
      </c>
      <c r="R38" s="399">
        <v>20520000</v>
      </c>
      <c r="S38" s="399">
        <f>Q38+R38</f>
        <v>26087004</v>
      </c>
      <c r="T38" s="400">
        <f>S38/N38*100</f>
        <v>51.772255298880687</v>
      </c>
      <c r="U38" s="398">
        <f t="shared" ref="U38:U112" si="9">N38-S38</f>
        <v>24300996</v>
      </c>
      <c r="V38" s="42">
        <f t="shared" si="2"/>
        <v>12150498</v>
      </c>
      <c r="W38" s="22">
        <f t="shared" ref="W38:W106" si="10">Q38/N38*100</f>
        <v>11.048273398428197</v>
      </c>
      <c r="X38" s="22">
        <f t="shared" si="1"/>
        <v>11.048273398428197</v>
      </c>
      <c r="Z38" s="65">
        <f t="shared" si="4"/>
        <v>11.048273398428197</v>
      </c>
    </row>
    <row r="39" spans="1:26" x14ac:dyDescent="0.25">
      <c r="A39" s="240"/>
      <c r="B39" s="329"/>
      <c r="C39" s="331"/>
      <c r="D39" s="323"/>
      <c r="E39" s="323"/>
      <c r="F39" s="323"/>
      <c r="G39" s="322"/>
      <c r="H39" s="322"/>
      <c r="I39" s="323"/>
      <c r="J39" s="362"/>
      <c r="K39" s="368"/>
      <c r="L39" s="337"/>
      <c r="M39" s="337"/>
      <c r="N39" s="337"/>
      <c r="O39" s="337"/>
      <c r="P39" s="337"/>
      <c r="Q39" s="363"/>
      <c r="R39" s="364"/>
      <c r="S39" s="364"/>
      <c r="T39" s="327"/>
      <c r="U39" s="43"/>
      <c r="V39" s="42">
        <f t="shared" si="2"/>
        <v>0</v>
      </c>
      <c r="W39" s="22"/>
      <c r="X39" s="22"/>
      <c r="Z39" s="22" t="e">
        <f t="shared" si="4"/>
        <v>#DIV/0!</v>
      </c>
    </row>
    <row r="40" spans="1:26" ht="17.25" x14ac:dyDescent="0.3">
      <c r="A40" s="394"/>
      <c r="B40" s="514" t="s">
        <v>243</v>
      </c>
      <c r="C40" s="515"/>
      <c r="D40" s="515"/>
      <c r="E40" s="515"/>
      <c r="F40" s="516"/>
      <c r="G40" s="401"/>
      <c r="H40" s="401"/>
      <c r="I40" s="395"/>
      <c r="J40" s="396"/>
      <c r="K40" s="397" t="s">
        <v>190</v>
      </c>
      <c r="L40" s="398">
        <f>L44+L42</f>
        <v>33005000</v>
      </c>
      <c r="M40" s="398">
        <v>0</v>
      </c>
      <c r="N40" s="398">
        <f t="shared" si="8"/>
        <v>33005000</v>
      </c>
      <c r="O40" s="402"/>
      <c r="P40" s="402"/>
      <c r="Q40" s="398">
        <f>Q42+Q44</f>
        <v>2475000</v>
      </c>
      <c r="R40" s="399">
        <v>11784750</v>
      </c>
      <c r="S40" s="399">
        <f>Q40+R40</f>
        <v>14259750</v>
      </c>
      <c r="T40" s="400">
        <f>S40/N40*100</f>
        <v>43.204817451901228</v>
      </c>
      <c r="U40" s="398">
        <f t="shared" si="9"/>
        <v>18745250</v>
      </c>
      <c r="V40" s="42">
        <f t="shared" si="2"/>
        <v>9372625</v>
      </c>
      <c r="W40" s="22"/>
      <c r="X40" s="22">
        <f t="shared" si="1"/>
        <v>7.4988638085138613</v>
      </c>
      <c r="Z40" s="22">
        <f t="shared" si="4"/>
        <v>7.4988638085138613</v>
      </c>
    </row>
    <row r="41" spans="1:26" x14ac:dyDescent="0.25">
      <c r="A41" s="240"/>
      <c r="B41" s="329"/>
      <c r="C41" s="331"/>
      <c r="D41" s="323"/>
      <c r="E41" s="323"/>
      <c r="F41" s="323"/>
      <c r="G41" s="322"/>
      <c r="H41" s="322"/>
      <c r="I41" s="323"/>
      <c r="J41" s="362"/>
      <c r="K41" s="368"/>
      <c r="L41" s="337"/>
      <c r="M41" s="337"/>
      <c r="N41" s="337"/>
      <c r="O41" s="337"/>
      <c r="P41" s="337"/>
      <c r="Q41" s="363"/>
      <c r="R41" s="364"/>
      <c r="S41" s="364"/>
      <c r="T41" s="327"/>
      <c r="U41" s="43"/>
      <c r="V41" s="42">
        <f t="shared" si="2"/>
        <v>0</v>
      </c>
      <c r="W41" s="22"/>
      <c r="X41" s="22"/>
      <c r="Z41" s="22" t="e">
        <f t="shared" si="4"/>
        <v>#DIV/0!</v>
      </c>
    </row>
    <row r="42" spans="1:26" x14ac:dyDescent="0.25">
      <c r="A42" s="240"/>
      <c r="B42" s="329"/>
      <c r="C42" s="331"/>
      <c r="D42" s="323"/>
      <c r="E42" s="323"/>
      <c r="F42" s="323"/>
      <c r="G42" s="322"/>
      <c r="H42" s="322"/>
      <c r="I42" s="323"/>
      <c r="J42" s="362"/>
      <c r="K42" s="369" t="s">
        <v>191</v>
      </c>
      <c r="L42" s="337">
        <v>15750000</v>
      </c>
      <c r="M42" s="337">
        <v>0</v>
      </c>
      <c r="N42" s="43">
        <f t="shared" si="8"/>
        <v>15750000</v>
      </c>
      <c r="O42" s="337"/>
      <c r="P42" s="337"/>
      <c r="Q42" s="363">
        <v>1800000</v>
      </c>
      <c r="R42" s="364">
        <v>4770000</v>
      </c>
      <c r="S42" s="364">
        <f>Q42+R42</f>
        <v>6570000</v>
      </c>
      <c r="T42" s="327">
        <f>S42/N42*100</f>
        <v>41.714285714285715</v>
      </c>
      <c r="U42" s="43">
        <f t="shared" si="9"/>
        <v>9180000</v>
      </c>
      <c r="V42" s="42"/>
      <c r="W42" s="22"/>
      <c r="X42" s="22">
        <f t="shared" si="1"/>
        <v>11.428571428571429</v>
      </c>
      <c r="Z42" s="22"/>
    </row>
    <row r="43" spans="1:26" x14ac:dyDescent="0.25">
      <c r="A43" s="240"/>
      <c r="B43" s="329"/>
      <c r="C43" s="331"/>
      <c r="D43" s="323"/>
      <c r="E43" s="323"/>
      <c r="F43" s="323"/>
      <c r="G43" s="322"/>
      <c r="H43" s="322"/>
      <c r="I43" s="323"/>
      <c r="J43" s="362"/>
      <c r="K43" s="368"/>
      <c r="L43" s="337"/>
      <c r="M43" s="337"/>
      <c r="N43" s="337"/>
      <c r="O43" s="337"/>
      <c r="P43" s="337"/>
      <c r="Q43" s="363"/>
      <c r="R43" s="364"/>
      <c r="S43" s="364"/>
      <c r="T43" s="327"/>
      <c r="U43" s="43"/>
      <c r="V43" s="42"/>
      <c r="W43" s="22"/>
      <c r="X43" s="22"/>
      <c r="Z43" s="22"/>
    </row>
    <row r="44" spans="1:26" x14ac:dyDescent="0.25">
      <c r="A44" s="240"/>
      <c r="B44" s="329"/>
      <c r="C44" s="331"/>
      <c r="D44" s="323"/>
      <c r="E44" s="323"/>
      <c r="F44" s="323"/>
      <c r="G44" s="322"/>
      <c r="H44" s="322"/>
      <c r="I44" s="323"/>
      <c r="J44" s="362"/>
      <c r="K44" s="369" t="s">
        <v>192</v>
      </c>
      <c r="L44" s="43">
        <v>17255000</v>
      </c>
      <c r="M44" s="43">
        <v>0</v>
      </c>
      <c r="N44" s="43">
        <f t="shared" si="8"/>
        <v>17255000</v>
      </c>
      <c r="O44" s="337"/>
      <c r="P44" s="337"/>
      <c r="Q44" s="363">
        <v>675000</v>
      </c>
      <c r="R44" s="364">
        <v>7014750</v>
      </c>
      <c r="S44" s="364">
        <f>Q44+R44</f>
        <v>7689750</v>
      </c>
      <c r="T44" s="327">
        <f>S44/N44*100</f>
        <v>44.565343378730802</v>
      </c>
      <c r="U44" s="43">
        <f t="shared" si="9"/>
        <v>9565250</v>
      </c>
      <c r="V44" s="42">
        <f t="shared" si="2"/>
        <v>4782625</v>
      </c>
      <c r="W44" s="22"/>
      <c r="X44" s="22">
        <f t="shared" si="1"/>
        <v>3.9119095914227762</v>
      </c>
      <c r="Z44" s="22">
        <f t="shared" si="4"/>
        <v>3.9119095914227762</v>
      </c>
    </row>
    <row r="45" spans="1:26" x14ac:dyDescent="0.25">
      <c r="A45" s="240"/>
      <c r="B45" s="329"/>
      <c r="C45" s="331"/>
      <c r="D45" s="323"/>
      <c r="E45" s="323"/>
      <c r="F45" s="323"/>
      <c r="G45" s="322"/>
      <c r="H45" s="322"/>
      <c r="I45" s="323"/>
      <c r="J45" s="362"/>
      <c r="K45" s="368"/>
      <c r="L45" s="337"/>
      <c r="M45" s="337"/>
      <c r="N45" s="337"/>
      <c r="O45" s="337"/>
      <c r="P45" s="337"/>
      <c r="Q45" s="363"/>
      <c r="R45" s="364"/>
      <c r="S45" s="364"/>
      <c r="T45" s="327"/>
      <c r="U45" s="43"/>
      <c r="V45" s="42">
        <f t="shared" si="2"/>
        <v>0</v>
      </c>
      <c r="W45" s="22"/>
      <c r="X45" s="22"/>
      <c r="Z45" s="22" t="e">
        <f t="shared" si="4"/>
        <v>#DIV/0!</v>
      </c>
    </row>
    <row r="46" spans="1:26" ht="17.25" x14ac:dyDescent="0.3">
      <c r="A46" s="394"/>
      <c r="B46" s="514" t="s">
        <v>244</v>
      </c>
      <c r="C46" s="515"/>
      <c r="D46" s="515"/>
      <c r="E46" s="515"/>
      <c r="F46" s="516"/>
      <c r="G46" s="413"/>
      <c r="H46" s="413"/>
      <c r="I46" s="414"/>
      <c r="J46" s="415"/>
      <c r="K46" s="397" t="s">
        <v>193</v>
      </c>
      <c r="L46" s="398">
        <v>136360000</v>
      </c>
      <c r="M46" s="398">
        <v>0</v>
      </c>
      <c r="N46" s="398">
        <f t="shared" si="8"/>
        <v>136360000</v>
      </c>
      <c r="O46" s="402"/>
      <c r="P46" s="402"/>
      <c r="Q46" s="399">
        <v>10445500</v>
      </c>
      <c r="R46" s="399">
        <v>55910500</v>
      </c>
      <c r="S46" s="399">
        <f>Q46+R46</f>
        <v>66356000</v>
      </c>
      <c r="T46" s="400">
        <f>S46/N46*100</f>
        <v>48.662364329715459</v>
      </c>
      <c r="U46" s="398">
        <f t="shared" si="9"/>
        <v>70004000</v>
      </c>
      <c r="V46" s="42">
        <f t="shared" si="2"/>
        <v>35002000</v>
      </c>
      <c r="W46" s="22">
        <f t="shared" si="10"/>
        <v>7.6602376063361692</v>
      </c>
      <c r="X46" s="22">
        <f t="shared" si="1"/>
        <v>7.6602376063361692</v>
      </c>
      <c r="Z46" s="65">
        <f t="shared" si="4"/>
        <v>7.6602376063361692</v>
      </c>
    </row>
    <row r="47" spans="1:26" x14ac:dyDescent="0.25">
      <c r="A47" s="240"/>
      <c r="B47" s="329"/>
      <c r="C47" s="331"/>
      <c r="D47" s="323"/>
      <c r="E47" s="323"/>
      <c r="F47" s="323"/>
      <c r="G47" s="322"/>
      <c r="H47" s="322"/>
      <c r="I47" s="323"/>
      <c r="J47" s="362"/>
      <c r="K47" s="368"/>
      <c r="L47" s="337"/>
      <c r="M47" s="337"/>
      <c r="N47" s="337"/>
      <c r="O47" s="337"/>
      <c r="P47" s="337"/>
      <c r="Q47" s="363"/>
      <c r="R47" s="364"/>
      <c r="S47" s="364"/>
      <c r="T47" s="327"/>
      <c r="U47" s="43"/>
      <c r="V47" s="42">
        <f t="shared" si="2"/>
        <v>0</v>
      </c>
      <c r="W47" s="22"/>
      <c r="X47" s="22"/>
      <c r="Z47" s="22" t="e">
        <f t="shared" si="4"/>
        <v>#DIV/0!</v>
      </c>
    </row>
    <row r="48" spans="1:26" ht="17.25" x14ac:dyDescent="0.3">
      <c r="A48" s="394"/>
      <c r="B48" s="514" t="s">
        <v>245</v>
      </c>
      <c r="C48" s="515"/>
      <c r="D48" s="515"/>
      <c r="E48" s="515"/>
      <c r="F48" s="516"/>
      <c r="G48" s="413"/>
      <c r="H48" s="413"/>
      <c r="I48" s="414"/>
      <c r="J48" s="415"/>
      <c r="K48" s="397" t="s">
        <v>194</v>
      </c>
      <c r="L48" s="398">
        <v>1980000</v>
      </c>
      <c r="M48" s="398">
        <v>0</v>
      </c>
      <c r="N48" s="398">
        <f t="shared" si="8"/>
        <v>1980000</v>
      </c>
      <c r="O48" s="402"/>
      <c r="P48" s="402"/>
      <c r="Q48" s="399">
        <v>0</v>
      </c>
      <c r="R48" s="399">
        <v>1980000</v>
      </c>
      <c r="S48" s="399">
        <f>Q48+R48</f>
        <v>1980000</v>
      </c>
      <c r="T48" s="400">
        <f>S48/N48*100</f>
        <v>100</v>
      </c>
      <c r="U48" s="398">
        <f t="shared" si="9"/>
        <v>0</v>
      </c>
      <c r="V48" s="42">
        <f t="shared" si="2"/>
        <v>0</v>
      </c>
      <c r="W48" s="22">
        <f t="shared" si="10"/>
        <v>0</v>
      </c>
      <c r="X48" s="22">
        <f t="shared" si="1"/>
        <v>0</v>
      </c>
      <c r="Z48" s="65">
        <f t="shared" si="4"/>
        <v>0</v>
      </c>
    </row>
    <row r="49" spans="1:26" x14ac:dyDescent="0.25">
      <c r="A49" s="240"/>
      <c r="B49" s="329"/>
      <c r="C49" s="331"/>
      <c r="D49" s="323"/>
      <c r="E49" s="323"/>
      <c r="F49" s="323"/>
      <c r="G49" s="322"/>
      <c r="H49" s="322"/>
      <c r="I49" s="323"/>
      <c r="J49" s="362"/>
      <c r="K49" s="368"/>
      <c r="L49" s="337"/>
      <c r="M49" s="337"/>
      <c r="N49" s="337"/>
      <c r="O49" s="337"/>
      <c r="P49" s="337"/>
      <c r="Q49" s="363"/>
      <c r="R49" s="364"/>
      <c r="S49" s="364"/>
      <c r="T49" s="327"/>
      <c r="U49" s="43"/>
      <c r="V49" s="42">
        <f t="shared" si="2"/>
        <v>0</v>
      </c>
      <c r="W49" s="22"/>
      <c r="X49" s="22"/>
      <c r="Z49" s="22" t="e">
        <f t="shared" si="4"/>
        <v>#DIV/0!</v>
      </c>
    </row>
    <row r="50" spans="1:26" ht="17.25" x14ac:dyDescent="0.3">
      <c r="A50" s="394"/>
      <c r="B50" s="514" t="s">
        <v>246</v>
      </c>
      <c r="C50" s="515"/>
      <c r="D50" s="515"/>
      <c r="E50" s="515"/>
      <c r="F50" s="516"/>
      <c r="G50" s="413"/>
      <c r="H50" s="413"/>
      <c r="I50" s="414"/>
      <c r="J50" s="415"/>
      <c r="K50" s="397" t="s">
        <v>195</v>
      </c>
      <c r="L50" s="398">
        <v>1700000</v>
      </c>
      <c r="M50" s="398">
        <v>0</v>
      </c>
      <c r="N50" s="398">
        <f t="shared" si="8"/>
        <v>1700000</v>
      </c>
      <c r="O50" s="402"/>
      <c r="P50" s="402"/>
      <c r="Q50" s="399">
        <v>500000</v>
      </c>
      <c r="R50" s="399">
        <v>500000</v>
      </c>
      <c r="S50" s="399">
        <f>Q50+R50</f>
        <v>1000000</v>
      </c>
      <c r="T50" s="400">
        <f>S50/N50*100</f>
        <v>58.82352941176471</v>
      </c>
      <c r="U50" s="398">
        <f t="shared" si="9"/>
        <v>700000</v>
      </c>
      <c r="V50" s="42">
        <f t="shared" si="2"/>
        <v>350000</v>
      </c>
      <c r="W50" s="22">
        <f t="shared" si="10"/>
        <v>29.411764705882355</v>
      </c>
      <c r="X50" s="22">
        <f t="shared" si="1"/>
        <v>29.411764705882355</v>
      </c>
      <c r="Z50" s="65">
        <f t="shared" si="4"/>
        <v>29.411764705882355</v>
      </c>
    </row>
    <row r="51" spans="1:26" x14ac:dyDescent="0.25">
      <c r="A51" s="240"/>
      <c r="B51" s="329"/>
      <c r="C51" s="331"/>
      <c r="D51" s="323"/>
      <c r="E51" s="323"/>
      <c r="F51" s="323"/>
      <c r="G51" s="322"/>
      <c r="H51" s="322"/>
      <c r="I51" s="323"/>
      <c r="J51" s="362"/>
      <c r="K51" s="368"/>
      <c r="L51" s="337"/>
      <c r="M51" s="337"/>
      <c r="N51" s="337"/>
      <c r="O51" s="337"/>
      <c r="P51" s="337"/>
      <c r="Q51" s="363"/>
      <c r="R51" s="364"/>
      <c r="S51" s="364"/>
      <c r="T51" s="327"/>
      <c r="U51" s="43"/>
      <c r="V51" s="42">
        <f t="shared" si="2"/>
        <v>0</v>
      </c>
      <c r="W51" s="22"/>
      <c r="X51" s="22"/>
      <c r="Z51" s="22" t="e">
        <f t="shared" si="4"/>
        <v>#DIV/0!</v>
      </c>
    </row>
    <row r="52" spans="1:26" ht="17.25" x14ac:dyDescent="0.3">
      <c r="A52" s="394"/>
      <c r="B52" s="514" t="s">
        <v>246</v>
      </c>
      <c r="C52" s="515"/>
      <c r="D52" s="515"/>
      <c r="E52" s="515"/>
      <c r="F52" s="516"/>
      <c r="G52" s="416"/>
      <c r="H52" s="416"/>
      <c r="I52" s="416"/>
      <c r="J52" s="417"/>
      <c r="K52" s="397" t="s">
        <v>196</v>
      </c>
      <c r="L52" s="418">
        <f>L54+L56+L58</f>
        <v>231900000</v>
      </c>
      <c r="M52" s="418">
        <f>M54+M56+M58</f>
        <v>0</v>
      </c>
      <c r="N52" s="398">
        <f t="shared" si="8"/>
        <v>231900000</v>
      </c>
      <c r="O52" s="402"/>
      <c r="P52" s="402"/>
      <c r="Q52" s="399">
        <f>Q54+Q56+Q58</f>
        <v>16932195</v>
      </c>
      <c r="R52" s="399">
        <v>71211011</v>
      </c>
      <c r="S52" s="399">
        <f>Q52+R52</f>
        <v>88143206</v>
      </c>
      <c r="T52" s="400">
        <f>S52/N52*100</f>
        <v>38.009144458818454</v>
      </c>
      <c r="U52" s="398">
        <f t="shared" si="9"/>
        <v>143756794</v>
      </c>
      <c r="V52" s="42">
        <f t="shared" si="2"/>
        <v>71878397</v>
      </c>
      <c r="W52" s="22">
        <f t="shared" si="10"/>
        <v>7.3015071151358342</v>
      </c>
      <c r="X52" s="22">
        <f t="shared" si="1"/>
        <v>7.3015071151358342</v>
      </c>
      <c r="Z52" s="22">
        <f t="shared" si="4"/>
        <v>7.3015071151358342</v>
      </c>
    </row>
    <row r="53" spans="1:26" x14ac:dyDescent="0.25">
      <c r="A53" s="240"/>
      <c r="B53" s="329"/>
      <c r="C53" s="331"/>
      <c r="D53" s="323"/>
      <c r="E53" s="323"/>
      <c r="F53" s="323"/>
      <c r="G53" s="322"/>
      <c r="H53" s="322"/>
      <c r="I53" s="323"/>
      <c r="J53" s="362"/>
      <c r="K53" s="368"/>
      <c r="L53" s="337"/>
      <c r="M53" s="337"/>
      <c r="N53" s="337"/>
      <c r="O53" s="337"/>
      <c r="P53" s="337"/>
      <c r="Q53" s="363"/>
      <c r="R53" s="364"/>
      <c r="S53" s="364"/>
      <c r="T53" s="327"/>
      <c r="U53" s="43"/>
      <c r="V53" s="42">
        <f t="shared" si="2"/>
        <v>0</v>
      </c>
      <c r="W53" s="22"/>
      <c r="X53" s="22"/>
      <c r="Z53" s="22" t="e">
        <f t="shared" si="4"/>
        <v>#DIV/0!</v>
      </c>
    </row>
    <row r="54" spans="1:26" x14ac:dyDescent="0.25">
      <c r="A54" s="240"/>
      <c r="B54" s="329"/>
      <c r="C54" s="331"/>
      <c r="D54" s="323"/>
      <c r="E54" s="323"/>
      <c r="F54" s="323"/>
      <c r="G54" s="322"/>
      <c r="H54" s="322"/>
      <c r="I54" s="323"/>
      <c r="J54" s="362"/>
      <c r="K54" s="368" t="s">
        <v>197</v>
      </c>
      <c r="L54" s="337">
        <v>27000000</v>
      </c>
      <c r="M54" s="337">
        <v>0</v>
      </c>
      <c r="N54" s="43">
        <f t="shared" si="8"/>
        <v>27000000</v>
      </c>
      <c r="O54" s="337"/>
      <c r="P54" s="337"/>
      <c r="Q54" s="363">
        <v>1849317</v>
      </c>
      <c r="R54" s="364">
        <v>6829517</v>
      </c>
      <c r="S54" s="364">
        <f>Q54+R54</f>
        <v>8678834</v>
      </c>
      <c r="T54" s="327">
        <f>S54/N54*100</f>
        <v>32.143829629629629</v>
      </c>
      <c r="U54" s="43">
        <f t="shared" si="9"/>
        <v>18321166</v>
      </c>
      <c r="V54" s="42"/>
      <c r="W54" s="22"/>
      <c r="X54" s="22">
        <f t="shared" si="1"/>
        <v>6.8493222222222219</v>
      </c>
      <c r="Z54" s="22"/>
    </row>
    <row r="55" spans="1:26" x14ac:dyDescent="0.25">
      <c r="A55" s="240"/>
      <c r="B55" s="329"/>
      <c r="C55" s="331"/>
      <c r="D55" s="323"/>
      <c r="E55" s="323"/>
      <c r="F55" s="323"/>
      <c r="G55" s="322"/>
      <c r="H55" s="322"/>
      <c r="I55" s="323"/>
      <c r="J55" s="362"/>
      <c r="K55" s="368"/>
      <c r="L55" s="337"/>
      <c r="M55" s="337"/>
      <c r="N55" s="337"/>
      <c r="O55" s="337"/>
      <c r="P55" s="337"/>
      <c r="Q55" s="363"/>
      <c r="R55" s="364"/>
      <c r="S55" s="364"/>
      <c r="T55" s="327"/>
      <c r="U55" s="43"/>
      <c r="V55" s="42"/>
      <c r="W55" s="22"/>
      <c r="X55" s="22"/>
      <c r="Z55" s="22"/>
    </row>
    <row r="56" spans="1:26" x14ac:dyDescent="0.25">
      <c r="A56" s="240"/>
      <c r="B56" s="329"/>
      <c r="C56" s="331"/>
      <c r="D56" s="323"/>
      <c r="E56" s="323"/>
      <c r="F56" s="323"/>
      <c r="G56" s="322"/>
      <c r="H56" s="322"/>
      <c r="I56" s="323"/>
      <c r="J56" s="362"/>
      <c r="K56" s="368" t="s">
        <v>198</v>
      </c>
      <c r="L56" s="337">
        <v>900000</v>
      </c>
      <c r="M56" s="337">
        <v>0</v>
      </c>
      <c r="N56" s="43">
        <f t="shared" si="8"/>
        <v>900000</v>
      </c>
      <c r="O56" s="337"/>
      <c r="P56" s="337"/>
      <c r="Q56" s="363">
        <v>45950</v>
      </c>
      <c r="R56" s="364">
        <v>183800</v>
      </c>
      <c r="S56" s="364">
        <f>Q56+R56</f>
        <v>229750</v>
      </c>
      <c r="T56" s="327">
        <f>S56/N56*100</f>
        <v>25.527777777777779</v>
      </c>
      <c r="U56" s="43">
        <f t="shared" si="9"/>
        <v>670250</v>
      </c>
      <c r="V56" s="42"/>
      <c r="W56" s="22"/>
      <c r="X56" s="22">
        <f t="shared" si="1"/>
        <v>5.1055555555555552</v>
      </c>
      <c r="Z56" s="22"/>
    </row>
    <row r="57" spans="1:26" x14ac:dyDescent="0.25">
      <c r="A57" s="240"/>
      <c r="B57" s="329"/>
      <c r="C57" s="331"/>
      <c r="D57" s="323"/>
      <c r="E57" s="323"/>
      <c r="F57" s="323"/>
      <c r="G57" s="322"/>
      <c r="H57" s="322"/>
      <c r="I57" s="323"/>
      <c r="J57" s="362"/>
      <c r="K57" s="368"/>
      <c r="L57" s="337"/>
      <c r="M57" s="337"/>
      <c r="N57" s="337"/>
      <c r="O57" s="337"/>
      <c r="P57" s="337"/>
      <c r="Q57" s="363"/>
      <c r="R57" s="364"/>
      <c r="S57" s="364"/>
      <c r="T57" s="327"/>
      <c r="U57" s="43"/>
      <c r="V57" s="42"/>
      <c r="W57" s="22"/>
      <c r="X57" s="22"/>
      <c r="Z57" s="22"/>
    </row>
    <row r="58" spans="1:26" x14ac:dyDescent="0.25">
      <c r="A58" s="240"/>
      <c r="B58" s="329"/>
      <c r="C58" s="331"/>
      <c r="D58" s="323"/>
      <c r="E58" s="323"/>
      <c r="F58" s="323"/>
      <c r="G58" s="322"/>
      <c r="H58" s="322"/>
      <c r="I58" s="323"/>
      <c r="J58" s="362"/>
      <c r="K58" s="369" t="s">
        <v>199</v>
      </c>
      <c r="L58" s="43">
        <v>204000000</v>
      </c>
      <c r="M58" s="43">
        <v>0</v>
      </c>
      <c r="N58" s="43">
        <v>204000000</v>
      </c>
      <c r="O58" s="337"/>
      <c r="P58" s="337"/>
      <c r="Q58" s="226">
        <v>15036928</v>
      </c>
      <c r="R58" s="364">
        <v>64197694</v>
      </c>
      <c r="S58" s="364">
        <f>Q58+R58</f>
        <v>79234622</v>
      </c>
      <c r="T58" s="327">
        <f>S58/N58*100</f>
        <v>38.840500980392157</v>
      </c>
      <c r="U58" s="43">
        <f>N58-S58</f>
        <v>124765378</v>
      </c>
      <c r="V58" s="42">
        <f t="shared" si="2"/>
        <v>62382689</v>
      </c>
      <c r="W58" s="22">
        <f t="shared" si="10"/>
        <v>7.3710431372549028</v>
      </c>
      <c r="X58" s="22">
        <f t="shared" si="1"/>
        <v>7.3710431372549028</v>
      </c>
      <c r="Z58" s="22">
        <f t="shared" si="4"/>
        <v>7.3710431372549028</v>
      </c>
    </row>
    <row r="59" spans="1:26" x14ac:dyDescent="0.25">
      <c r="A59" s="240"/>
      <c r="B59" s="329"/>
      <c r="C59" s="331"/>
      <c r="D59" s="323"/>
      <c r="E59" s="323"/>
      <c r="F59" s="323"/>
      <c r="G59" s="322"/>
      <c r="H59" s="322"/>
      <c r="I59" s="323"/>
      <c r="J59" s="362"/>
      <c r="K59" s="368"/>
      <c r="L59" s="337"/>
      <c r="M59" s="337"/>
      <c r="N59" s="337"/>
      <c r="O59" s="337"/>
      <c r="P59" s="337"/>
      <c r="Q59" s="363"/>
      <c r="R59" s="364"/>
      <c r="S59" s="364"/>
      <c r="T59" s="327"/>
      <c r="U59" s="43"/>
      <c r="V59" s="42">
        <f t="shared" si="2"/>
        <v>0</v>
      </c>
      <c r="W59" s="22"/>
      <c r="X59" s="22"/>
      <c r="Z59" s="22" t="e">
        <f t="shared" si="4"/>
        <v>#DIV/0!</v>
      </c>
    </row>
    <row r="60" spans="1:26" ht="17.25" x14ac:dyDescent="0.3">
      <c r="A60" s="394"/>
      <c r="B60" s="514" t="s">
        <v>247</v>
      </c>
      <c r="C60" s="515"/>
      <c r="D60" s="515"/>
      <c r="E60" s="515"/>
      <c r="F60" s="516"/>
      <c r="G60" s="416"/>
      <c r="H60" s="416"/>
      <c r="I60" s="416"/>
      <c r="J60" s="417"/>
      <c r="K60" s="397" t="s">
        <v>200</v>
      </c>
      <c r="L60" s="418">
        <f>L62+L64+L66+L68+L70</f>
        <v>727622000</v>
      </c>
      <c r="M60" s="418">
        <f>M62+M64+M66+M68+M70</f>
        <v>0</v>
      </c>
      <c r="N60" s="398">
        <f t="shared" si="8"/>
        <v>727622000</v>
      </c>
      <c r="O60" s="402"/>
      <c r="P60" s="402"/>
      <c r="Q60" s="419">
        <f>Q62+Q64+Q66+Q68+Q70</f>
        <v>52131211</v>
      </c>
      <c r="R60" s="399">
        <v>270130630</v>
      </c>
      <c r="S60" s="399">
        <f>Q60+R60</f>
        <v>322261841</v>
      </c>
      <c r="T60" s="400">
        <f>S60/N60*100</f>
        <v>44.289732993230004</v>
      </c>
      <c r="U60" s="398">
        <f t="shared" si="9"/>
        <v>405360159</v>
      </c>
      <c r="V60" s="42">
        <f t="shared" si="2"/>
        <v>202680079.5</v>
      </c>
      <c r="W60" s="22">
        <f t="shared" si="10"/>
        <v>7.1646007130075784</v>
      </c>
      <c r="X60" s="22">
        <f t="shared" si="1"/>
        <v>7.1646007130075784</v>
      </c>
      <c r="Z60" s="65">
        <f t="shared" si="4"/>
        <v>7.1646007130075784</v>
      </c>
    </row>
    <row r="61" spans="1:26" x14ac:dyDescent="0.25">
      <c r="A61" s="240"/>
      <c r="B61" s="329"/>
      <c r="C61" s="331"/>
      <c r="D61" s="323"/>
      <c r="E61" s="323"/>
      <c r="F61" s="323"/>
      <c r="G61" s="322"/>
      <c r="H61" s="322"/>
      <c r="I61" s="323"/>
      <c r="J61" s="362"/>
      <c r="K61" s="368"/>
      <c r="L61" s="337"/>
      <c r="M61" s="43"/>
      <c r="N61" s="337"/>
      <c r="O61" s="337"/>
      <c r="P61" s="337"/>
      <c r="Q61" s="363"/>
      <c r="R61" s="364"/>
      <c r="S61" s="364"/>
      <c r="T61" s="327"/>
      <c r="U61" s="43"/>
      <c r="V61" s="42">
        <f t="shared" si="2"/>
        <v>0</v>
      </c>
      <c r="W61" s="22"/>
      <c r="X61" s="22"/>
      <c r="Z61" s="22" t="e">
        <f t="shared" si="4"/>
        <v>#DIV/0!</v>
      </c>
    </row>
    <row r="62" spans="1:26" x14ac:dyDescent="0.25">
      <c r="A62" s="240"/>
      <c r="B62" s="329"/>
      <c r="C62" s="331"/>
      <c r="D62" s="323"/>
      <c r="E62" s="323"/>
      <c r="F62" s="323"/>
      <c r="G62" s="322"/>
      <c r="H62" s="322"/>
      <c r="I62" s="323"/>
      <c r="J62" s="362"/>
      <c r="K62" s="369" t="s">
        <v>201</v>
      </c>
      <c r="L62" s="337">
        <v>3300000</v>
      </c>
      <c r="M62" s="43">
        <v>0</v>
      </c>
      <c r="N62" s="43">
        <f t="shared" si="8"/>
        <v>3300000</v>
      </c>
      <c r="O62" s="337"/>
      <c r="P62" s="337"/>
      <c r="Q62" s="363">
        <v>0</v>
      </c>
      <c r="R62" s="364">
        <v>825000</v>
      </c>
      <c r="S62" s="364">
        <f>Q62+R62</f>
        <v>825000</v>
      </c>
      <c r="T62" s="327">
        <f>S62/N62*100</f>
        <v>25</v>
      </c>
      <c r="U62" s="43">
        <f t="shared" si="9"/>
        <v>2475000</v>
      </c>
      <c r="V62" s="42"/>
      <c r="W62" s="22"/>
      <c r="X62" s="22">
        <f t="shared" si="1"/>
        <v>0</v>
      </c>
      <c r="Z62" s="22"/>
    </row>
    <row r="63" spans="1:26" x14ac:dyDescent="0.25">
      <c r="A63" s="240"/>
      <c r="B63" s="329"/>
      <c r="C63" s="331"/>
      <c r="D63" s="323"/>
      <c r="E63" s="323"/>
      <c r="F63" s="323"/>
      <c r="G63" s="322"/>
      <c r="H63" s="322"/>
      <c r="I63" s="323"/>
      <c r="J63" s="362"/>
      <c r="K63" s="369"/>
      <c r="L63" s="337"/>
      <c r="M63" s="43"/>
      <c r="N63" s="337"/>
      <c r="O63" s="337"/>
      <c r="P63" s="337"/>
      <c r="Q63" s="363"/>
      <c r="R63" s="364"/>
      <c r="S63" s="364"/>
      <c r="T63" s="327"/>
      <c r="U63" s="43"/>
      <c r="V63" s="42"/>
      <c r="W63" s="22"/>
      <c r="X63" s="22"/>
      <c r="Z63" s="22"/>
    </row>
    <row r="64" spans="1:26" x14ac:dyDescent="0.25">
      <c r="A64" s="240"/>
      <c r="B64" s="329"/>
      <c r="C64" s="331"/>
      <c r="D64" s="323"/>
      <c r="E64" s="323"/>
      <c r="F64" s="323"/>
      <c r="G64" s="322"/>
      <c r="H64" s="322"/>
      <c r="I64" s="323"/>
      <c r="J64" s="362"/>
      <c r="K64" s="369" t="s">
        <v>202</v>
      </c>
      <c r="L64" s="337">
        <v>314472000</v>
      </c>
      <c r="M64" s="43">
        <v>0</v>
      </c>
      <c r="N64" s="43">
        <f t="shared" si="8"/>
        <v>314472000</v>
      </c>
      <c r="O64" s="337"/>
      <c r="P64" s="337"/>
      <c r="Q64" s="76">
        <v>24018733</v>
      </c>
      <c r="R64" s="364">
        <v>121327607</v>
      </c>
      <c r="S64" s="364">
        <f>Q64+R64</f>
        <v>145346340</v>
      </c>
      <c r="T64" s="327">
        <f>S64/N64*100</f>
        <v>46.219167366252002</v>
      </c>
      <c r="U64" s="43">
        <f t="shared" si="9"/>
        <v>169125660</v>
      </c>
      <c r="V64" s="42"/>
      <c r="W64" s="22"/>
      <c r="X64" s="22">
        <f t="shared" si="1"/>
        <v>7.6377970057747584</v>
      </c>
      <c r="Z64" s="22"/>
    </row>
    <row r="65" spans="1:27" x14ac:dyDescent="0.25">
      <c r="A65" s="240"/>
      <c r="B65" s="329"/>
      <c r="C65" s="331"/>
      <c r="D65" s="323"/>
      <c r="E65" s="323"/>
      <c r="F65" s="323"/>
      <c r="G65" s="322"/>
      <c r="H65" s="322"/>
      <c r="I65" s="323"/>
      <c r="J65" s="362"/>
      <c r="K65" s="369"/>
      <c r="L65" s="337"/>
      <c r="M65" s="43"/>
      <c r="N65" s="337"/>
      <c r="O65" s="337"/>
      <c r="P65" s="337"/>
      <c r="Q65" s="363"/>
      <c r="R65" s="364"/>
      <c r="S65" s="364"/>
      <c r="T65" s="327"/>
      <c r="U65" s="43"/>
      <c r="V65" s="42"/>
      <c r="W65" s="22"/>
      <c r="X65" s="22"/>
      <c r="Z65" s="22"/>
    </row>
    <row r="66" spans="1:27" x14ac:dyDescent="0.25">
      <c r="A66" s="240"/>
      <c r="B66" s="329"/>
      <c r="C66" s="331"/>
      <c r="D66" s="323"/>
      <c r="E66" s="323"/>
      <c r="F66" s="323"/>
      <c r="G66" s="322"/>
      <c r="H66" s="322"/>
      <c r="I66" s="323"/>
      <c r="J66" s="362"/>
      <c r="K66" s="369" t="s">
        <v>203</v>
      </c>
      <c r="L66" s="337">
        <v>357430000</v>
      </c>
      <c r="M66" s="43">
        <v>0</v>
      </c>
      <c r="N66" s="43">
        <f t="shared" si="8"/>
        <v>357430000</v>
      </c>
      <c r="O66" s="337"/>
      <c r="P66" s="337"/>
      <c r="Q66" s="76">
        <v>26309478</v>
      </c>
      <c r="R66" s="364">
        <v>133063524</v>
      </c>
      <c r="S66" s="364">
        <f>Q66+R66</f>
        <v>159373002</v>
      </c>
      <c r="T66" s="327">
        <f>S66/N66*100</f>
        <v>44.588591332568619</v>
      </c>
      <c r="U66" s="43">
        <f t="shared" si="9"/>
        <v>198056998</v>
      </c>
      <c r="V66" s="42"/>
      <c r="W66" s="22"/>
      <c r="X66" s="22">
        <f t="shared" si="1"/>
        <v>7.3607358084100376</v>
      </c>
      <c r="Z66" s="22"/>
    </row>
    <row r="67" spans="1:27" x14ac:dyDescent="0.25">
      <c r="A67" s="240"/>
      <c r="B67" s="329"/>
      <c r="C67" s="331"/>
      <c r="D67" s="323"/>
      <c r="E67" s="323"/>
      <c r="F67" s="323"/>
      <c r="G67" s="322"/>
      <c r="H67" s="322"/>
      <c r="I67" s="323"/>
      <c r="J67" s="362"/>
      <c r="K67" s="369"/>
      <c r="L67" s="337"/>
      <c r="M67" s="43"/>
      <c r="N67" s="337"/>
      <c r="O67" s="337"/>
      <c r="P67" s="337"/>
      <c r="Q67" s="363"/>
      <c r="R67" s="364"/>
      <c r="S67" s="364"/>
      <c r="T67" s="327"/>
      <c r="U67" s="43"/>
      <c r="V67" s="42"/>
      <c r="W67" s="22"/>
      <c r="X67" s="22"/>
      <c r="Z67" s="22"/>
    </row>
    <row r="68" spans="1:27" x14ac:dyDescent="0.25">
      <c r="A68" s="240"/>
      <c r="B68" s="329"/>
      <c r="C68" s="331"/>
      <c r="D68" s="323"/>
      <c r="E68" s="323"/>
      <c r="F68" s="323"/>
      <c r="G68" s="322"/>
      <c r="H68" s="322"/>
      <c r="I68" s="323"/>
      <c r="J68" s="362"/>
      <c r="K68" s="369" t="s">
        <v>204</v>
      </c>
      <c r="L68" s="337">
        <v>10800000</v>
      </c>
      <c r="M68" s="43">
        <v>0</v>
      </c>
      <c r="N68" s="43">
        <f t="shared" si="8"/>
        <v>10800000</v>
      </c>
      <c r="O68" s="337"/>
      <c r="P68" s="337"/>
      <c r="Q68" s="363">
        <v>900000</v>
      </c>
      <c r="R68" s="364">
        <v>3600000</v>
      </c>
      <c r="S68" s="364">
        <f>Q68+R68</f>
        <v>4500000</v>
      </c>
      <c r="T68" s="327">
        <f>S68/N68*100</f>
        <v>41.666666666666671</v>
      </c>
      <c r="U68" s="43">
        <f t="shared" si="9"/>
        <v>6300000</v>
      </c>
      <c r="V68" s="42"/>
      <c r="W68" s="22"/>
      <c r="X68" s="22">
        <f t="shared" si="1"/>
        <v>8.3333333333333321</v>
      </c>
      <c r="Z68" s="22"/>
    </row>
    <row r="69" spans="1:27" x14ac:dyDescent="0.25">
      <c r="A69" s="240"/>
      <c r="B69" s="329"/>
      <c r="C69" s="331"/>
      <c r="D69" s="323"/>
      <c r="E69" s="323"/>
      <c r="F69" s="323"/>
      <c r="G69" s="322"/>
      <c r="H69" s="322"/>
      <c r="I69" s="323"/>
      <c r="J69" s="362"/>
      <c r="K69" s="368"/>
      <c r="L69" s="337"/>
      <c r="M69" s="43"/>
      <c r="N69" s="337"/>
      <c r="O69" s="337"/>
      <c r="P69" s="337"/>
      <c r="Q69" s="363"/>
      <c r="R69" s="364"/>
      <c r="S69" s="364"/>
      <c r="T69" s="327"/>
      <c r="U69" s="43"/>
      <c r="V69" s="42"/>
      <c r="W69" s="22"/>
      <c r="X69" s="22"/>
      <c r="Z69" s="22"/>
    </row>
    <row r="70" spans="1:27" x14ac:dyDescent="0.25">
      <c r="A70" s="240"/>
      <c r="B70" s="329"/>
      <c r="C70" s="331"/>
      <c r="D70" s="323"/>
      <c r="E70" s="323"/>
      <c r="F70" s="323"/>
      <c r="G70" s="322"/>
      <c r="H70" s="322"/>
      <c r="I70" s="323"/>
      <c r="J70" s="362"/>
      <c r="K70" s="369" t="s">
        <v>205</v>
      </c>
      <c r="L70" s="43">
        <v>41620000</v>
      </c>
      <c r="M70" s="43">
        <v>0</v>
      </c>
      <c r="N70" s="43">
        <f t="shared" si="8"/>
        <v>41620000</v>
      </c>
      <c r="O70" s="337"/>
      <c r="P70" s="337"/>
      <c r="Q70" s="226">
        <v>903000</v>
      </c>
      <c r="R70" s="364">
        <v>11314499</v>
      </c>
      <c r="S70" s="364">
        <f>Q70+R70</f>
        <v>12217499</v>
      </c>
      <c r="T70" s="327">
        <f>S70/N70*100</f>
        <v>29.354875060067275</v>
      </c>
      <c r="U70" s="43">
        <f t="shared" si="9"/>
        <v>29402501</v>
      </c>
      <c r="V70" s="42">
        <f t="shared" si="2"/>
        <v>14701250.5</v>
      </c>
      <c r="W70" s="22">
        <f t="shared" si="10"/>
        <v>2.1696299855838537</v>
      </c>
      <c r="X70" s="22">
        <f t="shared" si="1"/>
        <v>2.1696299855838537</v>
      </c>
      <c r="Z70" s="22">
        <f t="shared" si="4"/>
        <v>2.1696299855838537</v>
      </c>
    </row>
    <row r="71" spans="1:27" x14ac:dyDescent="0.25">
      <c r="A71" s="240"/>
      <c r="B71" s="329"/>
      <c r="C71" s="331"/>
      <c r="D71" s="323"/>
      <c r="E71" s="323"/>
      <c r="F71" s="323"/>
      <c r="G71" s="322"/>
      <c r="H71" s="322"/>
      <c r="I71" s="323"/>
      <c r="J71" s="362"/>
      <c r="K71" s="368"/>
      <c r="L71" s="337"/>
      <c r="M71" s="337"/>
      <c r="N71" s="337"/>
      <c r="O71" s="337"/>
      <c r="P71" s="337"/>
      <c r="Q71" s="363"/>
      <c r="R71" s="364"/>
      <c r="S71" s="364"/>
      <c r="T71" s="327"/>
      <c r="U71" s="43"/>
      <c r="V71" s="42">
        <f t="shared" si="2"/>
        <v>0</v>
      </c>
      <c r="W71" s="22"/>
      <c r="X71" s="22"/>
      <c r="Z71" s="22" t="e">
        <f t="shared" si="4"/>
        <v>#DIV/0!</v>
      </c>
    </row>
    <row r="72" spans="1:27" ht="17.25" x14ac:dyDescent="0.3">
      <c r="A72" s="394"/>
      <c r="B72" s="514" t="s">
        <v>248</v>
      </c>
      <c r="C72" s="515"/>
      <c r="D72" s="515"/>
      <c r="E72" s="515"/>
      <c r="F72" s="516"/>
      <c r="G72" s="413"/>
      <c r="H72" s="413"/>
      <c r="I72" s="414"/>
      <c r="J72" s="415"/>
      <c r="K72" s="420" t="s">
        <v>206</v>
      </c>
      <c r="L72" s="398">
        <f>L74+L76+L78+L80+L82</f>
        <v>108870000</v>
      </c>
      <c r="M72" s="398">
        <f>M80+M82</f>
        <v>0</v>
      </c>
      <c r="N72" s="398">
        <f t="shared" si="8"/>
        <v>108870000</v>
      </c>
      <c r="O72" s="402"/>
      <c r="P72" s="402"/>
      <c r="Q72" s="399">
        <f>Q73+Q76+Q78+Q80+Q82</f>
        <v>5840000</v>
      </c>
      <c r="R72" s="399">
        <v>31232630</v>
      </c>
      <c r="S72" s="399">
        <f>Q72+R72</f>
        <v>37072630</v>
      </c>
      <c r="T72" s="400">
        <f>S72/N72*100</f>
        <v>34.052199871406266</v>
      </c>
      <c r="U72" s="398">
        <f t="shared" si="9"/>
        <v>71797370</v>
      </c>
      <c r="V72" s="42">
        <f t="shared" si="2"/>
        <v>35898685</v>
      </c>
      <c r="W72" s="22">
        <f t="shared" si="10"/>
        <v>5.3641958298888586</v>
      </c>
      <c r="X72" s="22">
        <f t="shared" si="1"/>
        <v>5.3641958298888586</v>
      </c>
      <c r="Z72" s="65">
        <f t="shared" si="4"/>
        <v>5.3641958298888586</v>
      </c>
      <c r="AA72" s="1" t="s">
        <v>114</v>
      </c>
    </row>
    <row r="73" spans="1:27" x14ac:dyDescent="0.25">
      <c r="A73" s="240"/>
      <c r="B73" s="329"/>
      <c r="C73" s="331"/>
      <c r="D73" s="323"/>
      <c r="E73" s="323"/>
      <c r="F73" s="323"/>
      <c r="G73" s="322"/>
      <c r="H73" s="322"/>
      <c r="I73" s="323"/>
      <c r="J73" s="362"/>
      <c r="K73" s="368" t="s">
        <v>274</v>
      </c>
      <c r="L73" s="337">
        <v>60090000</v>
      </c>
      <c r="M73" s="337"/>
      <c r="N73" s="337">
        <v>60090000</v>
      </c>
      <c r="O73" s="337"/>
      <c r="P73" s="337"/>
      <c r="Q73" s="363">
        <v>5000000</v>
      </c>
      <c r="R73" s="364">
        <v>20000000</v>
      </c>
      <c r="S73" s="364">
        <f>Q73+R73</f>
        <v>25000000</v>
      </c>
      <c r="T73" s="327"/>
      <c r="U73" s="43">
        <f t="shared" si="9"/>
        <v>35090000</v>
      </c>
      <c r="V73" s="42">
        <f t="shared" si="2"/>
        <v>17545000</v>
      </c>
      <c r="W73" s="22"/>
      <c r="X73" s="22"/>
      <c r="Z73" s="22">
        <f t="shared" si="4"/>
        <v>8.320852055250457</v>
      </c>
    </row>
    <row r="74" spans="1:27" x14ac:dyDescent="0.25">
      <c r="A74" s="240"/>
      <c r="B74" s="329"/>
      <c r="C74" s="331"/>
      <c r="D74" s="323"/>
      <c r="E74" s="323"/>
      <c r="F74" s="323"/>
      <c r="G74" s="322"/>
      <c r="H74" s="322"/>
      <c r="I74" s="323"/>
      <c r="J74" s="362"/>
      <c r="K74" s="368" t="s">
        <v>207</v>
      </c>
      <c r="L74" s="337">
        <v>60090000</v>
      </c>
      <c r="M74" s="337">
        <v>0</v>
      </c>
      <c r="N74" s="43">
        <f t="shared" si="8"/>
        <v>60090000</v>
      </c>
      <c r="O74" s="337"/>
      <c r="P74" s="337"/>
      <c r="Q74" s="363">
        <v>5000000</v>
      </c>
      <c r="R74" s="364">
        <v>20000000</v>
      </c>
      <c r="S74" s="364">
        <f>Q74+R74</f>
        <v>25000000</v>
      </c>
      <c r="T74" s="327">
        <f>S74/N74*100</f>
        <v>41.604260276252283</v>
      </c>
      <c r="U74" s="43">
        <f t="shared" si="9"/>
        <v>35090000</v>
      </c>
      <c r="V74" s="42"/>
      <c r="W74" s="22"/>
      <c r="X74" s="22">
        <f t="shared" si="1"/>
        <v>8.320852055250457</v>
      </c>
      <c r="Z74" s="22"/>
    </row>
    <row r="75" spans="1:27" x14ac:dyDescent="0.25">
      <c r="A75" s="240"/>
      <c r="B75" s="329"/>
      <c r="C75" s="331"/>
      <c r="D75" s="323"/>
      <c r="E75" s="323"/>
      <c r="F75" s="323"/>
      <c r="G75" s="322"/>
      <c r="H75" s="322"/>
      <c r="I75" s="323"/>
      <c r="J75" s="362"/>
      <c r="K75" s="368"/>
      <c r="L75" s="337"/>
      <c r="M75" s="337"/>
      <c r="N75" s="337"/>
      <c r="O75" s="337"/>
      <c r="P75" s="337"/>
      <c r="Q75" s="363"/>
      <c r="R75" s="364"/>
      <c r="S75" s="364"/>
      <c r="T75" s="327"/>
      <c r="U75" s="43"/>
      <c r="V75" s="42"/>
      <c r="W75" s="22"/>
      <c r="X75" s="22"/>
      <c r="Z75" s="22"/>
    </row>
    <row r="76" spans="1:27" x14ac:dyDescent="0.25">
      <c r="A76" s="240"/>
      <c r="B76" s="329"/>
      <c r="C76" s="331"/>
      <c r="D76" s="323"/>
      <c r="E76" s="323"/>
      <c r="F76" s="323"/>
      <c r="G76" s="322"/>
      <c r="H76" s="322"/>
      <c r="I76" s="323"/>
      <c r="J76" s="362"/>
      <c r="K76" s="368" t="s">
        <v>208</v>
      </c>
      <c r="L76" s="337">
        <v>25700000</v>
      </c>
      <c r="M76" s="337">
        <v>0</v>
      </c>
      <c r="N76" s="43">
        <f t="shared" si="8"/>
        <v>25700000</v>
      </c>
      <c r="O76" s="337"/>
      <c r="P76" s="337"/>
      <c r="Q76" s="76">
        <v>840000</v>
      </c>
      <c r="R76" s="364">
        <v>6729744</v>
      </c>
      <c r="S76" s="364">
        <f>Q76+R76</f>
        <v>7569744</v>
      </c>
      <c r="T76" s="327">
        <f>S76/N76*100</f>
        <v>29.454256809338521</v>
      </c>
      <c r="U76" s="43">
        <f t="shared" si="9"/>
        <v>18130256</v>
      </c>
      <c r="V76" s="42"/>
      <c r="W76" s="22"/>
      <c r="X76" s="22">
        <f t="shared" si="1"/>
        <v>3.2684824902723739</v>
      </c>
      <c r="Z76" s="22"/>
    </row>
    <row r="77" spans="1:27" x14ac:dyDescent="0.25">
      <c r="A77" s="240"/>
      <c r="B77" s="329"/>
      <c r="C77" s="331"/>
      <c r="D77" s="323"/>
      <c r="E77" s="323"/>
      <c r="F77" s="323"/>
      <c r="G77" s="322"/>
      <c r="H77" s="322"/>
      <c r="I77" s="323"/>
      <c r="J77" s="362"/>
      <c r="K77" s="368"/>
      <c r="L77" s="337"/>
      <c r="M77" s="337"/>
      <c r="N77" s="337"/>
      <c r="O77" s="337"/>
      <c r="P77" s="337"/>
      <c r="Q77" s="363"/>
      <c r="R77" s="364"/>
      <c r="S77" s="364"/>
      <c r="T77" s="327"/>
      <c r="U77" s="43"/>
      <c r="V77" s="42"/>
      <c r="W77" s="22"/>
      <c r="X77" s="22"/>
      <c r="Z77" s="22"/>
    </row>
    <row r="78" spans="1:27" x14ac:dyDescent="0.25">
      <c r="A78" s="240"/>
      <c r="B78" s="329"/>
      <c r="C78" s="331"/>
      <c r="D78" s="323"/>
      <c r="E78" s="323"/>
      <c r="F78" s="323"/>
      <c r="G78" s="322"/>
      <c r="H78" s="322"/>
      <c r="I78" s="323"/>
      <c r="J78" s="362"/>
      <c r="K78" s="368" t="s">
        <v>209</v>
      </c>
      <c r="L78" s="337">
        <v>11180000</v>
      </c>
      <c r="M78" s="337">
        <v>0</v>
      </c>
      <c r="N78" s="43">
        <f t="shared" si="8"/>
        <v>11180000</v>
      </c>
      <c r="O78" s="337"/>
      <c r="P78" s="337"/>
      <c r="Q78" s="76">
        <v>0</v>
      </c>
      <c r="R78" s="364">
        <v>4337886</v>
      </c>
      <c r="S78" s="364">
        <f>Q78+R78</f>
        <v>4337886</v>
      </c>
      <c r="T78" s="327">
        <f>S78/N78*100</f>
        <v>38.800411449016096</v>
      </c>
      <c r="U78" s="43">
        <f t="shared" si="9"/>
        <v>6842114</v>
      </c>
      <c r="V78" s="42"/>
      <c r="W78" s="22"/>
      <c r="X78" s="22">
        <f t="shared" si="1"/>
        <v>0</v>
      </c>
      <c r="Z78" s="22"/>
    </row>
    <row r="79" spans="1:27" x14ac:dyDescent="0.25">
      <c r="A79" s="240"/>
      <c r="B79" s="329"/>
      <c r="C79" s="331"/>
      <c r="D79" s="323"/>
      <c r="E79" s="323"/>
      <c r="F79" s="323"/>
      <c r="G79" s="322"/>
      <c r="H79" s="322"/>
      <c r="I79" s="323"/>
      <c r="J79" s="362"/>
      <c r="K79" s="368"/>
      <c r="L79" s="337"/>
      <c r="M79" s="337"/>
      <c r="N79" s="337"/>
      <c r="O79" s="337"/>
      <c r="P79" s="337"/>
      <c r="Q79" s="363"/>
      <c r="R79" s="364"/>
      <c r="S79" s="364"/>
      <c r="T79" s="327"/>
      <c r="U79" s="43"/>
      <c r="V79" s="42"/>
      <c r="W79" s="22"/>
      <c r="X79" s="22"/>
      <c r="Z79" s="22"/>
    </row>
    <row r="80" spans="1:27" x14ac:dyDescent="0.25">
      <c r="A80" s="240"/>
      <c r="B80" s="329"/>
      <c r="C80" s="331"/>
      <c r="D80" s="323"/>
      <c r="E80" s="323"/>
      <c r="F80" s="323"/>
      <c r="G80" s="322"/>
      <c r="H80" s="322"/>
      <c r="I80" s="323"/>
      <c r="J80" s="362"/>
      <c r="K80" s="369" t="s">
        <v>210</v>
      </c>
      <c r="L80" s="43">
        <v>11500000</v>
      </c>
      <c r="M80" s="43">
        <v>0</v>
      </c>
      <c r="N80" s="43">
        <f t="shared" si="8"/>
        <v>11500000</v>
      </c>
      <c r="O80" s="337"/>
      <c r="P80" s="337"/>
      <c r="Q80" s="76">
        <v>0</v>
      </c>
      <c r="R80" s="364">
        <v>0</v>
      </c>
      <c r="S80" s="364">
        <f>Q80+R80</f>
        <v>0</v>
      </c>
      <c r="T80" s="327">
        <f>S80/N80*100</f>
        <v>0</v>
      </c>
      <c r="U80" s="43">
        <f t="shared" si="9"/>
        <v>11500000</v>
      </c>
      <c r="V80" s="42">
        <f t="shared" si="2"/>
        <v>5750000</v>
      </c>
      <c r="W80" s="22">
        <f t="shared" si="10"/>
        <v>0</v>
      </c>
      <c r="X80" s="22">
        <f t="shared" si="1"/>
        <v>0</v>
      </c>
      <c r="Z80" s="22">
        <f t="shared" si="4"/>
        <v>0</v>
      </c>
    </row>
    <row r="81" spans="1:26" x14ac:dyDescent="0.25">
      <c r="A81" s="240"/>
      <c r="B81" s="329"/>
      <c r="C81" s="331"/>
      <c r="D81" s="323"/>
      <c r="E81" s="323"/>
      <c r="F81" s="323"/>
      <c r="G81" s="322"/>
      <c r="H81" s="322"/>
      <c r="I81" s="323"/>
      <c r="J81" s="362"/>
      <c r="K81" s="369"/>
      <c r="L81" s="43" t="s">
        <v>212</v>
      </c>
      <c r="M81" s="43"/>
      <c r="N81" s="337"/>
      <c r="O81" s="337"/>
      <c r="P81" s="337"/>
      <c r="Q81" s="364"/>
      <c r="R81" s="364"/>
      <c r="S81" s="364"/>
      <c r="T81" s="327"/>
      <c r="U81" s="43"/>
      <c r="V81" s="42">
        <f t="shared" si="2"/>
        <v>0</v>
      </c>
      <c r="W81" s="22"/>
      <c r="X81" s="22"/>
      <c r="Z81" s="22" t="e">
        <f t="shared" si="4"/>
        <v>#DIV/0!</v>
      </c>
    </row>
    <row r="82" spans="1:26" x14ac:dyDescent="0.25">
      <c r="A82" s="240"/>
      <c r="B82" s="329"/>
      <c r="C82" s="331"/>
      <c r="D82" s="323"/>
      <c r="E82" s="323"/>
      <c r="F82" s="323"/>
      <c r="G82" s="322"/>
      <c r="H82" s="322"/>
      <c r="I82" s="323"/>
      <c r="J82" s="362"/>
      <c r="K82" s="369" t="s">
        <v>211</v>
      </c>
      <c r="L82" s="43">
        <v>400000</v>
      </c>
      <c r="M82" s="43">
        <v>0</v>
      </c>
      <c r="N82" s="43">
        <f t="shared" si="8"/>
        <v>400000</v>
      </c>
      <c r="O82" s="337"/>
      <c r="P82" s="337"/>
      <c r="Q82" s="364">
        <v>0</v>
      </c>
      <c r="R82" s="364">
        <v>165000</v>
      </c>
      <c r="S82" s="364">
        <f>Q82+R82</f>
        <v>165000</v>
      </c>
      <c r="T82" s="327">
        <f>S82/N82*100</f>
        <v>41.25</v>
      </c>
      <c r="U82" s="43">
        <f t="shared" si="9"/>
        <v>235000</v>
      </c>
      <c r="V82" s="42">
        <f t="shared" si="2"/>
        <v>117500</v>
      </c>
      <c r="W82" s="22">
        <f t="shared" si="10"/>
        <v>0</v>
      </c>
      <c r="X82" s="22">
        <f t="shared" si="1"/>
        <v>0</v>
      </c>
      <c r="Z82" s="22">
        <f t="shared" si="4"/>
        <v>0</v>
      </c>
    </row>
    <row r="83" spans="1:26" x14ac:dyDescent="0.25">
      <c r="A83" s="240"/>
      <c r="B83" s="329"/>
      <c r="C83" s="331"/>
      <c r="D83" s="323"/>
      <c r="E83" s="323"/>
      <c r="F83" s="323"/>
      <c r="G83" s="322"/>
      <c r="H83" s="322"/>
      <c r="I83" s="323"/>
      <c r="J83" s="362"/>
      <c r="K83" s="368"/>
      <c r="L83" s="337"/>
      <c r="M83" s="337"/>
      <c r="N83" s="337"/>
      <c r="O83" s="337"/>
      <c r="P83" s="337"/>
      <c r="Q83" s="363"/>
      <c r="R83" s="364"/>
      <c r="S83" s="364"/>
      <c r="T83" s="327"/>
      <c r="U83" s="43"/>
      <c r="V83" s="42">
        <f t="shared" si="2"/>
        <v>0</v>
      </c>
      <c r="W83" s="22"/>
      <c r="X83" s="22"/>
      <c r="Z83" s="22" t="e">
        <f t="shared" si="4"/>
        <v>#DIV/0!</v>
      </c>
    </row>
    <row r="84" spans="1:26" ht="17.25" x14ac:dyDescent="0.3">
      <c r="A84" s="394"/>
      <c r="B84" s="514" t="s">
        <v>249</v>
      </c>
      <c r="C84" s="515"/>
      <c r="D84" s="515"/>
      <c r="E84" s="515"/>
      <c r="F84" s="516"/>
      <c r="G84" s="413"/>
      <c r="H84" s="413"/>
      <c r="I84" s="414"/>
      <c r="J84" s="415"/>
      <c r="K84" s="397" t="s">
        <v>213</v>
      </c>
      <c r="L84" s="398">
        <v>1000000</v>
      </c>
      <c r="M84" s="398">
        <v>0</v>
      </c>
      <c r="N84" s="398">
        <f t="shared" si="8"/>
        <v>1000000</v>
      </c>
      <c r="O84" s="402"/>
      <c r="P84" s="402"/>
      <c r="Q84" s="399">
        <v>0</v>
      </c>
      <c r="R84" s="399">
        <v>500000</v>
      </c>
      <c r="S84" s="399">
        <f>Q84+R84</f>
        <v>500000</v>
      </c>
      <c r="T84" s="400">
        <f>S84/N84*100</f>
        <v>50</v>
      </c>
      <c r="U84" s="398">
        <f t="shared" si="9"/>
        <v>500000</v>
      </c>
      <c r="V84" s="42">
        <f t="shared" si="2"/>
        <v>250000</v>
      </c>
      <c r="W84" s="22">
        <f t="shared" si="10"/>
        <v>0</v>
      </c>
      <c r="X84" s="22">
        <f t="shared" si="1"/>
        <v>0</v>
      </c>
      <c r="Z84" s="65">
        <f t="shared" si="4"/>
        <v>0</v>
      </c>
    </row>
    <row r="85" spans="1:26" x14ac:dyDescent="0.25">
      <c r="A85" s="240"/>
      <c r="B85" s="329"/>
      <c r="C85" s="331"/>
      <c r="D85" s="323"/>
      <c r="E85" s="323"/>
      <c r="F85" s="323"/>
      <c r="G85" s="322"/>
      <c r="H85" s="322"/>
      <c r="I85" s="323"/>
      <c r="J85" s="362"/>
      <c r="K85" s="368"/>
      <c r="L85" s="337"/>
      <c r="M85" s="337"/>
      <c r="N85" s="337"/>
      <c r="O85" s="337"/>
      <c r="P85" s="337"/>
      <c r="Q85" s="363"/>
      <c r="R85" s="364"/>
      <c r="S85" s="364"/>
      <c r="T85" s="327"/>
      <c r="U85" s="43"/>
      <c r="V85" s="42">
        <f t="shared" si="2"/>
        <v>0</v>
      </c>
      <c r="W85" s="22"/>
      <c r="X85" s="22"/>
      <c r="Z85" s="22" t="e">
        <f t="shared" si="4"/>
        <v>#DIV/0!</v>
      </c>
    </row>
    <row r="86" spans="1:26" x14ac:dyDescent="0.25">
      <c r="A86" s="240"/>
      <c r="B86" s="511" t="s">
        <v>250</v>
      </c>
      <c r="C86" s="512"/>
      <c r="D86" s="512"/>
      <c r="E86" s="512"/>
      <c r="F86" s="513"/>
      <c r="G86" s="329"/>
      <c r="H86" s="329"/>
      <c r="I86" s="339"/>
      <c r="J86" s="370"/>
      <c r="K86" s="369" t="s">
        <v>214</v>
      </c>
      <c r="L86" s="43">
        <f>L88+L104</f>
        <v>60000000</v>
      </c>
      <c r="M86" s="43">
        <f>M88+M104</f>
        <v>0</v>
      </c>
      <c r="N86" s="43">
        <f t="shared" si="8"/>
        <v>60000000</v>
      </c>
      <c r="O86" s="337"/>
      <c r="P86" s="337"/>
      <c r="Q86" s="364">
        <f>Q88+Q104</f>
        <v>9928130</v>
      </c>
      <c r="R86" s="364">
        <v>32451000</v>
      </c>
      <c r="S86" s="364">
        <f>Q86+R86</f>
        <v>42379130</v>
      </c>
      <c r="T86" s="327">
        <f>S86/N86*100</f>
        <v>70.631883333333334</v>
      </c>
      <c r="U86" s="43">
        <f t="shared" si="9"/>
        <v>17620870</v>
      </c>
      <c r="V86" s="42">
        <f t="shared" si="2"/>
        <v>8810435</v>
      </c>
      <c r="W86" s="22">
        <f t="shared" si="10"/>
        <v>16.546883333333334</v>
      </c>
      <c r="X86" s="22">
        <f t="shared" ref="X86:X154" si="11">Q86/N86*100</f>
        <v>16.546883333333334</v>
      </c>
      <c r="Z86" s="65">
        <f t="shared" si="4"/>
        <v>16.546883333333334</v>
      </c>
    </row>
    <row r="87" spans="1:26" x14ac:dyDescent="0.25">
      <c r="A87" s="240"/>
      <c r="B87" s="329"/>
      <c r="C87" s="331"/>
      <c r="D87" s="323"/>
      <c r="E87" s="323"/>
      <c r="F87" s="323"/>
      <c r="G87" s="322"/>
      <c r="H87" s="322"/>
      <c r="I87" s="323"/>
      <c r="J87" s="362"/>
      <c r="K87" s="368"/>
      <c r="L87" s="337"/>
      <c r="M87" s="337"/>
      <c r="N87" s="337"/>
      <c r="O87" s="337"/>
      <c r="P87" s="337"/>
      <c r="Q87" s="363"/>
      <c r="R87" s="364"/>
      <c r="S87" s="364"/>
      <c r="T87" s="327"/>
      <c r="U87" s="43"/>
      <c r="V87" s="42">
        <f t="shared" ref="V87:V154" si="12">U87/2</f>
        <v>0</v>
      </c>
      <c r="W87" s="22"/>
      <c r="X87" s="22"/>
      <c r="Z87" s="22" t="e">
        <f t="shared" si="4"/>
        <v>#DIV/0!</v>
      </c>
    </row>
    <row r="88" spans="1:26" x14ac:dyDescent="0.25">
      <c r="A88" s="240"/>
      <c r="B88" s="329"/>
      <c r="C88" s="331"/>
      <c r="D88" s="323"/>
      <c r="E88" s="323"/>
      <c r="F88" s="323"/>
      <c r="G88" s="322"/>
      <c r="H88" s="322"/>
      <c r="I88" s="323"/>
      <c r="J88" s="362"/>
      <c r="K88" s="422" t="s">
        <v>128</v>
      </c>
      <c r="L88" s="43">
        <f>L90+L92+L94+L96+L98+L100+L102</f>
        <v>28000000</v>
      </c>
      <c r="M88" s="43">
        <v>0</v>
      </c>
      <c r="N88" s="43">
        <f t="shared" si="8"/>
        <v>28000000</v>
      </c>
      <c r="O88" s="337"/>
      <c r="P88" s="337"/>
      <c r="Q88" s="76">
        <v>9928130</v>
      </c>
      <c r="R88" s="364">
        <v>6810000</v>
      </c>
      <c r="S88" s="364">
        <f>Q88+R88</f>
        <v>16738130</v>
      </c>
      <c r="T88" s="327">
        <f>S88/N88*100</f>
        <v>59.779035714285712</v>
      </c>
      <c r="U88" s="43">
        <f t="shared" si="9"/>
        <v>11261870</v>
      </c>
      <c r="V88" s="42">
        <f t="shared" si="12"/>
        <v>5630935</v>
      </c>
      <c r="W88" s="22">
        <f t="shared" si="10"/>
        <v>35.457607142857142</v>
      </c>
      <c r="X88" s="22">
        <f t="shared" si="11"/>
        <v>35.457607142857142</v>
      </c>
      <c r="Z88" s="22">
        <f t="shared" si="4"/>
        <v>35.457607142857142</v>
      </c>
    </row>
    <row r="89" spans="1:26" x14ac:dyDescent="0.25">
      <c r="A89" s="240"/>
      <c r="B89" s="329"/>
      <c r="C89" s="331"/>
      <c r="D89" s="323"/>
      <c r="E89" s="323"/>
      <c r="F89" s="323"/>
      <c r="G89" s="322"/>
      <c r="H89" s="322"/>
      <c r="I89" s="323"/>
      <c r="J89" s="362"/>
      <c r="K89" s="369"/>
      <c r="L89" s="43"/>
      <c r="M89" s="43"/>
      <c r="N89" s="43"/>
      <c r="O89" s="337"/>
      <c r="P89" s="337"/>
      <c r="Q89" s="76"/>
      <c r="R89" s="364"/>
      <c r="S89" s="364"/>
      <c r="T89" s="327"/>
      <c r="U89" s="43"/>
      <c r="V89" s="42"/>
      <c r="W89" s="22"/>
      <c r="X89" s="22"/>
      <c r="Z89" s="22"/>
    </row>
    <row r="90" spans="1:26" x14ac:dyDescent="0.25">
      <c r="A90" s="240"/>
      <c r="B90" s="329"/>
      <c r="C90" s="331"/>
      <c r="D90" s="323"/>
      <c r="E90" s="323"/>
      <c r="F90" s="323"/>
      <c r="G90" s="322"/>
      <c r="H90" s="322"/>
      <c r="I90" s="323"/>
      <c r="J90" s="362"/>
      <c r="K90" s="369" t="s">
        <v>285</v>
      </c>
      <c r="L90" s="43">
        <v>12000000</v>
      </c>
      <c r="M90" s="43">
        <v>0</v>
      </c>
      <c r="N90" s="43">
        <f t="shared" si="8"/>
        <v>12000000</v>
      </c>
      <c r="O90" s="337"/>
      <c r="P90" s="337"/>
      <c r="Q90" s="76"/>
      <c r="R90" s="364"/>
      <c r="S90" s="364"/>
      <c r="T90" s="327"/>
      <c r="U90" s="43"/>
      <c r="V90" s="42"/>
      <c r="W90" s="22"/>
      <c r="X90" s="22"/>
      <c r="Z90" s="22"/>
    </row>
    <row r="91" spans="1:26" x14ac:dyDescent="0.25">
      <c r="A91" s="240"/>
      <c r="B91" s="329"/>
      <c r="C91" s="331"/>
      <c r="D91" s="323"/>
      <c r="E91" s="323"/>
      <c r="F91" s="323"/>
      <c r="G91" s="322"/>
      <c r="H91" s="322"/>
      <c r="I91" s="323"/>
      <c r="J91" s="362"/>
      <c r="K91" s="369"/>
      <c r="L91" s="43"/>
      <c r="M91" s="43"/>
      <c r="N91" s="43"/>
      <c r="O91" s="337"/>
      <c r="P91" s="337"/>
      <c r="Q91" s="76"/>
      <c r="R91" s="364"/>
      <c r="S91" s="364"/>
      <c r="T91" s="327"/>
      <c r="U91" s="43"/>
      <c r="V91" s="42"/>
      <c r="W91" s="22"/>
      <c r="X91" s="22"/>
      <c r="Z91" s="22"/>
    </row>
    <row r="92" spans="1:26" x14ac:dyDescent="0.25">
      <c r="A92" s="240"/>
      <c r="B92" s="329"/>
      <c r="C92" s="331"/>
      <c r="D92" s="323"/>
      <c r="E92" s="323"/>
      <c r="F92" s="323"/>
      <c r="G92" s="322"/>
      <c r="H92" s="322"/>
      <c r="I92" s="323"/>
      <c r="J92" s="362"/>
      <c r="K92" s="369" t="s">
        <v>286</v>
      </c>
      <c r="L92" s="43">
        <v>5300000</v>
      </c>
      <c r="M92" s="43"/>
      <c r="N92" s="43">
        <f t="shared" si="8"/>
        <v>5300000</v>
      </c>
      <c r="O92" s="337"/>
      <c r="P92" s="337"/>
      <c r="Q92" s="76"/>
      <c r="R92" s="364"/>
      <c r="S92" s="364"/>
      <c r="T92" s="327"/>
      <c r="U92" s="43"/>
      <c r="V92" s="42"/>
      <c r="W92" s="22"/>
      <c r="X92" s="22"/>
      <c r="Z92" s="22"/>
    </row>
    <row r="93" spans="1:26" x14ac:dyDescent="0.25">
      <c r="A93" s="240"/>
      <c r="B93" s="329"/>
      <c r="C93" s="331"/>
      <c r="D93" s="323"/>
      <c r="E93" s="323"/>
      <c r="F93" s="323"/>
      <c r="G93" s="322"/>
      <c r="H93" s="322"/>
      <c r="I93" s="323"/>
      <c r="J93" s="362"/>
      <c r="K93" s="369"/>
      <c r="L93" s="43"/>
      <c r="M93" s="43"/>
      <c r="N93" s="43"/>
      <c r="O93" s="337"/>
      <c r="P93" s="337"/>
      <c r="Q93" s="76"/>
      <c r="R93" s="364"/>
      <c r="S93" s="364"/>
      <c r="T93" s="327"/>
      <c r="U93" s="43"/>
      <c r="V93" s="42"/>
      <c r="W93" s="22"/>
      <c r="X93" s="22"/>
      <c r="Z93" s="22"/>
    </row>
    <row r="94" spans="1:26" x14ac:dyDescent="0.25">
      <c r="A94" s="240"/>
      <c r="B94" s="329"/>
      <c r="C94" s="331"/>
      <c r="D94" s="323"/>
      <c r="E94" s="323"/>
      <c r="F94" s="323"/>
      <c r="G94" s="322"/>
      <c r="H94" s="322"/>
      <c r="I94" s="323"/>
      <c r="J94" s="362"/>
      <c r="K94" s="369" t="s">
        <v>287</v>
      </c>
      <c r="L94" s="43">
        <v>5000000</v>
      </c>
      <c r="M94" s="43"/>
      <c r="N94" s="43">
        <f t="shared" si="8"/>
        <v>5000000</v>
      </c>
      <c r="O94" s="337"/>
      <c r="P94" s="337"/>
      <c r="Q94" s="76"/>
      <c r="R94" s="364"/>
      <c r="S94" s="364"/>
      <c r="T94" s="327"/>
      <c r="U94" s="43"/>
      <c r="V94" s="42"/>
      <c r="W94" s="22"/>
      <c r="X94" s="22"/>
      <c r="Z94" s="22"/>
    </row>
    <row r="95" spans="1:26" x14ac:dyDescent="0.25">
      <c r="A95" s="240"/>
      <c r="B95" s="329"/>
      <c r="C95" s="331"/>
      <c r="D95" s="323"/>
      <c r="E95" s="323"/>
      <c r="F95" s="323"/>
      <c r="G95" s="322"/>
      <c r="H95" s="322"/>
      <c r="I95" s="323"/>
      <c r="J95" s="362"/>
      <c r="K95" s="369"/>
      <c r="L95" s="43"/>
      <c r="M95" s="43"/>
      <c r="N95" s="43"/>
      <c r="O95" s="337"/>
      <c r="P95" s="337"/>
      <c r="Q95" s="76"/>
      <c r="R95" s="364"/>
      <c r="S95" s="364"/>
      <c r="T95" s="327"/>
      <c r="U95" s="43"/>
      <c r="V95" s="42"/>
      <c r="W95" s="22"/>
      <c r="X95" s="22"/>
      <c r="Z95" s="22"/>
    </row>
    <row r="96" spans="1:26" x14ac:dyDescent="0.25">
      <c r="A96" s="240"/>
      <c r="B96" s="329"/>
      <c r="C96" s="331"/>
      <c r="D96" s="323"/>
      <c r="E96" s="323"/>
      <c r="F96" s="323"/>
      <c r="G96" s="322"/>
      <c r="H96" s="322"/>
      <c r="I96" s="323"/>
      <c r="J96" s="362"/>
      <c r="K96" s="369" t="s">
        <v>288</v>
      </c>
      <c r="L96" s="43">
        <v>200000</v>
      </c>
      <c r="M96" s="43"/>
      <c r="N96" s="43">
        <f t="shared" si="8"/>
        <v>200000</v>
      </c>
      <c r="O96" s="337"/>
      <c r="P96" s="337"/>
      <c r="Q96" s="76"/>
      <c r="R96" s="364"/>
      <c r="S96" s="364"/>
      <c r="T96" s="327"/>
      <c r="U96" s="43"/>
      <c r="V96" s="42"/>
      <c r="W96" s="22"/>
      <c r="X96" s="22"/>
      <c r="Z96" s="22"/>
    </row>
    <row r="97" spans="1:26" x14ac:dyDescent="0.25">
      <c r="A97" s="240"/>
      <c r="B97" s="329"/>
      <c r="C97" s="331"/>
      <c r="D97" s="323"/>
      <c r="E97" s="323"/>
      <c r="F97" s="323"/>
      <c r="G97" s="322"/>
      <c r="H97" s="322"/>
      <c r="I97" s="323"/>
      <c r="J97" s="362"/>
      <c r="K97" s="369"/>
      <c r="L97" s="43"/>
      <c r="M97" s="43"/>
      <c r="N97" s="43"/>
      <c r="O97" s="337"/>
      <c r="P97" s="337"/>
      <c r="Q97" s="76"/>
      <c r="R97" s="364"/>
      <c r="S97" s="364"/>
      <c r="T97" s="327"/>
      <c r="U97" s="43"/>
      <c r="V97" s="42"/>
      <c r="W97" s="22"/>
      <c r="X97" s="22"/>
      <c r="Z97" s="22"/>
    </row>
    <row r="98" spans="1:26" x14ac:dyDescent="0.25">
      <c r="A98" s="240"/>
      <c r="B98" s="329"/>
      <c r="C98" s="331"/>
      <c r="D98" s="323"/>
      <c r="E98" s="323"/>
      <c r="F98" s="323"/>
      <c r="G98" s="322"/>
      <c r="H98" s="322"/>
      <c r="I98" s="323"/>
      <c r="J98" s="362"/>
      <c r="K98" s="369" t="s">
        <v>289</v>
      </c>
      <c r="L98" s="43">
        <v>1000000</v>
      </c>
      <c r="M98" s="43"/>
      <c r="N98" s="43">
        <f t="shared" si="8"/>
        <v>1000000</v>
      </c>
      <c r="O98" s="337"/>
      <c r="P98" s="337"/>
      <c r="Q98" s="76"/>
      <c r="R98" s="364"/>
      <c r="S98" s="364"/>
      <c r="T98" s="327"/>
      <c r="U98" s="43"/>
      <c r="V98" s="42"/>
      <c r="W98" s="22"/>
      <c r="X98" s="22"/>
      <c r="Z98" s="22"/>
    </row>
    <row r="99" spans="1:26" x14ac:dyDescent="0.25">
      <c r="A99" s="240"/>
      <c r="B99" s="329"/>
      <c r="C99" s="331"/>
      <c r="D99" s="323"/>
      <c r="E99" s="323"/>
      <c r="F99" s="323"/>
      <c r="G99" s="322"/>
      <c r="H99" s="322"/>
      <c r="I99" s="323"/>
      <c r="J99" s="362"/>
      <c r="K99" s="369"/>
      <c r="L99" s="43"/>
      <c r="M99" s="43"/>
      <c r="N99" s="43"/>
      <c r="O99" s="337"/>
      <c r="P99" s="337"/>
      <c r="Q99" s="76"/>
      <c r="R99" s="364"/>
      <c r="S99" s="364"/>
      <c r="T99" s="327"/>
      <c r="U99" s="43"/>
      <c r="V99" s="42"/>
      <c r="W99" s="22"/>
      <c r="X99" s="22"/>
      <c r="Z99" s="22"/>
    </row>
    <row r="100" spans="1:26" x14ac:dyDescent="0.25">
      <c r="A100" s="240"/>
      <c r="B100" s="329"/>
      <c r="C100" s="331"/>
      <c r="D100" s="323"/>
      <c r="E100" s="323"/>
      <c r="F100" s="323"/>
      <c r="G100" s="322"/>
      <c r="H100" s="322"/>
      <c r="I100" s="323"/>
      <c r="J100" s="362"/>
      <c r="K100" s="369" t="s">
        <v>290</v>
      </c>
      <c r="L100" s="43">
        <v>1500000</v>
      </c>
      <c r="M100" s="43"/>
      <c r="N100" s="43">
        <f t="shared" si="8"/>
        <v>1500000</v>
      </c>
      <c r="O100" s="337"/>
      <c r="P100" s="337"/>
      <c r="Q100" s="76"/>
      <c r="R100" s="364"/>
      <c r="S100" s="364"/>
      <c r="T100" s="327"/>
      <c r="U100" s="43"/>
      <c r="V100" s="42"/>
      <c r="W100" s="22"/>
      <c r="X100" s="22"/>
      <c r="Z100" s="22"/>
    </row>
    <row r="101" spans="1:26" x14ac:dyDescent="0.25">
      <c r="A101" s="240"/>
      <c r="B101" s="329"/>
      <c r="C101" s="331"/>
      <c r="D101" s="323"/>
      <c r="E101" s="323"/>
      <c r="F101" s="323"/>
      <c r="G101" s="322"/>
      <c r="H101" s="322"/>
      <c r="I101" s="323"/>
      <c r="J101" s="362"/>
      <c r="K101" s="369"/>
      <c r="L101" s="43"/>
      <c r="M101" s="43"/>
      <c r="N101" s="43"/>
      <c r="O101" s="337"/>
      <c r="P101" s="337"/>
      <c r="Q101" s="76"/>
      <c r="R101" s="364"/>
      <c r="S101" s="364"/>
      <c r="T101" s="327"/>
      <c r="U101" s="43"/>
      <c r="V101" s="42"/>
      <c r="W101" s="22"/>
      <c r="X101" s="22"/>
      <c r="Z101" s="22"/>
    </row>
    <row r="102" spans="1:26" x14ac:dyDescent="0.25">
      <c r="A102" s="240"/>
      <c r="B102" s="329"/>
      <c r="C102" s="331"/>
      <c r="D102" s="323"/>
      <c r="E102" s="323"/>
      <c r="F102" s="323"/>
      <c r="G102" s="322"/>
      <c r="H102" s="322"/>
      <c r="I102" s="323"/>
      <c r="J102" s="362"/>
      <c r="K102" s="369" t="s">
        <v>291</v>
      </c>
      <c r="L102" s="43">
        <v>3000000</v>
      </c>
      <c r="M102" s="43"/>
      <c r="N102" s="43">
        <f t="shared" si="8"/>
        <v>3000000</v>
      </c>
      <c r="O102" s="337"/>
      <c r="P102" s="337"/>
      <c r="Q102" s="76"/>
      <c r="R102" s="364"/>
      <c r="S102" s="364"/>
      <c r="T102" s="327"/>
      <c r="U102" s="43"/>
      <c r="V102" s="42"/>
      <c r="W102" s="22"/>
      <c r="X102" s="22"/>
      <c r="Z102" s="22"/>
    </row>
    <row r="103" spans="1:26" x14ac:dyDescent="0.25">
      <c r="A103" s="240"/>
      <c r="B103" s="329"/>
      <c r="C103" s="331"/>
      <c r="D103" s="323"/>
      <c r="E103" s="323"/>
      <c r="F103" s="323"/>
      <c r="G103" s="322"/>
      <c r="H103" s="322"/>
      <c r="I103" s="323"/>
      <c r="J103" s="362"/>
      <c r="K103" s="369"/>
      <c r="L103" s="43"/>
      <c r="M103" s="43"/>
      <c r="N103" s="43"/>
      <c r="O103" s="337"/>
      <c r="P103" s="337"/>
      <c r="Q103" s="76"/>
      <c r="R103" s="364"/>
      <c r="S103" s="364"/>
      <c r="T103" s="327"/>
      <c r="U103" s="43"/>
      <c r="V103" s="42"/>
      <c r="W103" s="22"/>
      <c r="X103" s="22"/>
      <c r="Z103" s="22"/>
    </row>
    <row r="104" spans="1:26" x14ac:dyDescent="0.25">
      <c r="A104" s="240"/>
      <c r="B104" s="329"/>
      <c r="C104" s="331"/>
      <c r="D104" s="323"/>
      <c r="E104" s="323"/>
      <c r="F104" s="323"/>
      <c r="G104" s="322"/>
      <c r="H104" s="322"/>
      <c r="I104" s="323"/>
      <c r="J104" s="362"/>
      <c r="K104" s="422" t="s">
        <v>284</v>
      </c>
      <c r="L104" s="43">
        <v>32000000</v>
      </c>
      <c r="M104" s="43">
        <v>0</v>
      </c>
      <c r="N104" s="43">
        <f t="shared" si="8"/>
        <v>32000000</v>
      </c>
      <c r="O104" s="337"/>
      <c r="P104" s="337"/>
      <c r="Q104" s="364">
        <v>0</v>
      </c>
      <c r="R104" s="364">
        <v>25641000</v>
      </c>
      <c r="S104" s="364">
        <f>Q104+R104</f>
        <v>25641000</v>
      </c>
      <c r="T104" s="327">
        <f>S104/N104*100</f>
        <v>80.128124999999997</v>
      </c>
      <c r="U104" s="43">
        <f t="shared" si="9"/>
        <v>6359000</v>
      </c>
      <c r="V104" s="42">
        <f t="shared" si="12"/>
        <v>3179500</v>
      </c>
      <c r="W104" s="22">
        <f t="shared" si="10"/>
        <v>0</v>
      </c>
      <c r="X104" s="22">
        <f t="shared" si="11"/>
        <v>0</v>
      </c>
      <c r="Z104" s="22">
        <f t="shared" ref="Z104:Z153" si="13">Q104/N104*100</f>
        <v>0</v>
      </c>
    </row>
    <row r="105" spans="1:26" x14ac:dyDescent="0.25">
      <c r="A105" s="240"/>
      <c r="B105" s="329"/>
      <c r="C105" s="331"/>
      <c r="D105" s="323"/>
      <c r="E105" s="323"/>
      <c r="F105" s="323"/>
      <c r="G105" s="322"/>
      <c r="H105" s="322"/>
      <c r="I105" s="323"/>
      <c r="J105" s="362"/>
      <c r="K105" s="368"/>
      <c r="L105" s="337"/>
      <c r="M105" s="337"/>
      <c r="N105" s="337"/>
      <c r="O105" s="337"/>
      <c r="P105" s="337"/>
      <c r="Q105" s="363"/>
      <c r="R105" s="364"/>
      <c r="S105" s="364"/>
      <c r="T105" s="327"/>
      <c r="U105" s="43"/>
      <c r="V105" s="42">
        <f t="shared" si="12"/>
        <v>0</v>
      </c>
      <c r="W105" s="22"/>
      <c r="X105" s="22"/>
      <c r="Z105" s="22" t="e">
        <f t="shared" si="13"/>
        <v>#DIV/0!</v>
      </c>
    </row>
    <row r="106" spans="1:26" x14ac:dyDescent="0.25">
      <c r="A106" s="394"/>
      <c r="B106" s="514" t="s">
        <v>251</v>
      </c>
      <c r="C106" s="515"/>
      <c r="D106" s="515"/>
      <c r="E106" s="515"/>
      <c r="F106" s="516"/>
      <c r="G106" s="413"/>
      <c r="H106" s="413"/>
      <c r="I106" s="414"/>
      <c r="J106" s="415"/>
      <c r="K106" s="421" t="s">
        <v>215</v>
      </c>
      <c r="L106" s="398">
        <v>10000000</v>
      </c>
      <c r="M106" s="398">
        <v>0</v>
      </c>
      <c r="N106" s="398">
        <f t="shared" si="8"/>
        <v>10000000</v>
      </c>
      <c r="O106" s="402"/>
      <c r="P106" s="402"/>
      <c r="Q106" s="399">
        <v>960000</v>
      </c>
      <c r="R106" s="399">
        <v>1190000</v>
      </c>
      <c r="S106" s="399">
        <f>Q106+R106</f>
        <v>2150000</v>
      </c>
      <c r="T106" s="400">
        <f>S106/N106*100</f>
        <v>21.5</v>
      </c>
      <c r="U106" s="398">
        <f t="shared" si="9"/>
        <v>7850000</v>
      </c>
      <c r="V106" s="42">
        <f t="shared" si="12"/>
        <v>3925000</v>
      </c>
      <c r="W106" s="22">
        <f t="shared" si="10"/>
        <v>9.6</v>
      </c>
      <c r="X106" s="22">
        <f t="shared" si="11"/>
        <v>9.6</v>
      </c>
      <c r="Z106" s="65">
        <f t="shared" si="13"/>
        <v>9.6</v>
      </c>
    </row>
    <row r="107" spans="1:26" x14ac:dyDescent="0.25">
      <c r="A107" s="240"/>
      <c r="B107" s="329"/>
      <c r="C107" s="331"/>
      <c r="D107" s="323"/>
      <c r="E107" s="323"/>
      <c r="F107" s="323"/>
      <c r="G107" s="322"/>
      <c r="H107" s="322"/>
      <c r="I107" s="323"/>
      <c r="J107" s="362"/>
      <c r="K107" s="368"/>
      <c r="L107" s="337"/>
      <c r="M107" s="337"/>
      <c r="N107" s="337"/>
      <c r="O107" s="337"/>
      <c r="P107" s="337"/>
      <c r="Q107" s="363"/>
      <c r="R107" s="364"/>
      <c r="S107" s="364"/>
      <c r="T107" s="327"/>
      <c r="U107" s="43"/>
      <c r="V107" s="42">
        <f t="shared" si="12"/>
        <v>0</v>
      </c>
      <c r="W107" s="22"/>
      <c r="X107" s="22"/>
      <c r="Z107" s="22" t="e">
        <f t="shared" si="13"/>
        <v>#DIV/0!</v>
      </c>
    </row>
    <row r="108" spans="1:26" x14ac:dyDescent="0.25">
      <c r="A108" s="394"/>
      <c r="B108" s="514" t="s">
        <v>252</v>
      </c>
      <c r="C108" s="515"/>
      <c r="D108" s="515"/>
      <c r="E108" s="515"/>
      <c r="F108" s="516"/>
      <c r="G108" s="401"/>
      <c r="H108" s="401"/>
      <c r="I108" s="395"/>
      <c r="J108" s="396"/>
      <c r="K108" s="421" t="s">
        <v>216</v>
      </c>
      <c r="L108" s="402">
        <f>L110+L112</f>
        <v>48000000</v>
      </c>
      <c r="M108" s="402">
        <v>0</v>
      </c>
      <c r="N108" s="402">
        <f>L108-M108</f>
        <v>48000000</v>
      </c>
      <c r="O108" s="402"/>
      <c r="P108" s="402"/>
      <c r="Q108" s="419">
        <f>Q110+Q112</f>
        <v>0</v>
      </c>
      <c r="R108" s="399">
        <v>42590700</v>
      </c>
      <c r="S108" s="399">
        <f>Q108+R108</f>
        <v>42590700</v>
      </c>
      <c r="T108" s="400">
        <f>S108/N108*100</f>
        <v>88.730625000000003</v>
      </c>
      <c r="U108" s="398">
        <f t="shared" si="9"/>
        <v>5409300</v>
      </c>
      <c r="V108" s="42"/>
      <c r="W108" s="22"/>
      <c r="X108" s="22">
        <f t="shared" si="11"/>
        <v>0</v>
      </c>
      <c r="Z108" s="65">
        <f t="shared" si="13"/>
        <v>0</v>
      </c>
    </row>
    <row r="109" spans="1:26" x14ac:dyDescent="0.25">
      <c r="A109" s="240"/>
      <c r="B109" s="329"/>
      <c r="C109" s="331"/>
      <c r="D109" s="323"/>
      <c r="E109" s="323"/>
      <c r="F109" s="323"/>
      <c r="G109" s="322"/>
      <c r="H109" s="322"/>
      <c r="I109" s="323"/>
      <c r="J109" s="362"/>
      <c r="K109" s="368"/>
      <c r="L109" s="337"/>
      <c r="M109" s="337"/>
      <c r="N109" s="337"/>
      <c r="O109" s="337"/>
      <c r="P109" s="337"/>
      <c r="Q109" s="363"/>
      <c r="R109" s="364"/>
      <c r="S109" s="364"/>
      <c r="T109" s="327"/>
      <c r="U109" s="43"/>
      <c r="V109" s="42"/>
      <c r="W109" s="22"/>
      <c r="X109" s="22"/>
      <c r="Z109" s="22" t="e">
        <f t="shared" si="13"/>
        <v>#DIV/0!</v>
      </c>
    </row>
    <row r="110" spans="1:26" x14ac:dyDescent="0.25">
      <c r="A110" s="240"/>
      <c r="B110" s="329"/>
      <c r="C110" s="331"/>
      <c r="D110" s="323"/>
      <c r="E110" s="323"/>
      <c r="F110" s="323"/>
      <c r="G110" s="322"/>
      <c r="H110" s="322"/>
      <c r="I110" s="323"/>
      <c r="J110" s="362"/>
      <c r="K110" s="368" t="s">
        <v>217</v>
      </c>
      <c r="L110" s="337">
        <v>43000000</v>
      </c>
      <c r="M110" s="337">
        <v>0</v>
      </c>
      <c r="N110" s="43">
        <f t="shared" ref="N110" si="14">L110-M110</f>
        <v>43000000</v>
      </c>
      <c r="O110" s="337"/>
      <c r="P110" s="337"/>
      <c r="Q110" s="363">
        <v>0</v>
      </c>
      <c r="R110" s="364">
        <v>42590700</v>
      </c>
      <c r="S110" s="364">
        <f>Q110+R110</f>
        <v>42590700</v>
      </c>
      <c r="T110" s="327"/>
      <c r="U110" s="43">
        <f t="shared" si="9"/>
        <v>409300</v>
      </c>
      <c r="V110" s="42"/>
      <c r="W110" s="22"/>
      <c r="X110" s="22">
        <f t="shared" si="11"/>
        <v>0</v>
      </c>
      <c r="Z110" s="65">
        <f t="shared" si="13"/>
        <v>0</v>
      </c>
    </row>
    <row r="111" spans="1:26" x14ac:dyDescent="0.25">
      <c r="A111" s="240"/>
      <c r="B111" s="329"/>
      <c r="C111" s="331"/>
      <c r="D111" s="323"/>
      <c r="E111" s="323"/>
      <c r="F111" s="323"/>
      <c r="G111" s="322"/>
      <c r="H111" s="322"/>
      <c r="I111" s="323"/>
      <c r="J111" s="362"/>
      <c r="K111" s="368"/>
      <c r="L111" s="337"/>
      <c r="M111" s="337"/>
      <c r="N111" s="337"/>
      <c r="O111" s="337"/>
      <c r="P111" s="337"/>
      <c r="Q111" s="363"/>
      <c r="R111" s="364"/>
      <c r="S111" s="364"/>
      <c r="T111" s="327"/>
      <c r="U111" s="43"/>
      <c r="V111" s="42"/>
      <c r="W111" s="22"/>
      <c r="X111" s="22"/>
      <c r="Z111" s="22" t="e">
        <f t="shared" si="13"/>
        <v>#DIV/0!</v>
      </c>
    </row>
    <row r="112" spans="1:26" x14ac:dyDescent="0.25">
      <c r="A112" s="240"/>
      <c r="B112" s="329"/>
      <c r="C112" s="331"/>
      <c r="D112" s="323"/>
      <c r="E112" s="323"/>
      <c r="F112" s="323"/>
      <c r="G112" s="322"/>
      <c r="H112" s="322"/>
      <c r="I112" s="323"/>
      <c r="J112" s="362"/>
      <c r="K112" s="368" t="s">
        <v>218</v>
      </c>
      <c r="L112" s="337">
        <v>5000000</v>
      </c>
      <c r="M112" s="337">
        <v>0</v>
      </c>
      <c r="N112" s="43">
        <f t="shared" ref="N112" si="15">L112-M112</f>
        <v>5000000</v>
      </c>
      <c r="O112" s="337"/>
      <c r="P112" s="337"/>
      <c r="Q112" s="363">
        <v>0</v>
      </c>
      <c r="R112" s="364">
        <v>0</v>
      </c>
      <c r="S112" s="364">
        <f>Q112+R112</f>
        <v>0</v>
      </c>
      <c r="T112" s="327"/>
      <c r="U112" s="43">
        <f t="shared" si="9"/>
        <v>5000000</v>
      </c>
      <c r="V112" s="42"/>
      <c r="W112" s="22"/>
      <c r="X112" s="22">
        <f t="shared" si="11"/>
        <v>0</v>
      </c>
      <c r="Z112" s="65">
        <f t="shared" si="13"/>
        <v>0</v>
      </c>
    </row>
    <row r="113" spans="1:26" x14ac:dyDescent="0.25">
      <c r="A113" s="240"/>
      <c r="B113" s="329"/>
      <c r="C113" s="331"/>
      <c r="D113" s="323"/>
      <c r="E113" s="323"/>
      <c r="F113" s="323"/>
      <c r="G113" s="322"/>
      <c r="H113" s="322"/>
      <c r="I113" s="323"/>
      <c r="J113" s="362"/>
      <c r="K113" s="368"/>
      <c r="L113" s="337"/>
      <c r="M113" s="337"/>
      <c r="N113" s="43"/>
      <c r="O113" s="337"/>
      <c r="P113" s="337"/>
      <c r="Q113" s="363"/>
      <c r="R113" s="364"/>
      <c r="S113" s="364"/>
      <c r="T113" s="327"/>
      <c r="U113" s="43"/>
      <c r="V113" s="42"/>
      <c r="W113" s="22"/>
      <c r="X113" s="22"/>
      <c r="Z113" s="22" t="e">
        <f t="shared" si="13"/>
        <v>#DIV/0!</v>
      </c>
    </row>
    <row r="114" spans="1:26" x14ac:dyDescent="0.25">
      <c r="A114" s="394"/>
      <c r="B114" s="514" t="s">
        <v>253</v>
      </c>
      <c r="C114" s="515"/>
      <c r="D114" s="515"/>
      <c r="E114" s="515"/>
      <c r="F114" s="516"/>
      <c r="G114" s="401"/>
      <c r="H114" s="401"/>
      <c r="I114" s="395"/>
      <c r="J114" s="396"/>
      <c r="K114" s="421" t="s">
        <v>219</v>
      </c>
      <c r="L114" s="402">
        <v>12500000</v>
      </c>
      <c r="M114" s="402">
        <v>0</v>
      </c>
      <c r="N114" s="402">
        <f>L114-M114</f>
        <v>12500000</v>
      </c>
      <c r="O114" s="402"/>
      <c r="P114" s="402"/>
      <c r="Q114" s="419">
        <v>1166000</v>
      </c>
      <c r="R114" s="399">
        <v>3820500</v>
      </c>
      <c r="S114" s="399">
        <f>Q114+R114</f>
        <v>4986500</v>
      </c>
      <c r="T114" s="400">
        <f>S114/N114*100</f>
        <v>39.892000000000003</v>
      </c>
      <c r="U114" s="398">
        <f t="shared" ref="U114" si="16">N114-S114</f>
        <v>7513500</v>
      </c>
      <c r="V114" s="42"/>
      <c r="W114" s="22"/>
      <c r="X114" s="22">
        <f t="shared" si="11"/>
        <v>9.3279999999999994</v>
      </c>
      <c r="Z114" s="65">
        <f t="shared" si="13"/>
        <v>9.3279999999999994</v>
      </c>
    </row>
    <row r="115" spans="1:26" x14ac:dyDescent="0.25">
      <c r="A115" s="240"/>
      <c r="B115" s="329"/>
      <c r="C115" s="331"/>
      <c r="D115" s="323"/>
      <c r="E115" s="323"/>
      <c r="F115" s="323"/>
      <c r="G115" s="322"/>
      <c r="H115" s="322"/>
      <c r="I115" s="323"/>
      <c r="J115" s="362"/>
      <c r="K115" s="368"/>
      <c r="L115" s="337"/>
      <c r="M115" s="337"/>
      <c r="N115" s="43"/>
      <c r="O115" s="337"/>
      <c r="P115" s="337"/>
      <c r="Q115" s="363"/>
      <c r="R115" s="364"/>
      <c r="S115" s="364"/>
      <c r="T115" s="327"/>
      <c r="U115" s="43"/>
      <c r="V115" s="42"/>
      <c r="W115" s="22"/>
      <c r="X115" s="22"/>
      <c r="Z115" s="22" t="e">
        <f t="shared" si="13"/>
        <v>#DIV/0!</v>
      </c>
    </row>
    <row r="116" spans="1:26" x14ac:dyDescent="0.25">
      <c r="A116" s="394"/>
      <c r="B116" s="514" t="s">
        <v>254</v>
      </c>
      <c r="C116" s="515"/>
      <c r="D116" s="515"/>
      <c r="E116" s="515"/>
      <c r="F116" s="516"/>
      <c r="G116" s="401"/>
      <c r="H116" s="401"/>
      <c r="I116" s="395"/>
      <c r="J116" s="396"/>
      <c r="K116" s="421" t="s">
        <v>220</v>
      </c>
      <c r="L116" s="402">
        <v>15000000</v>
      </c>
      <c r="M116" s="402">
        <v>0</v>
      </c>
      <c r="N116" s="402">
        <f>L116-M116</f>
        <v>15000000</v>
      </c>
      <c r="O116" s="402"/>
      <c r="P116" s="402"/>
      <c r="Q116" s="419">
        <v>0</v>
      </c>
      <c r="R116" s="399">
        <v>15000000</v>
      </c>
      <c r="S116" s="399">
        <f>Q116+R116</f>
        <v>15000000</v>
      </c>
      <c r="T116" s="400">
        <f>S116/N116*100</f>
        <v>100</v>
      </c>
      <c r="U116" s="398">
        <f t="shared" ref="U116" si="17">N116-S116</f>
        <v>0</v>
      </c>
      <c r="V116" s="42"/>
      <c r="W116" s="22"/>
      <c r="X116" s="22">
        <f t="shared" si="11"/>
        <v>0</v>
      </c>
      <c r="Z116" s="65">
        <f t="shared" si="13"/>
        <v>0</v>
      </c>
    </row>
    <row r="117" spans="1:26" x14ac:dyDescent="0.25">
      <c r="A117" s="240"/>
      <c r="B117" s="329"/>
      <c r="C117" s="331"/>
      <c r="D117" s="323"/>
      <c r="E117" s="323"/>
      <c r="F117" s="323"/>
      <c r="G117" s="322"/>
      <c r="H117" s="322"/>
      <c r="I117" s="323"/>
      <c r="J117" s="324"/>
      <c r="K117" s="334"/>
      <c r="L117" s="332"/>
      <c r="M117" s="332"/>
      <c r="N117" s="335"/>
      <c r="O117" s="332"/>
      <c r="P117" s="332"/>
      <c r="Q117" s="325"/>
      <c r="R117" s="141"/>
      <c r="S117" s="141"/>
      <c r="T117" s="327"/>
      <c r="U117" s="43"/>
      <c r="V117" s="42"/>
      <c r="W117" s="22"/>
      <c r="X117" s="22"/>
      <c r="Z117" s="22" t="e">
        <f t="shared" si="13"/>
        <v>#DIV/0!</v>
      </c>
    </row>
    <row r="118" spans="1:26" x14ac:dyDescent="0.25">
      <c r="A118" s="39"/>
      <c r="B118" s="383">
        <v>4</v>
      </c>
      <c r="C118" s="384"/>
      <c r="D118" s="385"/>
      <c r="E118" s="385"/>
      <c r="F118" s="385"/>
      <c r="G118" s="386"/>
      <c r="H118" s="386"/>
      <c r="I118" s="385"/>
      <c r="J118" s="343"/>
      <c r="K118" s="344" t="s">
        <v>135</v>
      </c>
      <c r="L118" s="42">
        <f>L121+L133</f>
        <v>656145000</v>
      </c>
      <c r="M118" s="42">
        <f>M121+M133</f>
        <v>0</v>
      </c>
      <c r="N118" s="42">
        <f>L118-M118</f>
        <v>656145000</v>
      </c>
      <c r="O118" s="345"/>
      <c r="P118" s="345"/>
      <c r="Q118" s="42">
        <f>Q121+Q133</f>
        <v>18620000</v>
      </c>
      <c r="R118" s="42">
        <v>125800000</v>
      </c>
      <c r="S118" s="42">
        <f>Q118+R118</f>
        <v>144420000</v>
      </c>
      <c r="T118" s="291">
        <f>S118/N118*100</f>
        <v>22.010378803465695</v>
      </c>
      <c r="U118" s="42">
        <f t="shared" ref="U118:U144" si="18">N118-S118</f>
        <v>511725000</v>
      </c>
      <c r="V118" s="42">
        <f t="shared" si="12"/>
        <v>255862500</v>
      </c>
      <c r="W118" s="22">
        <f>Q118/N118*100</f>
        <v>2.8377873793140234</v>
      </c>
      <c r="X118" s="22">
        <f t="shared" si="11"/>
        <v>2.8377873793140234</v>
      </c>
      <c r="Z118" s="22">
        <f t="shared" si="13"/>
        <v>2.8377873793140234</v>
      </c>
    </row>
    <row r="119" spans="1:26" x14ac:dyDescent="0.25">
      <c r="A119" s="240"/>
      <c r="B119" s="329"/>
      <c r="C119" s="331"/>
      <c r="D119" s="323"/>
      <c r="E119" s="323"/>
      <c r="F119" s="323"/>
      <c r="G119" s="322"/>
      <c r="H119" s="322"/>
      <c r="I119" s="323"/>
      <c r="J119" s="324"/>
      <c r="K119" s="334"/>
      <c r="L119" s="332"/>
      <c r="M119" s="332"/>
      <c r="N119" s="335"/>
      <c r="O119" s="332"/>
      <c r="P119" s="332"/>
      <c r="Q119" s="325"/>
      <c r="R119" s="141"/>
      <c r="S119" s="141"/>
      <c r="T119" s="327"/>
      <c r="U119" s="43"/>
      <c r="V119" s="42">
        <f t="shared" si="12"/>
        <v>0</v>
      </c>
      <c r="W119" s="22"/>
      <c r="X119" s="22"/>
      <c r="Z119" s="22" t="e">
        <f t="shared" si="13"/>
        <v>#DIV/0!</v>
      </c>
    </row>
    <row r="120" spans="1:26" x14ac:dyDescent="0.25">
      <c r="A120" s="240"/>
      <c r="B120" s="329"/>
      <c r="C120" s="331"/>
      <c r="D120" s="323"/>
      <c r="E120" s="323"/>
      <c r="F120" s="323"/>
      <c r="G120" s="322"/>
      <c r="H120" s="322"/>
      <c r="I120" s="323"/>
      <c r="J120" s="324"/>
      <c r="K120" s="334"/>
      <c r="L120" s="332"/>
      <c r="M120" s="332"/>
      <c r="N120" s="335"/>
      <c r="O120" s="332"/>
      <c r="P120" s="332"/>
      <c r="Q120" s="325"/>
      <c r="R120" s="141"/>
      <c r="S120" s="141"/>
      <c r="T120" s="327"/>
      <c r="U120" s="43"/>
      <c r="V120" s="42">
        <f t="shared" si="12"/>
        <v>0</v>
      </c>
      <c r="W120" s="22"/>
      <c r="X120" s="22"/>
      <c r="Z120" s="22" t="e">
        <f t="shared" si="13"/>
        <v>#DIV/0!</v>
      </c>
    </row>
    <row r="121" spans="1:26" x14ac:dyDescent="0.25">
      <c r="A121" s="394"/>
      <c r="B121" s="404" t="s">
        <v>255</v>
      </c>
      <c r="C121" s="423"/>
      <c r="D121" s="416"/>
      <c r="E121" s="414"/>
      <c r="F121" s="414"/>
      <c r="G121" s="413"/>
      <c r="H121" s="413"/>
      <c r="I121" s="414"/>
      <c r="J121" s="415"/>
      <c r="K121" s="421" t="s">
        <v>256</v>
      </c>
      <c r="L121" s="398">
        <f>L123+L125+L127+L129+L131</f>
        <v>189650000</v>
      </c>
      <c r="M121" s="398">
        <f>M123+M125+M127+M129</f>
        <v>0</v>
      </c>
      <c r="N121" s="398">
        <f t="shared" ref="N121:N152" si="19">L121-M121</f>
        <v>189650000</v>
      </c>
      <c r="O121" s="402"/>
      <c r="P121" s="402"/>
      <c r="Q121" s="399">
        <f>Q123+Q125+Q126</f>
        <v>4650000</v>
      </c>
      <c r="R121" s="399">
        <v>10950000</v>
      </c>
      <c r="S121" s="399">
        <f>Q121+R121</f>
        <v>15600000</v>
      </c>
      <c r="T121" s="400">
        <f>S121/N121*100</f>
        <v>8.2256788821513318</v>
      </c>
      <c r="U121" s="398">
        <f t="shared" si="18"/>
        <v>174050000</v>
      </c>
      <c r="V121" s="42">
        <f t="shared" si="12"/>
        <v>87025000</v>
      </c>
      <c r="W121" s="22">
        <f t="shared" ref="W121:W154" si="20">Q121/N121*100</f>
        <v>2.4518850514104931</v>
      </c>
      <c r="X121" s="22">
        <f t="shared" si="11"/>
        <v>2.4518850514104931</v>
      </c>
      <c r="Z121" s="65">
        <f t="shared" si="13"/>
        <v>2.4518850514104931</v>
      </c>
    </row>
    <row r="122" spans="1:26" x14ac:dyDescent="0.25">
      <c r="A122" s="240"/>
      <c r="B122" s="329"/>
      <c r="C122" s="331"/>
      <c r="D122" s="323"/>
      <c r="E122" s="323"/>
      <c r="F122" s="323"/>
      <c r="G122" s="322"/>
      <c r="H122" s="322"/>
      <c r="I122" s="323"/>
      <c r="J122" s="324"/>
      <c r="K122" s="334"/>
      <c r="L122" s="332"/>
      <c r="M122" s="332"/>
      <c r="N122" s="335">
        <f t="shared" si="19"/>
        <v>0</v>
      </c>
      <c r="O122" s="332"/>
      <c r="P122" s="332"/>
      <c r="Q122" s="325"/>
      <c r="R122" s="141"/>
      <c r="S122" s="141"/>
      <c r="T122" s="327"/>
      <c r="U122" s="43"/>
      <c r="V122" s="42">
        <f t="shared" si="12"/>
        <v>0</v>
      </c>
      <c r="W122" s="22"/>
      <c r="X122" s="22"/>
      <c r="Z122" s="22" t="e">
        <f t="shared" si="13"/>
        <v>#DIV/0!</v>
      </c>
    </row>
    <row r="123" spans="1:26" x14ac:dyDescent="0.25">
      <c r="A123" s="240"/>
      <c r="B123" s="329"/>
      <c r="C123" s="331"/>
      <c r="D123" s="323"/>
      <c r="E123" s="323"/>
      <c r="F123" s="323"/>
      <c r="G123" s="322"/>
      <c r="H123" s="322"/>
      <c r="I123" s="323"/>
      <c r="J123" s="324"/>
      <c r="K123" s="336" t="s">
        <v>221</v>
      </c>
      <c r="L123" s="326">
        <v>39000000</v>
      </c>
      <c r="M123" s="326">
        <v>0</v>
      </c>
      <c r="N123" s="43">
        <f t="shared" si="19"/>
        <v>39000000</v>
      </c>
      <c r="O123" s="332"/>
      <c r="P123" s="332"/>
      <c r="Q123" s="141">
        <v>0</v>
      </c>
      <c r="R123" s="141">
        <v>0</v>
      </c>
      <c r="S123" s="141">
        <f>Q123+R123</f>
        <v>0</v>
      </c>
      <c r="T123" s="338">
        <f>S123/N123*100</f>
        <v>0</v>
      </c>
      <c r="U123" s="43">
        <f t="shared" si="18"/>
        <v>39000000</v>
      </c>
      <c r="V123" s="42">
        <f t="shared" si="12"/>
        <v>19500000</v>
      </c>
      <c r="W123" s="22">
        <f t="shared" si="20"/>
        <v>0</v>
      </c>
      <c r="X123" s="22">
        <f t="shared" si="11"/>
        <v>0</v>
      </c>
      <c r="Z123" s="22">
        <f t="shared" si="13"/>
        <v>0</v>
      </c>
    </row>
    <row r="124" spans="1:26" x14ac:dyDescent="0.25">
      <c r="A124" s="240"/>
      <c r="B124" s="329"/>
      <c r="C124" s="331"/>
      <c r="D124" s="323"/>
      <c r="E124" s="323"/>
      <c r="F124" s="323"/>
      <c r="G124" s="322"/>
      <c r="H124" s="322"/>
      <c r="I124" s="323"/>
      <c r="J124" s="324"/>
      <c r="K124" s="336"/>
      <c r="L124" s="43">
        <f>L125+L127+L129+L131</f>
        <v>150650000</v>
      </c>
      <c r="M124" s="43"/>
      <c r="N124" s="43">
        <f>N125+N127+N129+N131</f>
        <v>150650000</v>
      </c>
      <c r="O124" s="337"/>
      <c r="P124" s="337"/>
      <c r="Q124" s="43">
        <f>Q125+Q127+Q129+Q131</f>
        <v>4650000</v>
      </c>
      <c r="R124" s="43">
        <v>10950000</v>
      </c>
      <c r="S124" s="43">
        <f>S125+S127+S129+S131</f>
        <v>15600000</v>
      </c>
      <c r="T124" s="327"/>
      <c r="U124" s="43">
        <f t="shared" si="18"/>
        <v>135050000</v>
      </c>
      <c r="V124" s="270">
        <f t="shared" si="12"/>
        <v>67525000</v>
      </c>
      <c r="W124" s="273"/>
      <c r="X124" s="273">
        <f t="shared" si="11"/>
        <v>3.0866246266179886</v>
      </c>
      <c r="Y124" s="274"/>
      <c r="Z124" s="22">
        <f t="shared" si="13"/>
        <v>3.0866246266179886</v>
      </c>
    </row>
    <row r="125" spans="1:26" x14ac:dyDescent="0.25">
      <c r="A125" s="240"/>
      <c r="B125" s="329"/>
      <c r="C125" s="331"/>
      <c r="D125" s="323"/>
      <c r="E125" s="323"/>
      <c r="F125" s="323"/>
      <c r="G125" s="322"/>
      <c r="H125" s="322"/>
      <c r="I125" s="323"/>
      <c r="J125" s="324"/>
      <c r="K125" s="336" t="s">
        <v>222</v>
      </c>
      <c r="L125" s="326">
        <v>100000000</v>
      </c>
      <c r="M125" s="326">
        <v>0</v>
      </c>
      <c r="N125" s="335">
        <f t="shared" si="19"/>
        <v>100000000</v>
      </c>
      <c r="O125" s="332"/>
      <c r="P125" s="332"/>
      <c r="Q125" s="141">
        <v>0</v>
      </c>
      <c r="R125" s="141">
        <v>0</v>
      </c>
      <c r="S125" s="141">
        <f t="shared" ref="S125:S129" si="21">Q125+R125</f>
        <v>0</v>
      </c>
      <c r="T125" s="327"/>
      <c r="U125" s="43">
        <f t="shared" si="18"/>
        <v>100000000</v>
      </c>
      <c r="V125" s="42">
        <f t="shared" si="12"/>
        <v>50000000</v>
      </c>
      <c r="W125" s="22"/>
      <c r="X125" s="22">
        <f t="shared" si="11"/>
        <v>0</v>
      </c>
      <c r="Z125" s="22">
        <f t="shared" si="13"/>
        <v>0</v>
      </c>
    </row>
    <row r="126" spans="1:26" x14ac:dyDescent="0.25">
      <c r="A126" s="240"/>
      <c r="B126" s="329"/>
      <c r="C126" s="331"/>
      <c r="D126" s="323"/>
      <c r="E126" s="323"/>
      <c r="F126" s="323"/>
      <c r="G126" s="322"/>
      <c r="H126" s="322"/>
      <c r="I126" s="323"/>
      <c r="J126" s="324"/>
      <c r="K126" s="336" t="s">
        <v>275</v>
      </c>
      <c r="L126" s="326">
        <f>L127+L129+L131</f>
        <v>50650000</v>
      </c>
      <c r="M126" s="326"/>
      <c r="N126" s="326">
        <f>N127+N129+N131</f>
        <v>50650000</v>
      </c>
      <c r="O126" s="332"/>
      <c r="P126" s="332"/>
      <c r="Q126" s="326">
        <f>Q127+Q129+Q131</f>
        <v>4650000</v>
      </c>
      <c r="R126" s="326">
        <v>10950000</v>
      </c>
      <c r="S126" s="141">
        <f>Q126+R126</f>
        <v>15600000</v>
      </c>
      <c r="T126" s="327"/>
      <c r="U126" s="43">
        <f t="shared" si="18"/>
        <v>35050000</v>
      </c>
      <c r="V126" s="42">
        <f t="shared" si="12"/>
        <v>17525000</v>
      </c>
      <c r="W126" s="22"/>
      <c r="X126" s="22"/>
      <c r="Z126" s="22">
        <f t="shared" si="13"/>
        <v>9.1806515301085891</v>
      </c>
    </row>
    <row r="127" spans="1:26" x14ac:dyDescent="0.25">
      <c r="A127" s="240"/>
      <c r="B127" s="329"/>
      <c r="C127" s="331"/>
      <c r="D127" s="323"/>
      <c r="E127" s="323"/>
      <c r="F127" s="323"/>
      <c r="G127" s="322"/>
      <c r="H127" s="322"/>
      <c r="I127" s="323"/>
      <c r="J127" s="324"/>
      <c r="K127" s="336" t="s">
        <v>224</v>
      </c>
      <c r="L127" s="326">
        <v>3600000</v>
      </c>
      <c r="M127" s="326">
        <v>0</v>
      </c>
      <c r="N127" s="335">
        <f t="shared" si="19"/>
        <v>3600000</v>
      </c>
      <c r="O127" s="332"/>
      <c r="P127" s="332"/>
      <c r="Q127" s="141">
        <v>1200000</v>
      </c>
      <c r="R127" s="141">
        <v>0</v>
      </c>
      <c r="S127" s="141">
        <f t="shared" si="21"/>
        <v>1200000</v>
      </c>
      <c r="T127" s="327"/>
      <c r="U127" s="43">
        <f t="shared" si="18"/>
        <v>2400000</v>
      </c>
      <c r="V127" s="42">
        <f t="shared" si="12"/>
        <v>1200000</v>
      </c>
      <c r="W127" s="22"/>
      <c r="X127" s="22">
        <f t="shared" si="11"/>
        <v>33.333333333333329</v>
      </c>
      <c r="Z127" s="22">
        <f t="shared" si="13"/>
        <v>33.333333333333329</v>
      </c>
    </row>
    <row r="128" spans="1:26" x14ac:dyDescent="0.25">
      <c r="A128" s="240"/>
      <c r="B128" s="329"/>
      <c r="C128" s="331"/>
      <c r="D128" s="323"/>
      <c r="E128" s="323"/>
      <c r="F128" s="323"/>
      <c r="G128" s="322"/>
      <c r="H128" s="322"/>
      <c r="I128" s="323"/>
      <c r="J128" s="324"/>
      <c r="K128" s="336"/>
      <c r="L128" s="326"/>
      <c r="M128" s="326"/>
      <c r="N128" s="335"/>
      <c r="O128" s="332"/>
      <c r="P128" s="332"/>
      <c r="Q128" s="141"/>
      <c r="R128" s="141"/>
      <c r="S128" s="141"/>
      <c r="T128" s="327"/>
      <c r="U128" s="43"/>
      <c r="V128" s="42">
        <f t="shared" si="12"/>
        <v>0</v>
      </c>
      <c r="W128" s="22"/>
      <c r="X128" s="22"/>
      <c r="Z128" s="22" t="e">
        <f t="shared" si="13"/>
        <v>#DIV/0!</v>
      </c>
    </row>
    <row r="129" spans="1:32" x14ac:dyDescent="0.25">
      <c r="A129" s="240"/>
      <c r="B129" s="329"/>
      <c r="C129" s="331"/>
      <c r="D129" s="323"/>
      <c r="E129" s="323"/>
      <c r="F129" s="323"/>
      <c r="G129" s="322"/>
      <c r="H129" s="322"/>
      <c r="I129" s="323"/>
      <c r="J129" s="324"/>
      <c r="K129" s="336" t="s">
        <v>141</v>
      </c>
      <c r="L129" s="326">
        <v>43900000</v>
      </c>
      <c r="M129" s="326">
        <v>0</v>
      </c>
      <c r="N129" s="335">
        <f t="shared" si="19"/>
        <v>43900000</v>
      </c>
      <c r="O129" s="332"/>
      <c r="P129" s="332"/>
      <c r="Q129" s="141">
        <v>3450000</v>
      </c>
      <c r="R129" s="141">
        <v>10950000</v>
      </c>
      <c r="S129" s="141">
        <f t="shared" si="21"/>
        <v>14400000</v>
      </c>
      <c r="T129" s="338">
        <f>S129/N129*100</f>
        <v>32.801822323462417</v>
      </c>
      <c r="U129" s="43">
        <f t="shared" si="18"/>
        <v>29500000</v>
      </c>
      <c r="V129" s="42">
        <f t="shared" si="12"/>
        <v>14750000</v>
      </c>
      <c r="W129" s="22">
        <f t="shared" si="20"/>
        <v>7.858769931662871</v>
      </c>
      <c r="X129" s="22">
        <f t="shared" si="11"/>
        <v>7.858769931662871</v>
      </c>
      <c r="Z129" s="22">
        <f t="shared" si="13"/>
        <v>7.858769931662871</v>
      </c>
    </row>
    <row r="130" spans="1:32" x14ac:dyDescent="0.25">
      <c r="A130" s="240"/>
      <c r="B130" s="329"/>
      <c r="C130" s="331"/>
      <c r="D130" s="323"/>
      <c r="E130" s="323"/>
      <c r="F130" s="323"/>
      <c r="G130" s="322"/>
      <c r="H130" s="322"/>
      <c r="I130" s="323"/>
      <c r="J130" s="324"/>
      <c r="K130" s="336"/>
      <c r="L130" s="326"/>
      <c r="M130" s="326"/>
      <c r="N130" s="335"/>
      <c r="O130" s="332"/>
      <c r="P130" s="332"/>
      <c r="Q130" s="141"/>
      <c r="R130" s="141"/>
      <c r="S130" s="141"/>
      <c r="T130" s="338"/>
      <c r="U130" s="43"/>
      <c r="V130" s="42"/>
      <c r="W130" s="22"/>
      <c r="X130" s="22"/>
      <c r="Z130" s="22"/>
    </row>
    <row r="131" spans="1:32" x14ac:dyDescent="0.25">
      <c r="A131" s="240"/>
      <c r="B131" s="329"/>
      <c r="C131" s="331"/>
      <c r="D131" s="323"/>
      <c r="E131" s="323"/>
      <c r="F131" s="323"/>
      <c r="G131" s="322"/>
      <c r="H131" s="322"/>
      <c r="I131" s="323"/>
      <c r="J131" s="324"/>
      <c r="K131" s="336" t="s">
        <v>223</v>
      </c>
      <c r="L131" s="326">
        <v>3150000</v>
      </c>
      <c r="M131" s="326">
        <v>0</v>
      </c>
      <c r="N131" s="335">
        <f t="shared" si="19"/>
        <v>3150000</v>
      </c>
      <c r="O131" s="332"/>
      <c r="P131" s="332"/>
      <c r="Q131" s="141"/>
      <c r="R131" s="141"/>
      <c r="S131" s="141"/>
      <c r="T131" s="338"/>
      <c r="U131" s="43">
        <f t="shared" si="18"/>
        <v>3150000</v>
      </c>
      <c r="V131" s="42"/>
      <c r="W131" s="22"/>
      <c r="X131" s="22">
        <f t="shared" si="11"/>
        <v>0</v>
      </c>
      <c r="Z131" s="22"/>
    </row>
    <row r="132" spans="1:32" x14ac:dyDescent="0.25">
      <c r="A132" s="240"/>
      <c r="B132" s="329"/>
      <c r="C132" s="331"/>
      <c r="D132" s="323"/>
      <c r="E132" s="323"/>
      <c r="F132" s="323"/>
      <c r="G132" s="322"/>
      <c r="H132" s="322"/>
      <c r="I132" s="323"/>
      <c r="J132" s="324"/>
      <c r="K132" s="334"/>
      <c r="L132" s="332"/>
      <c r="M132" s="332"/>
      <c r="N132" s="335"/>
      <c r="O132" s="332"/>
      <c r="P132" s="332"/>
      <c r="Q132" s="325"/>
      <c r="R132" s="141"/>
      <c r="S132" s="141"/>
      <c r="T132" s="327"/>
      <c r="U132" s="43"/>
      <c r="V132" s="42">
        <f t="shared" si="12"/>
        <v>0</v>
      </c>
      <c r="W132" s="22"/>
      <c r="X132" s="22"/>
      <c r="Z132" s="22" t="e">
        <f t="shared" si="13"/>
        <v>#DIV/0!</v>
      </c>
    </row>
    <row r="133" spans="1:32" x14ac:dyDescent="0.25">
      <c r="A133" s="403"/>
      <c r="B133" s="514" t="s">
        <v>257</v>
      </c>
      <c r="C133" s="515"/>
      <c r="D133" s="515"/>
      <c r="E133" s="515"/>
      <c r="F133" s="515"/>
      <c r="G133" s="516"/>
      <c r="H133" s="412"/>
      <c r="I133" s="409"/>
      <c r="J133" s="410"/>
      <c r="K133" s="424" t="s">
        <v>143</v>
      </c>
      <c r="L133" s="398">
        <f>L135+L137+L139+L146</f>
        <v>466495000</v>
      </c>
      <c r="M133" s="398">
        <f>M135+M137+M139+M144+M146</f>
        <v>0</v>
      </c>
      <c r="N133" s="398">
        <f t="shared" ref="N133" si="22">L133-M133</f>
        <v>466495000</v>
      </c>
      <c r="O133" s="402"/>
      <c r="P133" s="402"/>
      <c r="Q133" s="398">
        <f>Q135+Q137+Q139+Q144+Q146</f>
        <v>13970000</v>
      </c>
      <c r="R133" s="398">
        <v>114850000</v>
      </c>
      <c r="S133" s="398">
        <f>Q133+R133</f>
        <v>128820000</v>
      </c>
      <c r="T133" s="400">
        <f>S133/N133*100</f>
        <v>27.614443884714735</v>
      </c>
      <c r="U133" s="398">
        <f t="shared" si="18"/>
        <v>337675000</v>
      </c>
      <c r="V133" s="42">
        <f t="shared" si="12"/>
        <v>168837500</v>
      </c>
      <c r="W133" s="22">
        <f t="shared" si="20"/>
        <v>2.994673040439876</v>
      </c>
      <c r="X133" s="22">
        <f t="shared" si="11"/>
        <v>2.994673040439876</v>
      </c>
      <c r="Z133" s="65">
        <f t="shared" si="13"/>
        <v>2.994673040439876</v>
      </c>
    </row>
    <row r="134" spans="1:32" x14ac:dyDescent="0.25">
      <c r="A134" s="232"/>
      <c r="B134" s="314"/>
      <c r="C134" s="314"/>
      <c r="D134" s="348"/>
      <c r="E134" s="349"/>
      <c r="F134" s="349"/>
      <c r="G134" s="349"/>
      <c r="H134" s="318"/>
      <c r="I134" s="319"/>
      <c r="J134" s="312"/>
      <c r="K134" s="377"/>
      <c r="L134" s="43"/>
      <c r="M134" s="43"/>
      <c r="N134" s="43"/>
      <c r="O134" s="337"/>
      <c r="P134" s="337"/>
      <c r="Q134" s="43"/>
      <c r="R134" s="43"/>
      <c r="S134" s="43"/>
      <c r="T134" s="327"/>
      <c r="U134" s="43"/>
      <c r="V134" s="42"/>
      <c r="W134" s="22"/>
      <c r="X134" s="22"/>
      <c r="Z134" s="65"/>
    </row>
    <row r="135" spans="1:32" x14ac:dyDescent="0.25">
      <c r="A135" s="255"/>
      <c r="B135" s="328"/>
      <c r="C135" s="328"/>
      <c r="D135" s="350"/>
      <c r="E135" s="349"/>
      <c r="F135" s="349"/>
      <c r="G135" s="349"/>
      <c r="H135" s="318"/>
      <c r="I135" s="319"/>
      <c r="J135" s="362"/>
      <c r="K135" s="374" t="s">
        <v>225</v>
      </c>
      <c r="L135" s="43">
        <v>11750000</v>
      </c>
      <c r="M135" s="43">
        <v>0</v>
      </c>
      <c r="N135" s="337">
        <f t="shared" si="19"/>
        <v>11750000</v>
      </c>
      <c r="O135" s="43"/>
      <c r="P135" s="43"/>
      <c r="Q135" s="43">
        <v>0</v>
      </c>
      <c r="R135" s="364">
        <v>760000</v>
      </c>
      <c r="S135" s="364">
        <f t="shared" ref="S135:S144" si="23">Q135+R135</f>
        <v>760000</v>
      </c>
      <c r="T135" s="327">
        <f t="shared" ref="T135" si="24">S135/N135*100</f>
        <v>6.4680851063829783</v>
      </c>
      <c r="U135" s="43">
        <f t="shared" si="18"/>
        <v>10990000</v>
      </c>
      <c r="V135" s="42">
        <f t="shared" si="12"/>
        <v>5495000</v>
      </c>
      <c r="W135" s="22"/>
      <c r="X135" s="22">
        <f t="shared" si="11"/>
        <v>0</v>
      </c>
      <c r="Z135" s="22">
        <f t="shared" si="13"/>
        <v>0</v>
      </c>
    </row>
    <row r="136" spans="1:32" x14ac:dyDescent="0.25">
      <c r="A136" s="255"/>
      <c r="B136" s="328"/>
      <c r="C136" s="328"/>
      <c r="D136" s="348"/>
      <c r="E136" s="349"/>
      <c r="F136" s="349"/>
      <c r="G136" s="349"/>
      <c r="H136" s="318"/>
      <c r="I136" s="319"/>
      <c r="J136" s="362"/>
      <c r="K136" s="368"/>
      <c r="L136" s="337"/>
      <c r="M136" s="337"/>
      <c r="N136" s="337"/>
      <c r="O136" s="337"/>
      <c r="P136" s="337"/>
      <c r="Q136" s="337"/>
      <c r="R136" s="363"/>
      <c r="S136" s="363"/>
      <c r="T136" s="327"/>
      <c r="U136" s="43"/>
      <c r="V136" s="42">
        <f t="shared" si="12"/>
        <v>0</v>
      </c>
      <c r="W136" s="22"/>
      <c r="X136" s="22"/>
      <c r="Z136" s="22" t="e">
        <f t="shared" si="13"/>
        <v>#DIV/0!</v>
      </c>
    </row>
    <row r="137" spans="1:32" x14ac:dyDescent="0.25">
      <c r="A137" s="255"/>
      <c r="B137" s="328"/>
      <c r="C137" s="328"/>
      <c r="D137" s="348"/>
      <c r="E137" s="349"/>
      <c r="F137" s="349"/>
      <c r="G137" s="349"/>
      <c r="H137" s="318"/>
      <c r="I137" s="319"/>
      <c r="J137" s="362"/>
      <c r="K137" s="368" t="s">
        <v>226</v>
      </c>
      <c r="L137" s="337">
        <v>895000</v>
      </c>
      <c r="M137" s="337">
        <v>0</v>
      </c>
      <c r="N137" s="337">
        <f t="shared" si="19"/>
        <v>895000</v>
      </c>
      <c r="O137" s="337"/>
      <c r="P137" s="337"/>
      <c r="Q137" s="337">
        <v>0</v>
      </c>
      <c r="R137" s="363">
        <v>0</v>
      </c>
      <c r="S137" s="363">
        <f t="shared" si="23"/>
        <v>0</v>
      </c>
      <c r="T137" s="327"/>
      <c r="U137" s="43">
        <f t="shared" si="18"/>
        <v>895000</v>
      </c>
      <c r="V137" s="42">
        <f t="shared" si="12"/>
        <v>447500</v>
      </c>
      <c r="W137" s="22"/>
      <c r="X137" s="22">
        <f t="shared" si="11"/>
        <v>0</v>
      </c>
      <c r="Z137" s="22">
        <f t="shared" si="13"/>
        <v>0</v>
      </c>
    </row>
    <row r="138" spans="1:32" x14ac:dyDescent="0.25">
      <c r="A138" s="240"/>
      <c r="B138" s="329"/>
      <c r="C138" s="331"/>
      <c r="D138" s="323"/>
      <c r="E138" s="323"/>
      <c r="F138" s="323"/>
      <c r="G138" s="322"/>
      <c r="H138" s="322"/>
      <c r="I138" s="323"/>
      <c r="J138" s="362"/>
      <c r="K138" s="368"/>
      <c r="L138" s="337"/>
      <c r="M138" s="337"/>
      <c r="N138" s="337"/>
      <c r="O138" s="43"/>
      <c r="P138" s="43"/>
      <c r="Q138" s="363"/>
      <c r="R138" s="364"/>
      <c r="S138" s="364"/>
      <c r="T138" s="327"/>
      <c r="U138" s="43"/>
      <c r="V138" s="42">
        <f t="shared" si="12"/>
        <v>0</v>
      </c>
      <c r="W138" s="22"/>
      <c r="X138" s="22"/>
      <c r="Z138" s="22" t="e">
        <f t="shared" si="13"/>
        <v>#DIV/0!</v>
      </c>
    </row>
    <row r="139" spans="1:32" x14ac:dyDescent="0.25">
      <c r="A139" s="240"/>
      <c r="B139" s="329"/>
      <c r="C139" s="331"/>
      <c r="D139" s="350"/>
      <c r="E139" s="351"/>
      <c r="F139" s="351"/>
      <c r="G139" s="351"/>
      <c r="H139" s="318"/>
      <c r="I139" s="319"/>
      <c r="J139" s="362"/>
      <c r="K139" s="369" t="s">
        <v>227</v>
      </c>
      <c r="L139" s="43">
        <f>L140+L141+L142+L144</f>
        <v>355800000</v>
      </c>
      <c r="M139" s="43">
        <f>M140+M141</f>
        <v>0</v>
      </c>
      <c r="N139" s="337">
        <f t="shared" si="19"/>
        <v>355800000</v>
      </c>
      <c r="O139" s="337"/>
      <c r="P139" s="337"/>
      <c r="Q139" s="43">
        <f>Q140+Q141+Q142</f>
        <v>13520000</v>
      </c>
      <c r="R139" s="364">
        <v>76440000</v>
      </c>
      <c r="S139" s="364">
        <f t="shared" si="23"/>
        <v>89960000</v>
      </c>
      <c r="T139" s="327">
        <f t="shared" ref="T139:T141" si="25">S139/N139*100</f>
        <v>25.283867341202921</v>
      </c>
      <c r="U139" s="43">
        <f t="shared" si="18"/>
        <v>265840000</v>
      </c>
      <c r="V139" s="42">
        <f t="shared" si="12"/>
        <v>132920000</v>
      </c>
      <c r="W139" s="22">
        <f t="shared" si="20"/>
        <v>3.7998875772906131</v>
      </c>
      <c r="X139" s="22">
        <f t="shared" si="11"/>
        <v>3.7998875772906131</v>
      </c>
      <c r="Z139" s="65">
        <f t="shared" si="13"/>
        <v>3.7998875772906131</v>
      </c>
    </row>
    <row r="140" spans="1:32" x14ac:dyDescent="0.25">
      <c r="A140" s="240"/>
      <c r="B140" s="329"/>
      <c r="C140" s="331"/>
      <c r="D140" s="323"/>
      <c r="E140" s="323"/>
      <c r="F140" s="323"/>
      <c r="G140" s="322"/>
      <c r="H140" s="322"/>
      <c r="I140" s="323"/>
      <c r="J140" s="362"/>
      <c r="K140" s="375" t="s">
        <v>228</v>
      </c>
      <c r="L140" s="337">
        <v>192000000</v>
      </c>
      <c r="M140" s="337">
        <v>0</v>
      </c>
      <c r="N140" s="337">
        <f t="shared" si="19"/>
        <v>192000000</v>
      </c>
      <c r="O140" s="337"/>
      <c r="P140" s="337"/>
      <c r="Q140" s="376">
        <v>13000000</v>
      </c>
      <c r="R140" s="364">
        <v>61000000</v>
      </c>
      <c r="S140" s="364">
        <f t="shared" si="23"/>
        <v>74000000</v>
      </c>
      <c r="T140" s="327"/>
      <c r="U140" s="43">
        <f t="shared" si="18"/>
        <v>118000000</v>
      </c>
      <c r="V140" s="42">
        <f t="shared" si="12"/>
        <v>59000000</v>
      </c>
      <c r="W140" s="22"/>
      <c r="X140" s="22">
        <f t="shared" si="11"/>
        <v>6.770833333333333</v>
      </c>
      <c r="Z140" s="22">
        <f t="shared" si="13"/>
        <v>6.770833333333333</v>
      </c>
    </row>
    <row r="141" spans="1:32" x14ac:dyDescent="0.25">
      <c r="A141" s="240"/>
      <c r="B141" s="329"/>
      <c r="C141" s="331"/>
      <c r="D141" s="323"/>
      <c r="E141" s="323"/>
      <c r="F141" s="323"/>
      <c r="G141" s="322"/>
      <c r="H141" s="322"/>
      <c r="I141" s="323"/>
      <c r="J141" s="362"/>
      <c r="K141" s="368" t="s">
        <v>229</v>
      </c>
      <c r="L141" s="337">
        <v>56000000</v>
      </c>
      <c r="M141" s="337">
        <v>0</v>
      </c>
      <c r="N141" s="337">
        <f t="shared" si="19"/>
        <v>56000000</v>
      </c>
      <c r="O141" s="337"/>
      <c r="P141" s="337"/>
      <c r="Q141" s="363">
        <v>0</v>
      </c>
      <c r="R141" s="364">
        <v>13000000</v>
      </c>
      <c r="S141" s="364">
        <f t="shared" si="23"/>
        <v>13000000</v>
      </c>
      <c r="T141" s="327">
        <f t="shared" si="25"/>
        <v>23.214285714285715</v>
      </c>
      <c r="U141" s="43">
        <f t="shared" si="18"/>
        <v>43000000</v>
      </c>
      <c r="V141" s="42">
        <f t="shared" si="12"/>
        <v>21500000</v>
      </c>
      <c r="W141" s="22">
        <f t="shared" si="20"/>
        <v>0</v>
      </c>
      <c r="X141" s="22">
        <f t="shared" si="11"/>
        <v>0</v>
      </c>
      <c r="Z141" s="22">
        <f t="shared" si="13"/>
        <v>0</v>
      </c>
    </row>
    <row r="142" spans="1:32" x14ac:dyDescent="0.25">
      <c r="A142" s="240"/>
      <c r="B142" s="329"/>
      <c r="C142" s="331"/>
      <c r="D142" s="323"/>
      <c r="E142" s="323"/>
      <c r="F142" s="323"/>
      <c r="G142" s="322"/>
      <c r="H142" s="322"/>
      <c r="I142" s="323"/>
      <c r="J142" s="362"/>
      <c r="K142" s="368" t="s">
        <v>161</v>
      </c>
      <c r="L142" s="337">
        <v>7800000</v>
      </c>
      <c r="M142" s="337">
        <v>0</v>
      </c>
      <c r="N142" s="337">
        <f t="shared" si="19"/>
        <v>7800000</v>
      </c>
      <c r="O142" s="43"/>
      <c r="P142" s="43"/>
      <c r="Q142" s="363">
        <v>520000</v>
      </c>
      <c r="R142" s="364">
        <v>2440000</v>
      </c>
      <c r="S142" s="364">
        <f>Q142+R142</f>
        <v>2960000</v>
      </c>
      <c r="T142" s="327"/>
      <c r="U142" s="43">
        <f t="shared" si="18"/>
        <v>4840000</v>
      </c>
      <c r="V142" s="42">
        <f t="shared" si="12"/>
        <v>2420000</v>
      </c>
      <c r="W142" s="22"/>
      <c r="X142" s="22">
        <f t="shared" si="11"/>
        <v>6.666666666666667</v>
      </c>
      <c r="Z142" s="22">
        <f t="shared" si="13"/>
        <v>6.666666666666667</v>
      </c>
      <c r="AF142" s="378">
        <f>S139+S135+S152</f>
        <v>125520000</v>
      </c>
    </row>
    <row r="143" spans="1:32" x14ac:dyDescent="0.25">
      <c r="A143" s="240"/>
      <c r="B143" s="329"/>
      <c r="C143" s="331"/>
      <c r="D143" s="323"/>
      <c r="E143" s="323"/>
      <c r="F143" s="323"/>
      <c r="G143" s="322"/>
      <c r="H143" s="322"/>
      <c r="I143" s="323"/>
      <c r="J143" s="362"/>
      <c r="K143" s="368"/>
      <c r="L143" s="337"/>
      <c r="M143" s="337"/>
      <c r="N143" s="337"/>
      <c r="O143" s="43"/>
      <c r="P143" s="43"/>
      <c r="Q143" s="363"/>
      <c r="R143" s="364"/>
      <c r="S143" s="364"/>
      <c r="T143" s="327"/>
      <c r="U143" s="43"/>
      <c r="V143" s="42"/>
      <c r="W143" s="22"/>
      <c r="X143" s="22"/>
      <c r="Z143" s="22"/>
    </row>
    <row r="144" spans="1:32" x14ac:dyDescent="0.25">
      <c r="A144" s="240"/>
      <c r="B144" s="329"/>
      <c r="C144" s="331"/>
      <c r="D144" s="350"/>
      <c r="E144" s="351"/>
      <c r="F144" s="351"/>
      <c r="G144" s="351"/>
      <c r="H144" s="318"/>
      <c r="I144" s="319"/>
      <c r="J144" s="312"/>
      <c r="K144" s="374" t="s">
        <v>230</v>
      </c>
      <c r="L144" s="43">
        <v>100000000</v>
      </c>
      <c r="M144" s="43">
        <v>0</v>
      </c>
      <c r="N144" s="337">
        <f t="shared" si="19"/>
        <v>100000000</v>
      </c>
      <c r="O144" s="337"/>
      <c r="P144" s="337"/>
      <c r="Q144" s="43">
        <v>0</v>
      </c>
      <c r="R144" s="43">
        <v>0</v>
      </c>
      <c r="S144" s="43">
        <f t="shared" si="23"/>
        <v>0</v>
      </c>
      <c r="T144" s="327">
        <f t="shared" ref="T144" si="26">S144/N144*100</f>
        <v>0</v>
      </c>
      <c r="U144" s="43">
        <f t="shared" si="18"/>
        <v>100000000</v>
      </c>
      <c r="V144" s="42">
        <f t="shared" si="12"/>
        <v>50000000</v>
      </c>
      <c r="W144" s="22">
        <f t="shared" si="20"/>
        <v>0</v>
      </c>
      <c r="X144" s="22">
        <f t="shared" si="11"/>
        <v>0</v>
      </c>
      <c r="Z144" s="65">
        <f t="shared" si="13"/>
        <v>0</v>
      </c>
    </row>
    <row r="145" spans="1:31" x14ac:dyDescent="0.25">
      <c r="A145" s="240"/>
      <c r="B145" s="329"/>
      <c r="C145" s="331"/>
      <c r="D145" s="323"/>
      <c r="E145" s="323"/>
      <c r="F145" s="323"/>
      <c r="G145" s="322"/>
      <c r="H145" s="322"/>
      <c r="I145" s="323"/>
      <c r="J145" s="362"/>
      <c r="K145" s="368"/>
      <c r="L145" s="337"/>
      <c r="M145" s="337"/>
      <c r="N145" s="337"/>
      <c r="O145" s="337"/>
      <c r="P145" s="337"/>
      <c r="Q145" s="363"/>
      <c r="R145" s="363"/>
      <c r="S145" s="363"/>
      <c r="T145" s="327"/>
      <c r="U145" s="43"/>
      <c r="V145" s="42">
        <f t="shared" si="12"/>
        <v>0</v>
      </c>
      <c r="W145" s="22"/>
      <c r="X145" s="22"/>
      <c r="Z145" s="22" t="e">
        <f t="shared" si="13"/>
        <v>#DIV/0!</v>
      </c>
    </row>
    <row r="146" spans="1:31" x14ac:dyDescent="0.25">
      <c r="A146" s="240"/>
      <c r="B146" s="329"/>
      <c r="C146" s="331"/>
      <c r="D146" s="323"/>
      <c r="E146" s="323"/>
      <c r="F146" s="323"/>
      <c r="G146" s="322"/>
      <c r="H146" s="322"/>
      <c r="I146" s="323"/>
      <c r="J146" s="362"/>
      <c r="K146" s="375" t="s">
        <v>231</v>
      </c>
      <c r="L146" s="337">
        <f>L148+L150+L152</f>
        <v>98050000</v>
      </c>
      <c r="M146" s="337">
        <f>M148+M150+M152</f>
        <v>0</v>
      </c>
      <c r="N146" s="337">
        <f t="shared" si="19"/>
        <v>98050000</v>
      </c>
      <c r="O146" s="43"/>
      <c r="P146" s="43"/>
      <c r="Q146" s="363">
        <f>Q148+Q150+Q152</f>
        <v>450000</v>
      </c>
      <c r="R146" s="364">
        <v>37650000</v>
      </c>
      <c r="S146" s="364">
        <f t="shared" ref="S146" si="27">Q146+R146</f>
        <v>38100000</v>
      </c>
      <c r="T146" s="327">
        <f t="shared" ref="T146" si="28">S146/N146*100</f>
        <v>38.85772565017848</v>
      </c>
      <c r="U146" s="43">
        <f t="shared" ref="U146:U152" si="29">N146-S146</f>
        <v>59950000</v>
      </c>
      <c r="V146" s="42">
        <f t="shared" si="12"/>
        <v>29975000</v>
      </c>
      <c r="W146" s="22">
        <f t="shared" si="20"/>
        <v>0.45894951555328911</v>
      </c>
      <c r="X146" s="22">
        <f t="shared" si="11"/>
        <v>0.45894951555328911</v>
      </c>
      <c r="Z146" s="22">
        <f t="shared" si="13"/>
        <v>0.45894951555328911</v>
      </c>
    </row>
    <row r="147" spans="1:31" x14ac:dyDescent="0.25">
      <c r="A147" s="240"/>
      <c r="B147" s="329"/>
      <c r="C147" s="331"/>
      <c r="D147" s="323"/>
      <c r="E147" s="323"/>
      <c r="F147" s="323"/>
      <c r="G147" s="322"/>
      <c r="H147" s="322"/>
      <c r="I147" s="323"/>
      <c r="J147" s="362"/>
      <c r="K147" s="368"/>
      <c r="L147" s="337"/>
      <c r="M147" s="337"/>
      <c r="N147" s="337"/>
      <c r="O147" s="43"/>
      <c r="P147" s="43"/>
      <c r="Q147" s="363"/>
      <c r="R147" s="364"/>
      <c r="S147" s="364"/>
      <c r="T147" s="327"/>
      <c r="U147" s="43"/>
      <c r="V147" s="42">
        <f t="shared" si="12"/>
        <v>0</v>
      </c>
      <c r="W147" s="22"/>
      <c r="X147" s="22"/>
      <c r="Z147" s="22" t="e">
        <f t="shared" si="13"/>
        <v>#DIV/0!</v>
      </c>
    </row>
    <row r="148" spans="1:31" x14ac:dyDescent="0.25">
      <c r="A148" s="240"/>
      <c r="B148" s="329"/>
      <c r="C148" s="331"/>
      <c r="D148" s="341"/>
      <c r="E148" s="339"/>
      <c r="F148" s="339"/>
      <c r="G148" s="329"/>
      <c r="H148" s="329"/>
      <c r="I148" s="339"/>
      <c r="J148" s="370"/>
      <c r="K148" s="369" t="s">
        <v>232</v>
      </c>
      <c r="L148" s="43">
        <v>5000000</v>
      </c>
      <c r="M148" s="43">
        <v>0</v>
      </c>
      <c r="N148" s="337">
        <f t="shared" si="19"/>
        <v>5000000</v>
      </c>
      <c r="O148" s="43"/>
      <c r="P148" s="43"/>
      <c r="Q148" s="364">
        <v>0</v>
      </c>
      <c r="R148" s="364">
        <v>1350000</v>
      </c>
      <c r="S148" s="364">
        <f t="shared" ref="S148:S152" si="30">Q148+R148</f>
        <v>1350000</v>
      </c>
      <c r="T148" s="327"/>
      <c r="U148" s="43">
        <f t="shared" si="29"/>
        <v>3650000</v>
      </c>
      <c r="V148" s="42">
        <f t="shared" si="12"/>
        <v>1825000</v>
      </c>
      <c r="W148" s="22">
        <f t="shared" si="20"/>
        <v>0</v>
      </c>
      <c r="X148" s="22">
        <f t="shared" si="11"/>
        <v>0</v>
      </c>
      <c r="Z148" s="22">
        <f t="shared" si="13"/>
        <v>0</v>
      </c>
    </row>
    <row r="149" spans="1:31" x14ac:dyDescent="0.25">
      <c r="A149" s="240"/>
      <c r="B149" s="329"/>
      <c r="C149" s="331"/>
      <c r="D149" s="323"/>
      <c r="E149" s="323"/>
      <c r="F149" s="323"/>
      <c r="G149" s="322"/>
      <c r="H149" s="322"/>
      <c r="I149" s="323"/>
      <c r="J149" s="362"/>
      <c r="K149" s="375"/>
      <c r="L149" s="337"/>
      <c r="M149" s="337"/>
      <c r="N149" s="337"/>
      <c r="O149" s="43"/>
      <c r="P149" s="43"/>
      <c r="Q149" s="363"/>
      <c r="R149" s="364"/>
      <c r="S149" s="364"/>
      <c r="T149" s="327"/>
      <c r="U149" s="43"/>
      <c r="V149" s="42">
        <f t="shared" si="12"/>
        <v>0</v>
      </c>
      <c r="W149" s="22" t="e">
        <f t="shared" si="20"/>
        <v>#DIV/0!</v>
      </c>
      <c r="X149" s="22"/>
      <c r="Z149" s="22" t="e">
        <f t="shared" si="13"/>
        <v>#DIV/0!</v>
      </c>
    </row>
    <row r="150" spans="1:31" x14ac:dyDescent="0.25">
      <c r="A150" s="240"/>
      <c r="B150" s="329"/>
      <c r="C150" s="331"/>
      <c r="D150" s="323"/>
      <c r="E150" s="323"/>
      <c r="F150" s="323"/>
      <c r="G150" s="322"/>
      <c r="H150" s="322"/>
      <c r="I150" s="323"/>
      <c r="J150" s="362"/>
      <c r="K150" s="375" t="s">
        <v>233</v>
      </c>
      <c r="L150" s="337">
        <v>13050000</v>
      </c>
      <c r="M150" s="337">
        <v>0</v>
      </c>
      <c r="N150" s="337">
        <f t="shared" si="19"/>
        <v>13050000</v>
      </c>
      <c r="O150" s="43"/>
      <c r="P150" s="43"/>
      <c r="Q150" s="363">
        <v>450000</v>
      </c>
      <c r="R150" s="364">
        <v>1500000</v>
      </c>
      <c r="S150" s="364">
        <f t="shared" si="30"/>
        <v>1950000</v>
      </c>
      <c r="T150" s="327">
        <f t="shared" ref="T150:T152" si="31">S150/N150*100</f>
        <v>14.942528735632186</v>
      </c>
      <c r="U150" s="43">
        <f t="shared" si="29"/>
        <v>11100000</v>
      </c>
      <c r="V150" s="42">
        <f t="shared" si="12"/>
        <v>5550000</v>
      </c>
      <c r="W150" s="22">
        <f t="shared" si="20"/>
        <v>3.4482758620689653</v>
      </c>
      <c r="X150" s="22">
        <f t="shared" si="11"/>
        <v>3.4482758620689653</v>
      </c>
      <c r="Z150" s="22">
        <f t="shared" si="13"/>
        <v>3.4482758620689653</v>
      </c>
    </row>
    <row r="151" spans="1:31" x14ac:dyDescent="0.25">
      <c r="A151" s="240"/>
      <c r="B151" s="329"/>
      <c r="C151" s="331"/>
      <c r="D151" s="323"/>
      <c r="E151" s="323"/>
      <c r="F151" s="323"/>
      <c r="G151" s="322"/>
      <c r="H151" s="322"/>
      <c r="I151" s="323"/>
      <c r="J151" s="362"/>
      <c r="K151" s="375"/>
      <c r="L151" s="337"/>
      <c r="M151" s="337"/>
      <c r="N151" s="337"/>
      <c r="O151" s="43"/>
      <c r="P151" s="43"/>
      <c r="Q151" s="363"/>
      <c r="R151" s="363"/>
      <c r="S151" s="363"/>
      <c r="T151" s="327"/>
      <c r="U151" s="43"/>
      <c r="V151" s="42"/>
      <c r="W151" s="22"/>
      <c r="X151" s="22"/>
      <c r="Z151" s="22" t="e">
        <f t="shared" si="13"/>
        <v>#DIV/0!</v>
      </c>
    </row>
    <row r="152" spans="1:31" x14ac:dyDescent="0.25">
      <c r="A152" s="240"/>
      <c r="B152" s="329"/>
      <c r="C152" s="331"/>
      <c r="D152" s="323"/>
      <c r="E152" s="323"/>
      <c r="F152" s="323"/>
      <c r="G152" s="322"/>
      <c r="H152" s="322"/>
      <c r="I152" s="323"/>
      <c r="J152" s="362"/>
      <c r="K152" s="375" t="s">
        <v>234</v>
      </c>
      <c r="L152" s="337">
        <v>80000000</v>
      </c>
      <c r="M152" s="337">
        <v>0</v>
      </c>
      <c r="N152" s="337">
        <f t="shared" si="19"/>
        <v>80000000</v>
      </c>
      <c r="O152" s="43"/>
      <c r="P152" s="43"/>
      <c r="Q152" s="363">
        <v>0</v>
      </c>
      <c r="R152" s="363">
        <v>34800000</v>
      </c>
      <c r="S152" s="364">
        <f t="shared" si="30"/>
        <v>34800000</v>
      </c>
      <c r="T152" s="327">
        <f t="shared" si="31"/>
        <v>43.5</v>
      </c>
      <c r="U152" s="43">
        <f t="shared" si="29"/>
        <v>45200000</v>
      </c>
      <c r="V152" s="42"/>
      <c r="W152" s="22"/>
      <c r="X152" s="22">
        <f t="shared" si="11"/>
        <v>0</v>
      </c>
      <c r="Z152" s="22">
        <f t="shared" si="13"/>
        <v>0</v>
      </c>
    </row>
    <row r="153" spans="1:31" x14ac:dyDescent="0.25">
      <c r="A153" s="240"/>
      <c r="B153" s="329"/>
      <c r="C153" s="331"/>
      <c r="D153" s="323"/>
      <c r="E153" s="323"/>
      <c r="F153" s="323"/>
      <c r="G153" s="322"/>
      <c r="H153" s="322"/>
      <c r="I153" s="323"/>
      <c r="J153" s="324"/>
      <c r="K153" s="334"/>
      <c r="L153" s="332"/>
      <c r="M153" s="332"/>
      <c r="N153" s="335"/>
      <c r="O153" s="326"/>
      <c r="P153" s="326"/>
      <c r="Q153" s="325"/>
      <c r="R153" s="141"/>
      <c r="S153" s="141"/>
      <c r="T153" s="327"/>
      <c r="U153" s="43"/>
      <c r="V153" s="42">
        <f t="shared" si="12"/>
        <v>0</v>
      </c>
      <c r="W153" s="22"/>
      <c r="X153" s="22"/>
      <c r="Z153" s="22" t="e">
        <f t="shared" si="13"/>
        <v>#DIV/0!</v>
      </c>
    </row>
    <row r="154" spans="1:31" x14ac:dyDescent="0.25">
      <c r="A154" s="425"/>
      <c r="B154" s="426"/>
      <c r="C154" s="427"/>
      <c r="D154" s="428"/>
      <c r="E154" s="428"/>
      <c r="F154" s="428"/>
      <c r="G154" s="429"/>
      <c r="H154" s="429"/>
      <c r="I154" s="428"/>
      <c r="J154" s="356"/>
      <c r="K154" s="357"/>
      <c r="L154" s="358">
        <f>L12+L118</f>
        <v>2184252000</v>
      </c>
      <c r="M154" s="358">
        <f>M12+M118</f>
        <v>0</v>
      </c>
      <c r="N154" s="358">
        <f>N118+N12</f>
        <v>2184252000</v>
      </c>
      <c r="O154" s="359"/>
      <c r="P154" s="359"/>
      <c r="Q154" s="358">
        <f>Q12+Q118</f>
        <v>128786540</v>
      </c>
      <c r="R154" s="358">
        <f>R12+R118</f>
        <v>730629121</v>
      </c>
      <c r="S154" s="358">
        <f>S12+S118</f>
        <v>859415661</v>
      </c>
      <c r="T154" s="360">
        <f>S154/N154*100</f>
        <v>39.345994006186096</v>
      </c>
      <c r="U154" s="358">
        <f>N154-S154</f>
        <v>1324836339</v>
      </c>
      <c r="V154" s="42">
        <f t="shared" si="12"/>
        <v>662418169.5</v>
      </c>
      <c r="W154" s="22">
        <f t="shared" si="20"/>
        <v>5.8961392733072922</v>
      </c>
      <c r="X154" s="22">
        <f t="shared" si="11"/>
        <v>5.8961392733072922</v>
      </c>
    </row>
    <row r="155" spans="1:31" x14ac:dyDescent="0.25">
      <c r="A155" s="155"/>
      <c r="B155" s="156"/>
      <c r="C155" s="157"/>
      <c r="D155" s="158"/>
      <c r="E155" s="158"/>
      <c r="F155" s="158"/>
      <c r="G155" s="159"/>
      <c r="H155" s="159"/>
      <c r="I155" s="158"/>
      <c r="J155" s="160"/>
      <c r="K155" s="161"/>
      <c r="L155" s="162"/>
      <c r="M155" s="162"/>
      <c r="N155" s="162"/>
      <c r="O155" s="163"/>
      <c r="P155" s="163"/>
      <c r="Q155" s="162"/>
      <c r="R155" s="164"/>
      <c r="S155" s="165"/>
      <c r="T155" s="166"/>
      <c r="W155" s="166"/>
      <c r="X155" s="166"/>
      <c r="AE155" s="1">
        <f>816-756</f>
        <v>60</v>
      </c>
    </row>
    <row r="156" spans="1:31" ht="9" customHeight="1" x14ac:dyDescent="0.25">
      <c r="A156" s="167"/>
      <c r="B156" s="167"/>
      <c r="C156" s="168"/>
      <c r="D156" s="169"/>
      <c r="E156" s="169"/>
      <c r="F156" s="169"/>
      <c r="G156" s="170"/>
      <c r="H156" s="170"/>
      <c r="I156" s="169"/>
      <c r="J156" s="171"/>
      <c r="K156" s="171"/>
      <c r="L156" s="172"/>
      <c r="M156" s="172"/>
      <c r="N156" s="172"/>
      <c r="O156" s="162"/>
      <c r="P156" s="162"/>
      <c r="Q156" s="173"/>
      <c r="R156" s="174"/>
      <c r="S156" s="173"/>
      <c r="T156" s="175"/>
      <c r="W156" s="175"/>
      <c r="X156" s="175"/>
    </row>
    <row r="157" spans="1:31" hidden="1" x14ac:dyDescent="0.25">
      <c r="A157" s="167"/>
      <c r="B157" s="167"/>
      <c r="C157" s="168"/>
      <c r="D157" s="169"/>
      <c r="E157" s="169"/>
      <c r="F157" s="169"/>
      <c r="G157" s="170"/>
      <c r="H157" s="170"/>
      <c r="I157" s="169"/>
      <c r="J157" s="171"/>
      <c r="K157" s="171"/>
      <c r="L157" s="172"/>
      <c r="M157" s="172"/>
      <c r="N157" s="172"/>
      <c r="O157" s="162"/>
      <c r="P157" s="162"/>
      <c r="Q157" s="173"/>
      <c r="R157" s="174"/>
      <c r="S157" s="173"/>
      <c r="T157" s="175"/>
      <c r="W157" s="175"/>
      <c r="X157" s="175"/>
    </row>
    <row r="158" spans="1:31" hidden="1" x14ac:dyDescent="0.25">
      <c r="A158" s="497"/>
      <c r="B158" s="497"/>
      <c r="C158" s="497"/>
      <c r="D158" s="497"/>
      <c r="E158" s="497"/>
      <c r="F158" s="497"/>
      <c r="G158" s="497"/>
      <c r="H158" s="497"/>
      <c r="I158" s="497"/>
      <c r="J158" s="497"/>
      <c r="K158" s="176"/>
      <c r="L158" s="176"/>
      <c r="M158" s="380"/>
      <c r="N158" s="380"/>
      <c r="O158" s="162"/>
      <c r="P158" s="162"/>
      <c r="Q158" s="178"/>
      <c r="R158" s="179"/>
      <c r="S158" s="179"/>
      <c r="T158" s="180"/>
      <c r="W158" s="180"/>
      <c r="X158" s="180"/>
    </row>
    <row r="159" spans="1:31" x14ac:dyDescent="0.25">
      <c r="A159" s="176"/>
      <c r="B159" s="176"/>
      <c r="C159" s="176"/>
      <c r="D159" s="495" t="s">
        <v>168</v>
      </c>
      <c r="E159" s="495"/>
      <c r="F159" s="495"/>
      <c r="G159" s="495"/>
      <c r="H159" s="495"/>
      <c r="I159" s="495"/>
      <c r="J159" s="495"/>
      <c r="K159" s="495"/>
      <c r="L159" s="495"/>
      <c r="M159" s="380"/>
      <c r="N159" s="380"/>
      <c r="O159" s="163"/>
      <c r="P159" s="163"/>
      <c r="Q159" s="181"/>
      <c r="R159" s="498"/>
      <c r="S159" s="498"/>
      <c r="T159" s="498"/>
    </row>
    <row r="160" spans="1:31" x14ac:dyDescent="0.25">
      <c r="A160" s="495" t="s">
        <v>280</v>
      </c>
      <c r="B160" s="495"/>
      <c r="C160" s="495"/>
      <c r="D160" s="495"/>
      <c r="E160" s="495"/>
      <c r="F160" s="495"/>
      <c r="G160" s="495"/>
      <c r="H160" s="495"/>
      <c r="I160" s="495"/>
      <c r="J160" s="495"/>
      <c r="K160" s="380" t="s">
        <v>170</v>
      </c>
      <c r="L160" s="176"/>
      <c r="N160" s="496" t="s">
        <v>171</v>
      </c>
      <c r="O160" s="496"/>
      <c r="P160" s="496"/>
      <c r="Q160" s="496"/>
      <c r="R160" s="496" t="s">
        <v>172</v>
      </c>
      <c r="S160" s="496"/>
      <c r="T160" s="496"/>
      <c r="U160" s="496"/>
      <c r="W160" s="182"/>
      <c r="X160" s="182"/>
    </row>
    <row r="161" spans="1:24" x14ac:dyDescent="0.25">
      <c r="A161" s="495" t="s">
        <v>281</v>
      </c>
      <c r="B161" s="495"/>
      <c r="C161" s="495"/>
      <c r="D161" s="495"/>
      <c r="E161" s="495"/>
      <c r="F161" s="495"/>
      <c r="G161" s="495"/>
      <c r="H161" s="495"/>
      <c r="I161" s="495"/>
      <c r="J161" s="495"/>
      <c r="K161" s="380" t="s">
        <v>174</v>
      </c>
      <c r="L161" s="176"/>
      <c r="N161" s="496" t="s">
        <v>174</v>
      </c>
      <c r="O161" s="496"/>
      <c r="P161" s="496"/>
      <c r="Q161" s="496"/>
      <c r="R161" s="495" t="s">
        <v>175</v>
      </c>
      <c r="S161" s="495"/>
      <c r="T161" s="495"/>
      <c r="U161" s="495"/>
      <c r="W161" s="176"/>
      <c r="X161" s="176"/>
    </row>
    <row r="162" spans="1:24" x14ac:dyDescent="0.25">
      <c r="A162" s="495" t="s">
        <v>173</v>
      </c>
      <c r="B162" s="495"/>
      <c r="C162" s="495"/>
      <c r="D162" s="495"/>
      <c r="E162" s="495"/>
      <c r="F162" s="495"/>
      <c r="G162" s="495"/>
      <c r="H162" s="495"/>
      <c r="I162" s="495"/>
      <c r="J162" s="495"/>
      <c r="K162" s="380"/>
      <c r="L162" s="380"/>
      <c r="N162" s="183"/>
      <c r="O162" s="382"/>
      <c r="P162" s="382"/>
      <c r="Q162" s="382"/>
      <c r="R162" s="185"/>
      <c r="S162" s="185"/>
      <c r="T162" s="185"/>
      <c r="W162" s="185"/>
      <c r="X162" s="185"/>
    </row>
    <row r="163" spans="1:24" x14ac:dyDescent="0.25">
      <c r="A163" s="380"/>
      <c r="B163" s="380"/>
      <c r="C163" s="380"/>
      <c r="D163" s="380"/>
      <c r="E163" s="380"/>
      <c r="F163" s="380"/>
      <c r="G163" s="380"/>
      <c r="H163" s="380"/>
      <c r="I163" s="380"/>
      <c r="J163" s="380"/>
      <c r="K163" s="380"/>
      <c r="L163" s="380"/>
      <c r="N163" s="183"/>
      <c r="O163" s="382"/>
      <c r="P163" s="382"/>
      <c r="Q163" s="382"/>
      <c r="R163" s="185"/>
      <c r="S163" s="185"/>
      <c r="T163" s="185"/>
      <c r="W163" s="185"/>
      <c r="X163" s="185"/>
    </row>
    <row r="164" spans="1:24" x14ac:dyDescent="0.25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380"/>
      <c r="L164" s="380"/>
      <c r="N164" s="164"/>
      <c r="O164" s="186"/>
      <c r="P164" s="186"/>
      <c r="Q164" s="186"/>
      <c r="R164" s="185"/>
      <c r="S164" s="185"/>
      <c r="T164" s="185"/>
      <c r="W164" s="185"/>
      <c r="X164" s="185"/>
    </row>
    <row r="165" spans="1:24" x14ac:dyDescent="0.25">
      <c r="A165" s="499"/>
      <c r="B165" s="499"/>
      <c r="C165" s="499"/>
      <c r="D165" s="499"/>
      <c r="E165" s="499"/>
      <c r="F165" s="499"/>
      <c r="G165" s="499"/>
      <c r="H165" s="499"/>
      <c r="I165" s="499"/>
      <c r="J165" s="499"/>
      <c r="K165" s="380"/>
      <c r="L165" s="176"/>
      <c r="N165" s="183"/>
      <c r="O165" s="187"/>
      <c r="P165" s="186"/>
      <c r="Q165" s="186"/>
      <c r="R165" s="186"/>
      <c r="S165" s="186"/>
      <c r="T165" s="186"/>
      <c r="W165" s="186"/>
      <c r="X165" s="186"/>
    </row>
    <row r="166" spans="1:24" x14ac:dyDescent="0.25">
      <c r="A166" s="499" t="s">
        <v>282</v>
      </c>
      <c r="B166" s="499"/>
      <c r="C166" s="499"/>
      <c r="D166" s="499"/>
      <c r="E166" s="499"/>
      <c r="F166" s="499"/>
      <c r="G166" s="499"/>
      <c r="H166" s="499"/>
      <c r="I166" s="499"/>
      <c r="J166" s="499"/>
      <c r="K166" s="381" t="s">
        <v>177</v>
      </c>
      <c r="L166" s="189"/>
      <c r="N166" s="500" t="s">
        <v>178</v>
      </c>
      <c r="O166" s="500"/>
      <c r="P166" s="500"/>
      <c r="Q166" s="500"/>
      <c r="R166" s="501" t="s">
        <v>179</v>
      </c>
      <c r="S166" s="501"/>
      <c r="T166" s="501"/>
      <c r="U166" s="501"/>
    </row>
    <row r="167" spans="1:24" x14ac:dyDescent="0.25">
      <c r="A167" s="502" t="s">
        <v>283</v>
      </c>
      <c r="B167" s="502"/>
      <c r="C167" s="502"/>
      <c r="D167" s="502"/>
      <c r="E167" s="502"/>
      <c r="F167" s="502"/>
      <c r="G167" s="502"/>
      <c r="H167" s="502"/>
      <c r="I167" s="502"/>
      <c r="J167" s="502"/>
      <c r="K167" s="380" t="s">
        <v>181</v>
      </c>
      <c r="L167" s="176"/>
      <c r="N167" s="503" t="s">
        <v>182</v>
      </c>
      <c r="O167" s="503"/>
      <c r="P167" s="503"/>
      <c r="Q167" s="503"/>
      <c r="R167" s="504" t="s">
        <v>183</v>
      </c>
      <c r="S167" s="504"/>
      <c r="T167" s="504"/>
      <c r="U167" s="504"/>
    </row>
    <row r="168" spans="1:24" x14ac:dyDescent="0.25">
      <c r="A168" s="190"/>
      <c r="B168" s="190"/>
      <c r="C168" s="190"/>
      <c r="D168" s="495"/>
      <c r="E168" s="495"/>
      <c r="F168" s="495"/>
      <c r="G168" s="495"/>
      <c r="H168" s="495"/>
      <c r="I168" s="190"/>
      <c r="J168" s="190"/>
      <c r="K168" s="190"/>
      <c r="L168" s="190"/>
      <c r="M168" s="190"/>
      <c r="N168" s="190"/>
      <c r="O168" s="163"/>
      <c r="P168" s="163"/>
      <c r="Q168" s="191"/>
      <c r="R168" s="191"/>
      <c r="S168" s="191"/>
      <c r="T168" s="191"/>
      <c r="W168" s="191"/>
      <c r="X168" s="191"/>
    </row>
    <row r="169" spans="1:24" x14ac:dyDescent="0.25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63"/>
      <c r="P169" s="163"/>
      <c r="Q169" s="191"/>
      <c r="R169" s="191"/>
      <c r="S169" s="191"/>
      <c r="T169" s="191"/>
      <c r="W169" s="191"/>
      <c r="X169" s="191"/>
    </row>
    <row r="170" spans="1:24" x14ac:dyDescent="0.25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62"/>
      <c r="P170" s="162"/>
      <c r="Q170" s="191"/>
      <c r="R170" s="191"/>
      <c r="S170" s="191"/>
      <c r="T170" s="191"/>
      <c r="W170" s="191"/>
      <c r="X170" s="191"/>
    </row>
    <row r="171" spans="1:24" x14ac:dyDescent="0.25">
      <c r="A171" s="190"/>
      <c r="B171" s="190"/>
      <c r="C171" s="190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90"/>
      <c r="O171" s="163"/>
      <c r="P171" s="163"/>
      <c r="Q171" s="191"/>
      <c r="R171" s="191"/>
      <c r="S171" s="191"/>
      <c r="T171" s="191"/>
      <c r="W171" s="191"/>
      <c r="X171" s="191"/>
    </row>
    <row r="172" spans="1:24" x14ac:dyDescent="0.25">
      <c r="A172" s="190"/>
      <c r="B172" s="190"/>
      <c r="C172" s="190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0"/>
      <c r="O172" s="163"/>
      <c r="P172" s="163"/>
      <c r="Q172" s="191"/>
      <c r="R172" s="191"/>
      <c r="S172" s="191"/>
      <c r="T172" s="191"/>
      <c r="W172" s="191"/>
      <c r="X172" s="191"/>
    </row>
    <row r="173" spans="1:24" x14ac:dyDescent="0.25">
      <c r="A173" s="190"/>
      <c r="B173" s="190"/>
      <c r="C173" s="190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90"/>
      <c r="O173" s="163"/>
      <c r="P173" s="163"/>
      <c r="Q173" s="191"/>
      <c r="R173" s="191"/>
      <c r="S173" s="191"/>
      <c r="T173" s="191"/>
      <c r="U173" s="1"/>
      <c r="W173" s="191"/>
      <c r="X173" s="191"/>
    </row>
    <row r="174" spans="1:24" x14ac:dyDescent="0.25">
      <c r="A174" s="190"/>
      <c r="B174" s="190"/>
      <c r="C174" s="190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90"/>
      <c r="O174" s="162"/>
      <c r="P174" s="162"/>
      <c r="Q174" s="191"/>
      <c r="R174" s="191"/>
      <c r="S174" s="191"/>
      <c r="T174" s="191"/>
      <c r="U174" s="1"/>
      <c r="W174" s="191"/>
      <c r="X174" s="191"/>
    </row>
    <row r="175" spans="1:24" x14ac:dyDescent="0.25">
      <c r="A175" s="190"/>
      <c r="B175" s="190"/>
      <c r="C175" s="190"/>
      <c r="D175" s="380"/>
      <c r="E175" s="380"/>
      <c r="F175" s="380"/>
      <c r="G175" s="380"/>
      <c r="H175" s="380"/>
      <c r="I175" s="380"/>
      <c r="J175" s="380"/>
      <c r="K175" s="380"/>
      <c r="L175" s="380"/>
      <c r="M175" s="380"/>
      <c r="N175" s="190"/>
      <c r="O175" s="163"/>
      <c r="P175" s="163"/>
      <c r="Q175" s="191"/>
      <c r="R175" s="191"/>
      <c r="S175" s="191"/>
      <c r="T175" s="191"/>
      <c r="U175" s="1"/>
      <c r="W175" s="191"/>
      <c r="X175" s="191"/>
    </row>
    <row r="176" spans="1:24" x14ac:dyDescent="0.25">
      <c r="A176" s="190"/>
      <c r="B176" s="190"/>
      <c r="C176" s="190"/>
      <c r="D176" s="380"/>
      <c r="E176" s="380"/>
      <c r="F176" s="380"/>
      <c r="G176" s="380"/>
      <c r="H176" s="380"/>
      <c r="I176" s="380"/>
      <c r="J176" s="380"/>
      <c r="K176" s="380"/>
      <c r="L176" s="380"/>
      <c r="M176" s="380"/>
      <c r="N176" s="190"/>
      <c r="O176" s="163"/>
      <c r="P176" s="163"/>
      <c r="Q176" s="191"/>
      <c r="R176" s="191"/>
      <c r="S176" s="191"/>
      <c r="T176" s="191"/>
      <c r="U176" s="1"/>
      <c r="W176" s="191"/>
      <c r="X176" s="191"/>
    </row>
    <row r="177" spans="1:24" x14ac:dyDescent="0.25">
      <c r="A177" s="190"/>
      <c r="B177" s="190"/>
      <c r="C177" s="190"/>
      <c r="D177" s="380"/>
      <c r="E177" s="380"/>
      <c r="F177" s="380"/>
      <c r="G177" s="380"/>
      <c r="H177" s="380"/>
      <c r="I177" s="380"/>
      <c r="J177" s="380"/>
      <c r="K177" s="380"/>
      <c r="L177" s="380"/>
      <c r="M177" s="380"/>
      <c r="N177" s="190"/>
      <c r="O177" s="162"/>
      <c r="P177" s="162"/>
      <c r="Q177" s="191"/>
      <c r="R177" s="191"/>
      <c r="S177" s="191"/>
      <c r="T177" s="191"/>
      <c r="U177" s="1"/>
      <c r="W177" s="191"/>
      <c r="X177" s="191"/>
    </row>
    <row r="178" spans="1:24" x14ac:dyDescent="0.25">
      <c r="A178" s="190"/>
      <c r="B178" s="190"/>
      <c r="C178" s="190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90"/>
      <c r="O178" s="172"/>
      <c r="P178" s="172"/>
      <c r="Q178" s="191"/>
      <c r="R178" s="191"/>
      <c r="S178" s="191"/>
      <c r="T178" s="191"/>
      <c r="U178" s="1"/>
      <c r="W178" s="191"/>
      <c r="X178" s="191"/>
    </row>
    <row r="179" spans="1:24" x14ac:dyDescent="0.25">
      <c r="A179" s="193"/>
      <c r="B179" s="193"/>
      <c r="C179" s="193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O179" s="194"/>
      <c r="P179" s="194"/>
      <c r="Q179" s="195"/>
      <c r="R179" s="195"/>
      <c r="S179" s="195"/>
      <c r="T179" s="195"/>
      <c r="U179" s="1"/>
      <c r="W179" s="195"/>
      <c r="X179" s="195"/>
    </row>
    <row r="180" spans="1:24" x14ac:dyDescent="0.25"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O180" s="380"/>
      <c r="P180" s="380"/>
      <c r="Q180" s="195"/>
      <c r="R180" s="195"/>
      <c r="S180" s="195"/>
      <c r="T180" s="195"/>
      <c r="U180" s="1"/>
      <c r="W180" s="195"/>
      <c r="X180" s="195"/>
    </row>
    <row r="181" spans="1:24" x14ac:dyDescent="0.25">
      <c r="O181" s="380"/>
      <c r="P181" s="380"/>
      <c r="Q181" s="195"/>
      <c r="R181" s="195"/>
      <c r="S181" s="195"/>
      <c r="T181" s="195"/>
      <c r="U181" s="1"/>
      <c r="W181" s="195"/>
      <c r="X181" s="195"/>
    </row>
    <row r="182" spans="1:24" x14ac:dyDescent="0.25">
      <c r="O182" s="380"/>
      <c r="P182" s="380"/>
      <c r="Q182" s="195"/>
      <c r="R182" s="195"/>
      <c r="S182" s="195"/>
      <c r="T182" s="195"/>
      <c r="U182" s="1"/>
      <c r="W182" s="195"/>
      <c r="X182" s="195"/>
    </row>
    <row r="183" spans="1:24" x14ac:dyDescent="0.25">
      <c r="O183" s="380"/>
      <c r="P183" s="380"/>
      <c r="Q183" s="195"/>
      <c r="R183" s="195"/>
      <c r="S183" s="195"/>
      <c r="T183" s="195"/>
      <c r="U183" s="1"/>
      <c r="W183" s="195"/>
      <c r="X183" s="195"/>
    </row>
    <row r="184" spans="1:24" x14ac:dyDescent="0.25">
      <c r="O184" s="380"/>
      <c r="P184" s="380"/>
      <c r="Q184" s="195"/>
      <c r="R184" s="195"/>
      <c r="S184" s="195"/>
      <c r="T184" s="195"/>
      <c r="U184" s="1"/>
      <c r="W184" s="195"/>
      <c r="X184" s="195"/>
    </row>
    <row r="185" spans="1:24" x14ac:dyDescent="0.25">
      <c r="O185" s="380"/>
      <c r="P185" s="380"/>
      <c r="Q185" s="195"/>
      <c r="R185" s="195"/>
      <c r="S185" s="195"/>
      <c r="T185" s="195"/>
      <c r="U185" s="1"/>
      <c r="W185" s="195"/>
      <c r="X185" s="195"/>
    </row>
    <row r="186" spans="1:24" x14ac:dyDescent="0.25">
      <c r="O186" s="381"/>
      <c r="P186" s="381"/>
      <c r="Q186" s="195"/>
      <c r="R186" s="195"/>
      <c r="S186" s="195"/>
      <c r="T186" s="195"/>
      <c r="U186" s="1"/>
      <c r="W186" s="195"/>
      <c r="X186" s="195"/>
    </row>
    <row r="187" spans="1:24" x14ac:dyDescent="0.25">
      <c r="O187" s="380"/>
      <c r="P187" s="380"/>
      <c r="Q187" s="195"/>
      <c r="R187" s="195"/>
      <c r="S187" s="195"/>
      <c r="T187" s="195"/>
      <c r="U187" s="1"/>
      <c r="W187" s="195"/>
      <c r="X187" s="195"/>
    </row>
    <row r="188" spans="1:24" x14ac:dyDescent="0.25">
      <c r="O188" s="190"/>
      <c r="P188" s="190"/>
      <c r="Q188" s="195"/>
      <c r="R188" s="195"/>
      <c r="S188" s="195"/>
      <c r="T188" s="195"/>
      <c r="U188" s="1"/>
      <c r="W188" s="195"/>
      <c r="X188" s="195"/>
    </row>
    <row r="189" spans="1:24" x14ac:dyDescent="0.25">
      <c r="O189" s="190"/>
      <c r="P189" s="190"/>
      <c r="Q189" s="195"/>
      <c r="R189" s="195"/>
      <c r="S189" s="195"/>
      <c r="T189" s="195"/>
      <c r="U189" s="1"/>
      <c r="W189" s="195"/>
      <c r="X189" s="195"/>
    </row>
    <row r="190" spans="1:24" x14ac:dyDescent="0.25">
      <c r="O190" s="190"/>
      <c r="P190" s="190"/>
      <c r="Q190" s="195"/>
      <c r="R190" s="195"/>
      <c r="S190" s="195"/>
      <c r="T190" s="195"/>
      <c r="U190" s="1"/>
      <c r="W190" s="195"/>
      <c r="X190" s="195"/>
    </row>
    <row r="191" spans="1:24" x14ac:dyDescent="0.25">
      <c r="O191" s="190"/>
      <c r="P191" s="190"/>
      <c r="Q191" s="195"/>
      <c r="R191" s="195"/>
      <c r="S191" s="195"/>
      <c r="T191" s="195"/>
      <c r="U191" s="1"/>
      <c r="W191" s="195"/>
      <c r="X191" s="195"/>
    </row>
    <row r="192" spans="1:24" x14ac:dyDescent="0.25">
      <c r="O192" s="190"/>
      <c r="P192" s="190"/>
      <c r="Q192" s="195"/>
      <c r="R192" s="195"/>
      <c r="S192" s="195"/>
      <c r="T192" s="195"/>
      <c r="U192" s="1"/>
      <c r="W192" s="195"/>
      <c r="X192" s="195"/>
    </row>
    <row r="193" spans="15:24" x14ac:dyDescent="0.25">
      <c r="O193" s="190"/>
      <c r="P193" s="190"/>
      <c r="Q193" s="195"/>
      <c r="R193" s="195"/>
      <c r="S193" s="195"/>
      <c r="T193" s="195"/>
      <c r="U193" s="1"/>
      <c r="W193" s="195"/>
      <c r="X193" s="195"/>
    </row>
    <row r="194" spans="15:24" x14ac:dyDescent="0.25">
      <c r="O194" s="190"/>
      <c r="P194" s="190"/>
      <c r="Q194" s="195"/>
      <c r="R194" s="195"/>
      <c r="S194" s="195"/>
      <c r="T194" s="195"/>
      <c r="U194" s="1"/>
      <c r="W194" s="195"/>
      <c r="X194" s="195"/>
    </row>
    <row r="195" spans="15:24" x14ac:dyDescent="0.25">
      <c r="O195" s="190"/>
      <c r="P195" s="190"/>
      <c r="Q195" s="195"/>
      <c r="R195" s="195"/>
      <c r="S195" s="195"/>
      <c r="T195" s="195"/>
      <c r="U195" s="1"/>
      <c r="W195" s="195"/>
      <c r="X195" s="195"/>
    </row>
    <row r="196" spans="15:24" x14ac:dyDescent="0.25">
      <c r="O196" s="190"/>
      <c r="P196" s="190"/>
      <c r="Q196" s="195"/>
      <c r="R196" s="195"/>
      <c r="S196" s="195"/>
      <c r="T196" s="195"/>
      <c r="U196" s="1"/>
      <c r="W196" s="195"/>
      <c r="X196" s="195"/>
    </row>
    <row r="197" spans="15:24" x14ac:dyDescent="0.25">
      <c r="O197" s="190"/>
      <c r="P197" s="190"/>
      <c r="Q197" s="195"/>
      <c r="R197" s="195"/>
      <c r="S197" s="195"/>
      <c r="T197" s="195"/>
      <c r="U197" s="1"/>
      <c r="W197" s="195"/>
      <c r="X197" s="195"/>
    </row>
    <row r="198" spans="15:24" x14ac:dyDescent="0.25">
      <c r="O198" s="190"/>
      <c r="P198" s="190"/>
      <c r="Q198" s="195"/>
      <c r="R198" s="195"/>
      <c r="S198" s="195"/>
      <c r="T198" s="195"/>
      <c r="U198" s="1"/>
      <c r="W198" s="195"/>
      <c r="X198" s="195"/>
    </row>
    <row r="199" spans="15:24" x14ac:dyDescent="0.25">
      <c r="O199" s="190"/>
      <c r="P199" s="190"/>
      <c r="Q199" s="195"/>
      <c r="R199" s="195"/>
      <c r="S199" s="195"/>
      <c r="T199" s="195"/>
      <c r="U199" s="1"/>
      <c r="W199" s="195"/>
      <c r="X199" s="195"/>
    </row>
    <row r="200" spans="15:24" x14ac:dyDescent="0.25">
      <c r="Q200" s="195"/>
      <c r="R200" s="195"/>
      <c r="S200" s="195"/>
      <c r="T200" s="195"/>
      <c r="U200" s="1"/>
      <c r="W200" s="195"/>
      <c r="X200" s="195"/>
    </row>
    <row r="201" spans="15:24" x14ac:dyDescent="0.25">
      <c r="Q201" s="195"/>
      <c r="R201" s="195"/>
      <c r="S201" s="195"/>
      <c r="T201" s="195"/>
      <c r="U201" s="1"/>
      <c r="W201" s="195"/>
      <c r="X201" s="195"/>
    </row>
    <row r="202" spans="15:24" x14ac:dyDescent="0.25">
      <c r="Q202" s="195"/>
      <c r="R202" s="195"/>
      <c r="S202" s="195"/>
      <c r="T202" s="195"/>
      <c r="U202" s="1"/>
      <c r="W202" s="195"/>
      <c r="X202" s="195"/>
    </row>
    <row r="203" spans="15:24" x14ac:dyDescent="0.25">
      <c r="Q203" s="195"/>
      <c r="R203" s="195"/>
      <c r="S203" s="195"/>
      <c r="T203" s="195"/>
      <c r="U203" s="1"/>
      <c r="W203" s="195"/>
      <c r="X203" s="195"/>
    </row>
    <row r="204" spans="15:24" x14ac:dyDescent="0.25">
      <c r="Q204" s="195"/>
      <c r="R204" s="195"/>
      <c r="S204" s="195"/>
      <c r="T204" s="195"/>
      <c r="U204" s="1"/>
      <c r="W204" s="195"/>
      <c r="X204" s="195"/>
    </row>
    <row r="205" spans="15:24" x14ac:dyDescent="0.25">
      <c r="Q205" s="195"/>
      <c r="R205" s="195"/>
      <c r="S205" s="195"/>
      <c r="T205" s="195"/>
      <c r="U205" s="1"/>
      <c r="W205" s="195"/>
      <c r="X205" s="195"/>
    </row>
    <row r="206" spans="15:24" x14ac:dyDescent="0.25">
      <c r="Q206" s="195"/>
      <c r="R206" s="195"/>
      <c r="S206" s="195"/>
      <c r="T206" s="195"/>
      <c r="U206" s="1"/>
      <c r="W206" s="195"/>
      <c r="X206" s="195"/>
    </row>
    <row r="207" spans="15:24" x14ac:dyDescent="0.25">
      <c r="Q207" s="195"/>
      <c r="R207" s="195"/>
      <c r="S207" s="195"/>
      <c r="T207" s="195"/>
      <c r="U207" s="1"/>
      <c r="W207" s="195"/>
      <c r="X207" s="195"/>
    </row>
    <row r="208" spans="15:24" x14ac:dyDescent="0.25">
      <c r="Q208" s="195"/>
      <c r="R208" s="195"/>
      <c r="S208" s="195"/>
      <c r="T208" s="195"/>
      <c r="U208" s="1"/>
      <c r="W208" s="195"/>
      <c r="X208" s="195"/>
    </row>
    <row r="209" spans="17:24" x14ac:dyDescent="0.25">
      <c r="Q209" s="195"/>
      <c r="R209" s="195"/>
      <c r="S209" s="195"/>
      <c r="T209" s="195"/>
      <c r="U209" s="1"/>
      <c r="W209" s="195"/>
      <c r="X209" s="195"/>
    </row>
    <row r="210" spans="17:24" x14ac:dyDescent="0.25">
      <c r="Q210" s="195"/>
      <c r="R210" s="195"/>
      <c r="S210" s="195"/>
      <c r="T210" s="195"/>
      <c r="U210" s="1"/>
      <c r="W210" s="195"/>
      <c r="X210" s="195"/>
    </row>
    <row r="211" spans="17:24" x14ac:dyDescent="0.25">
      <c r="Q211" s="195"/>
      <c r="R211" s="195"/>
      <c r="S211" s="195"/>
      <c r="T211" s="195"/>
      <c r="U211" s="1"/>
      <c r="W211" s="195"/>
      <c r="X211" s="195"/>
    </row>
    <row r="212" spans="17:24" x14ac:dyDescent="0.25">
      <c r="Q212" s="195"/>
      <c r="R212" s="195"/>
      <c r="S212" s="195"/>
      <c r="T212" s="195"/>
      <c r="U212" s="1"/>
      <c r="W212" s="195"/>
      <c r="X212" s="195"/>
    </row>
    <row r="213" spans="17:24" x14ac:dyDescent="0.25">
      <c r="Q213" s="195"/>
      <c r="R213" s="195"/>
      <c r="S213" s="195"/>
      <c r="T213" s="195"/>
      <c r="U213" s="1"/>
      <c r="W213" s="195"/>
      <c r="X213" s="195"/>
    </row>
    <row r="214" spans="17:24" x14ac:dyDescent="0.25">
      <c r="Q214" s="195"/>
      <c r="R214" s="195"/>
      <c r="S214" s="195"/>
      <c r="T214" s="195"/>
      <c r="U214" s="1"/>
      <c r="W214" s="195"/>
      <c r="X214" s="195"/>
    </row>
    <row r="215" spans="17:24" x14ac:dyDescent="0.25">
      <c r="Q215" s="195"/>
      <c r="R215" s="195"/>
      <c r="S215" s="195"/>
      <c r="T215" s="195"/>
      <c r="U215" s="1"/>
      <c r="W215" s="195"/>
      <c r="X215" s="195"/>
    </row>
    <row r="216" spans="17:24" x14ac:dyDescent="0.25">
      <c r="Q216" s="195"/>
      <c r="R216" s="195"/>
      <c r="S216" s="195"/>
      <c r="T216" s="195"/>
      <c r="U216" s="1"/>
      <c r="W216" s="195"/>
      <c r="X216" s="195"/>
    </row>
    <row r="217" spans="17:24" x14ac:dyDescent="0.25">
      <c r="Q217" s="195"/>
      <c r="R217" s="195"/>
      <c r="S217" s="195"/>
      <c r="T217" s="195"/>
      <c r="U217" s="1"/>
      <c r="W217" s="195"/>
      <c r="X217" s="195"/>
    </row>
    <row r="218" spans="17:24" x14ac:dyDescent="0.25">
      <c r="Q218" s="195"/>
      <c r="R218" s="195"/>
      <c r="S218" s="195"/>
      <c r="T218" s="195"/>
      <c r="U218" s="1"/>
      <c r="W218" s="195"/>
      <c r="X218" s="195"/>
    </row>
    <row r="219" spans="17:24" x14ac:dyDescent="0.25">
      <c r="Q219" s="195"/>
      <c r="R219" s="195"/>
      <c r="S219" s="195"/>
      <c r="T219" s="195"/>
      <c r="U219" s="1"/>
      <c r="W219" s="195"/>
      <c r="X219" s="195"/>
    </row>
    <row r="220" spans="17:24" x14ac:dyDescent="0.25">
      <c r="Q220" s="195"/>
      <c r="R220" s="195"/>
      <c r="S220" s="195"/>
      <c r="T220" s="195"/>
      <c r="U220" s="1"/>
      <c r="W220" s="195"/>
      <c r="X220" s="195"/>
    </row>
    <row r="221" spans="17:24" x14ac:dyDescent="0.25">
      <c r="Q221" s="195"/>
      <c r="R221" s="195"/>
      <c r="S221" s="195"/>
      <c r="T221" s="195"/>
      <c r="U221" s="1"/>
      <c r="W221" s="195"/>
      <c r="X221" s="195"/>
    </row>
    <row r="222" spans="17:24" x14ac:dyDescent="0.25">
      <c r="Q222" s="195"/>
      <c r="R222" s="195"/>
      <c r="S222" s="195"/>
      <c r="T222" s="195"/>
      <c r="U222" s="1"/>
      <c r="W222" s="195"/>
      <c r="X222" s="195"/>
    </row>
    <row r="223" spans="17:24" x14ac:dyDescent="0.25">
      <c r="Q223" s="195"/>
      <c r="R223" s="195"/>
      <c r="S223" s="195"/>
      <c r="T223" s="195"/>
      <c r="U223" s="1"/>
      <c r="W223" s="195"/>
      <c r="X223" s="195"/>
    </row>
    <row r="224" spans="17:24" x14ac:dyDescent="0.25">
      <c r="Q224" s="195"/>
      <c r="R224" s="195"/>
      <c r="S224" s="195"/>
      <c r="T224" s="195"/>
      <c r="U224" s="1"/>
      <c r="W224" s="195"/>
      <c r="X224" s="195"/>
    </row>
    <row r="225" spans="17:24" x14ac:dyDescent="0.25">
      <c r="Q225" s="195"/>
      <c r="R225" s="195"/>
      <c r="S225" s="195"/>
      <c r="T225" s="195"/>
      <c r="U225" s="1"/>
      <c r="W225" s="195"/>
      <c r="X225" s="195"/>
    </row>
    <row r="226" spans="17:24" x14ac:dyDescent="0.25">
      <c r="Q226" s="195"/>
      <c r="R226" s="195"/>
      <c r="S226" s="195"/>
      <c r="T226" s="195"/>
      <c r="U226" s="1"/>
      <c r="W226" s="195"/>
      <c r="X226" s="195"/>
    </row>
    <row r="227" spans="17:24" x14ac:dyDescent="0.25">
      <c r="Q227" s="195"/>
      <c r="R227" s="195"/>
      <c r="S227" s="195"/>
      <c r="T227" s="195"/>
      <c r="U227" s="1"/>
      <c r="W227" s="195"/>
      <c r="X227" s="195"/>
    </row>
    <row r="228" spans="17:24" x14ac:dyDescent="0.25">
      <c r="Q228" s="195"/>
      <c r="R228" s="195"/>
      <c r="S228" s="195"/>
      <c r="T228" s="195"/>
      <c r="U228" s="1"/>
      <c r="W228" s="195"/>
      <c r="X228" s="195"/>
    </row>
    <row r="229" spans="17:24" x14ac:dyDescent="0.25">
      <c r="Q229" s="195"/>
      <c r="R229" s="195"/>
      <c r="S229" s="195"/>
      <c r="T229" s="195"/>
      <c r="U229" s="1"/>
      <c r="W229" s="195"/>
      <c r="X229" s="195"/>
    </row>
    <row r="230" spans="17:24" x14ac:dyDescent="0.25">
      <c r="Q230" s="195"/>
      <c r="R230" s="195"/>
      <c r="S230" s="195"/>
      <c r="T230" s="195"/>
      <c r="U230" s="1"/>
      <c r="W230" s="195"/>
      <c r="X230" s="195"/>
    </row>
    <row r="231" spans="17:24" x14ac:dyDescent="0.25">
      <c r="Q231" s="195"/>
      <c r="R231" s="195"/>
      <c r="S231" s="195"/>
      <c r="T231" s="195"/>
      <c r="U231" s="1"/>
      <c r="W231" s="195"/>
      <c r="X231" s="195"/>
    </row>
    <row r="232" spans="17:24" x14ac:dyDescent="0.25">
      <c r="Q232" s="195"/>
      <c r="R232" s="195"/>
      <c r="S232" s="195"/>
      <c r="T232" s="195"/>
      <c r="U232" s="1"/>
      <c r="W232" s="195"/>
      <c r="X232" s="195"/>
    </row>
    <row r="233" spans="17:24" x14ac:dyDescent="0.25">
      <c r="Q233" s="195"/>
      <c r="R233" s="195"/>
      <c r="S233" s="195"/>
      <c r="T233" s="195"/>
      <c r="U233" s="1"/>
      <c r="W233" s="195"/>
      <c r="X233" s="195"/>
    </row>
    <row r="234" spans="17:24" x14ac:dyDescent="0.25">
      <c r="Q234" s="195"/>
      <c r="R234" s="195"/>
      <c r="S234" s="195"/>
      <c r="T234" s="195"/>
      <c r="U234" s="1"/>
      <c r="W234" s="195"/>
      <c r="X234" s="195"/>
    </row>
    <row r="235" spans="17:24" x14ac:dyDescent="0.25">
      <c r="Q235" s="195"/>
      <c r="R235" s="195"/>
      <c r="S235" s="195"/>
      <c r="T235" s="195"/>
      <c r="U235" s="1"/>
      <c r="W235" s="195"/>
      <c r="X235" s="195"/>
    </row>
    <row r="236" spans="17:24" x14ac:dyDescent="0.25">
      <c r="Q236" s="195"/>
      <c r="R236" s="195"/>
      <c r="S236" s="195"/>
      <c r="T236" s="195"/>
      <c r="U236" s="1"/>
      <c r="W236" s="195"/>
      <c r="X236" s="195"/>
    </row>
    <row r="237" spans="17:24" x14ac:dyDescent="0.25">
      <c r="Q237" s="195"/>
      <c r="R237" s="195"/>
      <c r="S237" s="195"/>
      <c r="T237" s="195"/>
      <c r="U237" s="1"/>
      <c r="W237" s="195"/>
      <c r="X237" s="195"/>
    </row>
    <row r="238" spans="17:24" x14ac:dyDescent="0.25">
      <c r="Q238" s="195"/>
      <c r="R238" s="195"/>
      <c r="S238" s="195"/>
      <c r="T238" s="195"/>
      <c r="U238" s="1"/>
      <c r="W238" s="195"/>
      <c r="X238" s="195"/>
    </row>
    <row r="239" spans="17:24" x14ac:dyDescent="0.25">
      <c r="Q239" s="195"/>
      <c r="R239" s="195"/>
      <c r="S239" s="195"/>
      <c r="T239" s="195"/>
      <c r="U239" s="1"/>
      <c r="W239" s="195"/>
      <c r="X239" s="195"/>
    </row>
    <row r="240" spans="17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  <row r="1672" spans="17:24" x14ac:dyDescent="0.25">
      <c r="Q1672" s="195"/>
      <c r="R1672" s="195"/>
      <c r="S1672" s="195"/>
      <c r="T1672" s="195"/>
      <c r="U1672" s="1"/>
      <c r="W1672" s="195"/>
      <c r="X1672" s="195"/>
    </row>
    <row r="1673" spans="17:24" x14ac:dyDescent="0.25">
      <c r="Q1673" s="195"/>
      <c r="R1673" s="195"/>
      <c r="S1673" s="195"/>
      <c r="T1673" s="195"/>
      <c r="U1673" s="1"/>
      <c r="W1673" s="195"/>
      <c r="X1673" s="195"/>
    </row>
    <row r="1674" spans="17:24" x14ac:dyDescent="0.25">
      <c r="Q1674" s="195"/>
      <c r="R1674" s="195"/>
      <c r="S1674" s="195"/>
      <c r="T1674" s="195"/>
      <c r="U1674" s="1"/>
      <c r="W1674" s="195"/>
      <c r="X1674" s="195"/>
    </row>
    <row r="1675" spans="17:24" x14ac:dyDescent="0.25">
      <c r="Q1675" s="195"/>
      <c r="R1675" s="195"/>
      <c r="S1675" s="195"/>
      <c r="T1675" s="195"/>
      <c r="U1675" s="1"/>
      <c r="W1675" s="195"/>
      <c r="X1675" s="195"/>
    </row>
    <row r="1676" spans="17:24" x14ac:dyDescent="0.25">
      <c r="Q1676" s="195"/>
      <c r="R1676" s="195"/>
      <c r="S1676" s="195"/>
      <c r="T1676" s="195"/>
      <c r="U1676" s="1"/>
      <c r="W1676" s="195"/>
      <c r="X1676" s="195"/>
    </row>
    <row r="1677" spans="17:24" x14ac:dyDescent="0.25">
      <c r="Q1677" s="195"/>
      <c r="R1677" s="195"/>
      <c r="S1677" s="195"/>
      <c r="T1677" s="195"/>
      <c r="U1677" s="1"/>
      <c r="W1677" s="195"/>
      <c r="X1677" s="195"/>
    </row>
    <row r="1678" spans="17:24" x14ac:dyDescent="0.25">
      <c r="Q1678" s="195"/>
      <c r="R1678" s="195"/>
      <c r="S1678" s="195"/>
      <c r="T1678" s="195"/>
      <c r="U1678" s="1"/>
      <c r="W1678" s="195"/>
      <c r="X1678" s="195"/>
    </row>
    <row r="1679" spans="17:24" x14ac:dyDescent="0.25">
      <c r="Q1679" s="195"/>
      <c r="R1679" s="195"/>
      <c r="S1679" s="195"/>
      <c r="T1679" s="195"/>
      <c r="U1679" s="1"/>
      <c r="W1679" s="195"/>
      <c r="X1679" s="195"/>
    </row>
    <row r="1680" spans="17:24" x14ac:dyDescent="0.25">
      <c r="Q1680" s="195"/>
      <c r="R1680" s="195"/>
      <c r="S1680" s="195"/>
      <c r="T1680" s="195"/>
      <c r="U1680" s="1"/>
      <c r="W1680" s="195"/>
      <c r="X1680" s="195"/>
    </row>
    <row r="1681" spans="17:24" x14ac:dyDescent="0.25">
      <c r="Q1681" s="195"/>
      <c r="R1681" s="195"/>
      <c r="S1681" s="195"/>
      <c r="T1681" s="195"/>
      <c r="U1681" s="1"/>
      <c r="W1681" s="195"/>
      <c r="X1681" s="195"/>
    </row>
    <row r="1682" spans="17:24" x14ac:dyDescent="0.25">
      <c r="Q1682" s="195"/>
      <c r="R1682" s="195"/>
      <c r="S1682" s="195"/>
      <c r="T1682" s="195"/>
      <c r="U1682" s="1"/>
      <c r="W1682" s="195"/>
      <c r="X1682" s="195"/>
    </row>
    <row r="1683" spans="17:24" x14ac:dyDescent="0.25">
      <c r="Q1683" s="195"/>
      <c r="R1683" s="195"/>
      <c r="S1683" s="195"/>
      <c r="T1683" s="195"/>
      <c r="U1683" s="1"/>
      <c r="W1683" s="195"/>
      <c r="X1683" s="195"/>
    </row>
    <row r="1684" spans="17:24" x14ac:dyDescent="0.25">
      <c r="Q1684" s="195"/>
      <c r="R1684" s="195"/>
      <c r="S1684" s="195"/>
      <c r="T1684" s="195"/>
      <c r="U1684" s="1"/>
      <c r="W1684" s="195"/>
      <c r="X1684" s="195"/>
    </row>
    <row r="1685" spans="17:24" x14ac:dyDescent="0.25">
      <c r="Q1685" s="195"/>
      <c r="R1685" s="195"/>
      <c r="S1685" s="195"/>
      <c r="T1685" s="195"/>
      <c r="U1685" s="1"/>
      <c r="W1685" s="195"/>
      <c r="X1685" s="195"/>
    </row>
    <row r="1686" spans="17:24" x14ac:dyDescent="0.25">
      <c r="Q1686" s="195"/>
      <c r="R1686" s="195"/>
      <c r="S1686" s="195"/>
      <c r="T1686" s="195"/>
      <c r="U1686" s="1"/>
      <c r="W1686" s="195"/>
      <c r="X1686" s="195"/>
    </row>
    <row r="1687" spans="17:24" x14ac:dyDescent="0.25">
      <c r="Q1687" s="195"/>
      <c r="R1687" s="195"/>
      <c r="S1687" s="195"/>
      <c r="T1687" s="195"/>
      <c r="U1687" s="1"/>
      <c r="W1687" s="195"/>
      <c r="X1687" s="195"/>
    </row>
    <row r="1688" spans="17:24" x14ac:dyDescent="0.25">
      <c r="Q1688" s="195"/>
      <c r="R1688" s="195"/>
      <c r="S1688" s="195"/>
      <c r="T1688" s="195"/>
      <c r="U1688" s="1"/>
      <c r="W1688" s="195"/>
      <c r="X1688" s="195"/>
    </row>
    <row r="1689" spans="17:24" x14ac:dyDescent="0.25">
      <c r="Q1689" s="195"/>
      <c r="R1689" s="195"/>
      <c r="S1689" s="195"/>
      <c r="T1689" s="195"/>
      <c r="U1689" s="1"/>
      <c r="W1689" s="195"/>
      <c r="X1689" s="195"/>
    </row>
    <row r="1690" spans="17:24" x14ac:dyDescent="0.25">
      <c r="Q1690" s="195"/>
      <c r="R1690" s="195"/>
      <c r="S1690" s="195"/>
      <c r="T1690" s="195"/>
      <c r="U1690" s="1"/>
      <c r="W1690" s="195"/>
      <c r="X1690" s="195"/>
    </row>
    <row r="1691" spans="17:24" x14ac:dyDescent="0.25">
      <c r="Q1691" s="195"/>
      <c r="R1691" s="195"/>
      <c r="S1691" s="195"/>
      <c r="T1691" s="195"/>
      <c r="U1691" s="1"/>
      <c r="W1691" s="195"/>
      <c r="X1691" s="195"/>
    </row>
    <row r="1692" spans="17:24" x14ac:dyDescent="0.25">
      <c r="Q1692" s="195"/>
      <c r="R1692" s="195"/>
      <c r="S1692" s="195"/>
      <c r="T1692" s="195"/>
      <c r="U1692" s="1"/>
      <c r="W1692" s="195"/>
      <c r="X1692" s="195"/>
    </row>
    <row r="1693" spans="17:24" x14ac:dyDescent="0.25">
      <c r="Q1693" s="195"/>
      <c r="R1693" s="195"/>
      <c r="S1693" s="195"/>
      <c r="T1693" s="195"/>
      <c r="U1693" s="1"/>
      <c r="W1693" s="195"/>
      <c r="X1693" s="195"/>
    </row>
    <row r="1694" spans="17:24" x14ac:dyDescent="0.25">
      <c r="Q1694" s="195"/>
      <c r="R1694" s="195"/>
      <c r="S1694" s="195"/>
      <c r="T1694" s="195"/>
      <c r="U1694" s="1"/>
      <c r="W1694" s="195"/>
      <c r="X1694" s="195"/>
    </row>
    <row r="1695" spans="17:24" x14ac:dyDescent="0.25">
      <c r="Q1695" s="195"/>
      <c r="R1695" s="195"/>
      <c r="S1695" s="195"/>
      <c r="T1695" s="195"/>
      <c r="U1695" s="1"/>
      <c r="W1695" s="195"/>
      <c r="X1695" s="195"/>
    </row>
  </sheetData>
  <mergeCells count="52">
    <mergeCell ref="A3:U3"/>
    <mergeCell ref="A4:U4"/>
    <mergeCell ref="A5:U5"/>
    <mergeCell ref="A7:I8"/>
    <mergeCell ref="J7:K8"/>
    <mergeCell ref="L7:L8"/>
    <mergeCell ref="M7:M8"/>
    <mergeCell ref="N7:N8"/>
    <mergeCell ref="O7:P7"/>
    <mergeCell ref="Q7:S7"/>
    <mergeCell ref="B48:F48"/>
    <mergeCell ref="U7:U8"/>
    <mergeCell ref="V7:V8"/>
    <mergeCell ref="A9:I9"/>
    <mergeCell ref="J9:K9"/>
    <mergeCell ref="B18:F18"/>
    <mergeCell ref="B20:F20"/>
    <mergeCell ref="B28:G28"/>
    <mergeCell ref="B36:F36"/>
    <mergeCell ref="B38:F38"/>
    <mergeCell ref="B40:F40"/>
    <mergeCell ref="B46:F46"/>
    <mergeCell ref="A158:J158"/>
    <mergeCell ref="B50:F50"/>
    <mergeCell ref="B52:F52"/>
    <mergeCell ref="B60:F60"/>
    <mergeCell ref="B72:F72"/>
    <mergeCell ref="B84:F84"/>
    <mergeCell ref="B86:F86"/>
    <mergeCell ref="B106:F106"/>
    <mergeCell ref="B108:F108"/>
    <mergeCell ref="B114:F114"/>
    <mergeCell ref="B116:F116"/>
    <mergeCell ref="B133:G133"/>
    <mergeCell ref="D159:J159"/>
    <mergeCell ref="K159:L159"/>
    <mergeCell ref="R159:T159"/>
    <mergeCell ref="A160:J160"/>
    <mergeCell ref="N160:Q160"/>
    <mergeCell ref="R160:U160"/>
    <mergeCell ref="A167:J167"/>
    <mergeCell ref="N167:Q167"/>
    <mergeCell ref="R167:U167"/>
    <mergeCell ref="D168:H168"/>
    <mergeCell ref="N161:Q161"/>
    <mergeCell ref="R161:U161"/>
    <mergeCell ref="A165:J165"/>
    <mergeCell ref="A166:J166"/>
    <mergeCell ref="N166:Q166"/>
    <mergeCell ref="R166:U166"/>
    <mergeCell ref="A161:J161"/>
    <mergeCell ref="A162:J162"/>
  </mergeCells>
  <pageMargins left="0.7" right="0.7" top="0.75" bottom="0.75" header="0.3" footer="0.3"/>
  <pageSetup paperSize="5" scale="70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95"/>
  <sheetViews>
    <sheetView tabSelected="1" zoomScale="70" zoomScaleNormal="70" workbookViewId="0">
      <selection activeCell="N146" sqref="N146"/>
    </sheetView>
  </sheetViews>
  <sheetFormatPr defaultRowHeight="15.75" x14ac:dyDescent="0.25"/>
  <cols>
    <col min="1" max="1" width="3.140625" style="1" customWidth="1"/>
    <col min="2" max="2" width="3.7109375" style="1" hidden="1" customWidth="1"/>
    <col min="3" max="3" width="2" style="1" hidden="1" customWidth="1"/>
    <col min="4" max="5" width="8.7109375" style="1" hidden="1" customWidth="1"/>
    <col min="6" max="7" width="8.5703125" style="1" hidden="1" customWidth="1"/>
    <col min="8" max="8" width="0.140625" style="1" hidden="1" customWidth="1"/>
    <col min="9" max="9" width="6.85546875" style="1" hidden="1" customWidth="1"/>
    <col min="10" max="10" width="7" style="1" hidden="1" customWidth="1"/>
    <col min="11" max="11" width="83.140625" style="1" customWidth="1"/>
    <col min="12" max="12" width="16.140625" style="1" hidden="1" customWidth="1"/>
    <col min="13" max="13" width="20.42578125" style="1" hidden="1" customWidth="1"/>
    <col min="14" max="14" width="23.42578125" style="1" customWidth="1"/>
    <col min="15" max="15" width="14.140625" style="1" hidden="1" customWidth="1"/>
    <col min="16" max="16" width="14.5703125" style="1" hidden="1" customWidth="1"/>
    <col min="17" max="17" width="19.7109375" style="1" customWidth="1"/>
    <col min="18" max="18" width="18.42578125" style="196" customWidth="1"/>
    <col min="19" max="19" width="20" style="1" customWidth="1"/>
    <col min="20" max="20" width="14.42578125" style="1" customWidth="1"/>
    <col min="21" max="21" width="18.5703125" style="4" customWidth="1"/>
    <col min="22" max="22" width="18.140625" style="1" hidden="1" customWidth="1"/>
    <col min="23" max="24" width="13.85546875" style="1" hidden="1" customWidth="1"/>
    <col min="25" max="31" width="9.140625" style="1"/>
    <col min="32" max="32" width="13" style="1" bestFit="1" customWidth="1"/>
    <col min="33" max="16384" width="9.140625" style="1"/>
  </cols>
  <sheetData>
    <row r="1" spans="1:26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6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6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5"/>
    </row>
    <row r="4" spans="1:26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5"/>
    </row>
    <row r="5" spans="1:26" ht="18" x14ac:dyDescent="0.25">
      <c r="A5" s="482" t="s">
        <v>297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5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6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276</v>
      </c>
      <c r="M7" s="488" t="s">
        <v>7</v>
      </c>
      <c r="N7" s="488" t="s">
        <v>277</v>
      </c>
      <c r="O7" s="490" t="s">
        <v>9</v>
      </c>
      <c r="P7" s="490"/>
      <c r="Q7" s="491" t="s">
        <v>10</v>
      </c>
      <c r="R7" s="492"/>
      <c r="S7" s="492"/>
      <c r="T7" s="11"/>
      <c r="U7" s="493" t="s">
        <v>278</v>
      </c>
      <c r="V7" s="490" t="s">
        <v>12</v>
      </c>
      <c r="W7" s="11"/>
      <c r="X7" s="11"/>
    </row>
    <row r="8" spans="1:26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387" t="s">
        <v>14</v>
      </c>
      <c r="Q8" s="387" t="s">
        <v>13</v>
      </c>
      <c r="R8" s="14" t="s">
        <v>14</v>
      </c>
      <c r="S8" s="387" t="s">
        <v>15</v>
      </c>
      <c r="T8" s="387" t="s">
        <v>16</v>
      </c>
      <c r="U8" s="493"/>
      <c r="V8" s="490"/>
      <c r="W8" s="387" t="s">
        <v>17</v>
      </c>
      <c r="X8" s="387" t="s">
        <v>17</v>
      </c>
    </row>
    <row r="9" spans="1:26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 t="s">
        <v>19</v>
      </c>
      <c r="K9" s="494"/>
      <c r="L9" s="387" t="s">
        <v>20</v>
      </c>
      <c r="M9" s="387" t="s">
        <v>21</v>
      </c>
      <c r="N9" s="387" t="s">
        <v>22</v>
      </c>
      <c r="O9" s="387" t="s">
        <v>22</v>
      </c>
      <c r="P9" s="387" t="s">
        <v>23</v>
      </c>
      <c r="Q9" s="387" t="s">
        <v>24</v>
      </c>
      <c r="R9" s="14" t="s">
        <v>25</v>
      </c>
      <c r="S9" s="387" t="s">
        <v>26</v>
      </c>
      <c r="T9" s="387" t="s">
        <v>27</v>
      </c>
      <c r="U9" s="387" t="s">
        <v>28</v>
      </c>
      <c r="V9" s="15"/>
      <c r="W9" s="387" t="s">
        <v>27</v>
      </c>
      <c r="X9" s="387" t="s">
        <v>27</v>
      </c>
    </row>
    <row r="10" spans="1:26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f>L12+L118</f>
        <v>2184252000</v>
      </c>
      <c r="M10" s="19">
        <f>M12+M118</f>
        <v>0</v>
      </c>
      <c r="N10" s="19">
        <f>N12+N118</f>
        <v>2184252000</v>
      </c>
      <c r="O10" s="19" t="e">
        <f>O12</f>
        <v>#REF!</v>
      </c>
      <c r="P10" s="19"/>
      <c r="Q10" s="19">
        <f>Q12+Q118</f>
        <v>145606223</v>
      </c>
      <c r="R10" s="19">
        <v>859415661</v>
      </c>
      <c r="S10" s="19">
        <f>Q10+R10</f>
        <v>1005021884</v>
      </c>
      <c r="T10" s="20">
        <f>S10/N10*100</f>
        <v>46.012176433854698</v>
      </c>
      <c r="U10" s="21">
        <f>N10-S10</f>
        <v>1179230116</v>
      </c>
      <c r="V10" s="21">
        <f>U10/2</f>
        <v>589615058</v>
      </c>
      <c r="W10" s="22">
        <f>Q10/N10*100</f>
        <v>6.6661824276686028</v>
      </c>
      <c r="X10" s="22">
        <f>Q10/N10*100</f>
        <v>6.6661824276686028</v>
      </c>
    </row>
    <row r="11" spans="1:26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</row>
    <row r="12" spans="1:26" x14ac:dyDescent="0.25">
      <c r="A12" s="34"/>
      <c r="B12" s="35" t="s">
        <v>31</v>
      </c>
      <c r="C12" s="36"/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L14+L16+L18+L20+L22+L28+L36+L38+L40+L46+L48+L50+L52+L60+L72+L84+L86+L106+L108+L114+L116</f>
        <v>1528107000</v>
      </c>
      <c r="M12" s="41">
        <f>M14+M16+M18+M20+M22+M28+M36+M38+M40+M46+M48+M50+M52+M60+M72+M84+M86+M106+M108+M114+M116</f>
        <v>0</v>
      </c>
      <c r="N12" s="41">
        <f>L12-M12</f>
        <v>1528107000</v>
      </c>
      <c r="O12" s="41" t="e">
        <f>#REF!</f>
        <v>#REF!</v>
      </c>
      <c r="P12" s="41"/>
      <c r="Q12" s="41">
        <f>Q14+Q16+Q18+Q20+Q22+Q28+Q36+Q38+Q40+Q46+Q48+Q50+Q52+Q60+Q72+Q84+Q86+Q106+Q108+Q114+Q116</f>
        <v>119586223</v>
      </c>
      <c r="R12" s="41">
        <v>714995661</v>
      </c>
      <c r="S12" s="41">
        <f>Q12+R12</f>
        <v>834581884</v>
      </c>
      <c r="T12" s="20">
        <f>S12/N12*100</f>
        <v>54.61540873773891</v>
      </c>
      <c r="U12" s="42">
        <f>N12-S12</f>
        <v>693525116</v>
      </c>
      <c r="V12" s="42">
        <f>U12/2</f>
        <v>346762558</v>
      </c>
      <c r="W12" s="22">
        <f t="shared" ref="W12:W36" si="0">Q12/N12*100</f>
        <v>7.8257754856171715</v>
      </c>
      <c r="X12" s="22">
        <f t="shared" ref="X12:X84" si="1">Q12/N12*100</f>
        <v>7.8257754856171715</v>
      </c>
    </row>
    <row r="13" spans="1:26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86" si="2">U13/2</f>
        <v>0</v>
      </c>
      <c r="W13" s="22"/>
      <c r="X13" s="22"/>
    </row>
    <row r="14" spans="1:26" ht="17.25" x14ac:dyDescent="0.3">
      <c r="A14" s="232"/>
      <c r="B14" s="313" t="s">
        <v>236</v>
      </c>
      <c r="C14" s="314"/>
      <c r="D14" s="315"/>
      <c r="E14" s="316"/>
      <c r="F14" s="316"/>
      <c r="G14" s="317"/>
      <c r="H14" s="318"/>
      <c r="I14" s="319"/>
      <c r="J14" s="318"/>
      <c r="K14" s="361" t="s">
        <v>184</v>
      </c>
      <c r="L14" s="43">
        <v>42000000</v>
      </c>
      <c r="M14" s="43">
        <v>0</v>
      </c>
      <c r="N14" s="43">
        <f>L14-M14</f>
        <v>42000000</v>
      </c>
      <c r="O14" s="337"/>
      <c r="P14" s="337"/>
      <c r="Q14" s="43">
        <v>2000000</v>
      </c>
      <c r="R14" s="43">
        <v>16000000</v>
      </c>
      <c r="S14" s="43">
        <f t="shared" ref="S14:S16" si="3">Q14+R14</f>
        <v>18000000</v>
      </c>
      <c r="T14" s="327">
        <f>S14/N14*100</f>
        <v>42.857142857142854</v>
      </c>
      <c r="U14" s="43">
        <f>N14-S14</f>
        <v>24000000</v>
      </c>
      <c r="V14" s="42">
        <f t="shared" si="2"/>
        <v>12000000</v>
      </c>
      <c r="W14" s="22">
        <f>Q14/N14*100</f>
        <v>4.7619047619047619</v>
      </c>
      <c r="X14" s="22">
        <f t="shared" si="1"/>
        <v>4.7619047619047619</v>
      </c>
      <c r="Z14" s="22">
        <f>Q14/N14*100</f>
        <v>4.7619047619047619</v>
      </c>
    </row>
    <row r="15" spans="1:26" x14ac:dyDescent="0.25">
      <c r="A15" s="240"/>
      <c r="B15" s="322"/>
      <c r="C15" s="322"/>
      <c r="D15" s="322"/>
      <c r="E15" s="323"/>
      <c r="F15" s="323"/>
      <c r="G15" s="323"/>
      <c r="H15" s="323"/>
      <c r="I15" s="323"/>
      <c r="J15" s="362"/>
      <c r="K15" s="363"/>
      <c r="L15" s="43"/>
      <c r="M15" s="43"/>
      <c r="N15" s="43"/>
      <c r="O15" s="43"/>
      <c r="P15" s="43"/>
      <c r="Q15" s="363"/>
      <c r="R15" s="364"/>
      <c r="S15" s="364"/>
      <c r="T15" s="327"/>
      <c r="U15" s="43"/>
      <c r="V15" s="42">
        <f t="shared" si="2"/>
        <v>0</v>
      </c>
      <c r="W15" s="22"/>
      <c r="X15" s="22"/>
      <c r="Z15" s="22" t="e">
        <f t="shared" ref="Z15:Z88" si="4">Q15/N15*100</f>
        <v>#DIV/0!</v>
      </c>
    </row>
    <row r="16" spans="1:26" ht="17.25" x14ac:dyDescent="0.3">
      <c r="A16" s="232"/>
      <c r="B16" s="313" t="s">
        <v>237</v>
      </c>
      <c r="C16" s="328"/>
      <c r="D16" s="315"/>
      <c r="E16" s="316"/>
      <c r="F16" s="316"/>
      <c r="G16" s="317"/>
      <c r="H16" s="318"/>
      <c r="I16" s="319"/>
      <c r="J16" s="318"/>
      <c r="K16" s="361" t="s">
        <v>185</v>
      </c>
      <c r="L16" s="43">
        <v>4740000</v>
      </c>
      <c r="M16" s="43">
        <v>0</v>
      </c>
      <c r="N16" s="43">
        <f>L16-M16</f>
        <v>4740000</v>
      </c>
      <c r="O16" s="337"/>
      <c r="P16" s="337"/>
      <c r="Q16" s="43">
        <v>570000</v>
      </c>
      <c r="R16" s="43">
        <v>1620000</v>
      </c>
      <c r="S16" s="43">
        <f t="shared" si="3"/>
        <v>2190000</v>
      </c>
      <c r="T16" s="327">
        <f>S16/N16*100</f>
        <v>46.202531645569621</v>
      </c>
      <c r="U16" s="43">
        <f t="shared" ref="U16:U36" si="5">N16-S16</f>
        <v>2550000</v>
      </c>
      <c r="V16" s="42">
        <f t="shared" si="2"/>
        <v>1275000</v>
      </c>
      <c r="W16" s="22">
        <f t="shared" si="0"/>
        <v>12.025316455696203</v>
      </c>
      <c r="X16" s="22">
        <f t="shared" si="1"/>
        <v>12.025316455696203</v>
      </c>
      <c r="Z16" s="65">
        <f t="shared" si="4"/>
        <v>12.025316455696203</v>
      </c>
    </row>
    <row r="17" spans="1:26" x14ac:dyDescent="0.25">
      <c r="A17" s="240"/>
      <c r="B17" s="329"/>
      <c r="C17" s="329"/>
      <c r="D17" s="322"/>
      <c r="E17" s="323"/>
      <c r="F17" s="323"/>
      <c r="G17" s="323"/>
      <c r="H17" s="323"/>
      <c r="I17" s="323"/>
      <c r="J17" s="362"/>
      <c r="K17" s="365"/>
      <c r="L17" s="43"/>
      <c r="M17" s="43"/>
      <c r="N17" s="43"/>
      <c r="O17" s="43"/>
      <c r="P17" s="43"/>
      <c r="Q17" s="363"/>
      <c r="R17" s="364"/>
      <c r="S17" s="364"/>
      <c r="T17" s="327"/>
      <c r="U17" s="43"/>
      <c r="V17" s="42">
        <f t="shared" si="2"/>
        <v>0</v>
      </c>
      <c r="W17" s="22"/>
      <c r="X17" s="22"/>
      <c r="Z17" s="22" t="e">
        <f t="shared" si="4"/>
        <v>#DIV/0!</v>
      </c>
    </row>
    <row r="18" spans="1:26" ht="17.25" x14ac:dyDescent="0.3">
      <c r="A18" s="394"/>
      <c r="B18" s="514" t="s">
        <v>43</v>
      </c>
      <c r="C18" s="515"/>
      <c r="D18" s="515"/>
      <c r="E18" s="515"/>
      <c r="F18" s="516"/>
      <c r="G18" s="395"/>
      <c r="H18" s="395"/>
      <c r="I18" s="395"/>
      <c r="J18" s="396"/>
      <c r="K18" s="397" t="s">
        <v>186</v>
      </c>
      <c r="L18" s="398">
        <v>19754000</v>
      </c>
      <c r="M18" s="398">
        <v>0</v>
      </c>
      <c r="N18" s="398">
        <f>L18-M18</f>
        <v>19754000</v>
      </c>
      <c r="O18" s="398"/>
      <c r="P18" s="398"/>
      <c r="Q18" s="399">
        <v>0</v>
      </c>
      <c r="R18" s="399">
        <v>19693400</v>
      </c>
      <c r="S18" s="399">
        <f>Q18+R18</f>
        <v>19693400</v>
      </c>
      <c r="T18" s="400">
        <f>S18/N18*100</f>
        <v>99.693226688265668</v>
      </c>
      <c r="U18" s="398">
        <f t="shared" si="5"/>
        <v>60600</v>
      </c>
      <c r="V18" s="42">
        <f t="shared" si="2"/>
        <v>30300</v>
      </c>
      <c r="W18" s="22">
        <f t="shared" si="0"/>
        <v>0</v>
      </c>
      <c r="X18" s="22">
        <f t="shared" si="1"/>
        <v>0</v>
      </c>
      <c r="Z18" s="65">
        <f t="shared" si="4"/>
        <v>0</v>
      </c>
    </row>
    <row r="19" spans="1:26" x14ac:dyDescent="0.25">
      <c r="A19" s="240"/>
      <c r="B19" s="329"/>
      <c r="C19" s="329"/>
      <c r="D19" s="322"/>
      <c r="E19" s="323"/>
      <c r="F19" s="323"/>
      <c r="G19" s="323"/>
      <c r="H19" s="323"/>
      <c r="I19" s="323"/>
      <c r="J19" s="362"/>
      <c r="K19" s="365"/>
      <c r="L19" s="43"/>
      <c r="M19" s="43"/>
      <c r="N19" s="43"/>
      <c r="O19" s="43"/>
      <c r="P19" s="43"/>
      <c r="Q19" s="363"/>
      <c r="R19" s="364"/>
      <c r="S19" s="364"/>
      <c r="T19" s="327"/>
      <c r="U19" s="43"/>
      <c r="V19" s="42">
        <f t="shared" si="2"/>
        <v>0</v>
      </c>
      <c r="W19" s="22"/>
      <c r="X19" s="22"/>
      <c r="Z19" s="22" t="e">
        <f t="shared" si="4"/>
        <v>#DIV/0!</v>
      </c>
    </row>
    <row r="20" spans="1:26" ht="17.25" x14ac:dyDescent="0.3">
      <c r="A20" s="394"/>
      <c r="B20" s="514" t="s">
        <v>238</v>
      </c>
      <c r="C20" s="515"/>
      <c r="D20" s="515"/>
      <c r="E20" s="515"/>
      <c r="F20" s="516"/>
      <c r="G20" s="401"/>
      <c r="H20" s="401"/>
      <c r="I20" s="395"/>
      <c r="J20" s="396"/>
      <c r="K20" s="397" t="s">
        <v>92</v>
      </c>
      <c r="L20" s="398">
        <v>4468000</v>
      </c>
      <c r="M20" s="398">
        <v>0</v>
      </c>
      <c r="N20" s="398">
        <f>L20-M20</f>
        <v>4468000</v>
      </c>
      <c r="O20" s="402"/>
      <c r="P20" s="402"/>
      <c r="Q20" s="399">
        <v>555000</v>
      </c>
      <c r="R20" s="399">
        <v>1512000</v>
      </c>
      <c r="S20" s="399">
        <f>Q20+R20</f>
        <v>2067000</v>
      </c>
      <c r="T20" s="400">
        <f>S20/N20*100</f>
        <v>46.262309758281113</v>
      </c>
      <c r="U20" s="398">
        <f t="shared" si="5"/>
        <v>2401000</v>
      </c>
      <c r="V20" s="42">
        <f t="shared" si="2"/>
        <v>1200500</v>
      </c>
      <c r="W20" s="22">
        <f t="shared" si="0"/>
        <v>12.421665174574754</v>
      </c>
      <c r="X20" s="22">
        <f t="shared" si="1"/>
        <v>12.421665174574754</v>
      </c>
      <c r="Z20" s="65">
        <f t="shared" si="4"/>
        <v>12.421665174574754</v>
      </c>
    </row>
    <row r="21" spans="1:26" x14ac:dyDescent="0.25">
      <c r="A21" s="240"/>
      <c r="B21" s="329"/>
      <c r="C21" s="331"/>
      <c r="D21" s="323"/>
      <c r="E21" s="323"/>
      <c r="F21" s="323"/>
      <c r="G21" s="322"/>
      <c r="H21" s="322"/>
      <c r="I21" s="323"/>
      <c r="J21" s="362"/>
      <c r="K21" s="366"/>
      <c r="L21" s="43"/>
      <c r="M21" s="43"/>
      <c r="N21" s="43"/>
      <c r="O21" s="337"/>
      <c r="P21" s="337"/>
      <c r="Q21" s="363"/>
      <c r="R21" s="364"/>
      <c r="S21" s="364"/>
      <c r="T21" s="327"/>
      <c r="U21" s="43"/>
      <c r="V21" s="42">
        <f t="shared" si="2"/>
        <v>0</v>
      </c>
      <c r="W21" s="22"/>
      <c r="X21" s="22"/>
      <c r="Z21" s="22" t="e">
        <f t="shared" si="4"/>
        <v>#DIV/0!</v>
      </c>
    </row>
    <row r="22" spans="1:26" ht="17.25" x14ac:dyDescent="0.3">
      <c r="A22" s="403"/>
      <c r="B22" s="404" t="s">
        <v>239</v>
      </c>
      <c r="C22" s="405"/>
      <c r="D22" s="406"/>
      <c r="E22" s="407"/>
      <c r="F22" s="407"/>
      <c r="G22" s="408"/>
      <c r="H22" s="409"/>
      <c r="I22" s="409"/>
      <c r="J22" s="410"/>
      <c r="K22" s="397" t="s">
        <v>187</v>
      </c>
      <c r="L22" s="411">
        <f>L24+L26</f>
        <v>3020000</v>
      </c>
      <c r="M22" s="411">
        <v>0</v>
      </c>
      <c r="N22" s="398">
        <f>L22-M22</f>
        <v>3020000</v>
      </c>
      <c r="O22" s="411"/>
      <c r="P22" s="411"/>
      <c r="Q22" s="411">
        <f>Q24+Q26</f>
        <v>0</v>
      </c>
      <c r="R22" s="411">
        <v>1311500</v>
      </c>
      <c r="S22" s="411">
        <f t="shared" ref="S22" si="6">Q22+R22</f>
        <v>1311500</v>
      </c>
      <c r="T22" s="400">
        <f>S22/N22*100</f>
        <v>43.427152317880797</v>
      </c>
      <c r="U22" s="398">
        <f t="shared" si="5"/>
        <v>1708500</v>
      </c>
      <c r="V22" s="42">
        <f t="shared" si="2"/>
        <v>854250</v>
      </c>
      <c r="W22" s="22">
        <f t="shared" si="0"/>
        <v>0</v>
      </c>
      <c r="X22" s="22">
        <f t="shared" si="1"/>
        <v>0</v>
      </c>
      <c r="Z22" s="65">
        <f t="shared" si="4"/>
        <v>0</v>
      </c>
    </row>
    <row r="23" spans="1:26" ht="17.25" x14ac:dyDescent="0.3">
      <c r="A23" s="232"/>
      <c r="B23" s="313"/>
      <c r="C23" s="328"/>
      <c r="D23" s="315"/>
      <c r="E23" s="316"/>
      <c r="F23" s="316"/>
      <c r="G23" s="317"/>
      <c r="H23" s="319"/>
      <c r="I23" s="319"/>
      <c r="J23" s="312"/>
      <c r="K23" s="361"/>
      <c r="L23" s="367"/>
      <c r="M23" s="367"/>
      <c r="N23" s="43"/>
      <c r="O23" s="367"/>
      <c r="P23" s="367"/>
      <c r="Q23" s="367"/>
      <c r="R23" s="367"/>
      <c r="S23" s="367"/>
      <c r="T23" s="327"/>
      <c r="U23" s="43"/>
      <c r="V23" s="42"/>
      <c r="W23" s="22"/>
      <c r="X23" s="22"/>
      <c r="Z23" s="65"/>
    </row>
    <row r="24" spans="1:26" ht="17.25" x14ac:dyDescent="0.3">
      <c r="A24" s="232"/>
      <c r="B24" s="313"/>
      <c r="C24" s="328"/>
      <c r="D24" s="315"/>
      <c r="E24" s="316"/>
      <c r="F24" s="316"/>
      <c r="G24" s="317"/>
      <c r="H24" s="319"/>
      <c r="I24" s="319"/>
      <c r="J24" s="312"/>
      <c r="K24" s="361" t="s">
        <v>292</v>
      </c>
      <c r="L24" s="367">
        <v>1800000</v>
      </c>
      <c r="M24" s="367"/>
      <c r="N24" s="43">
        <f>L24-M24</f>
        <v>1800000</v>
      </c>
      <c r="O24" s="367"/>
      <c r="P24" s="367"/>
      <c r="Q24" s="367">
        <v>0</v>
      </c>
      <c r="R24" s="367">
        <v>1050000</v>
      </c>
      <c r="S24" s="43">
        <f t="shared" ref="S24" si="7">Q24+R24</f>
        <v>1050000</v>
      </c>
      <c r="T24" s="327">
        <f>S24/N24*100</f>
        <v>58.333333333333336</v>
      </c>
      <c r="U24" s="43">
        <f t="shared" si="5"/>
        <v>750000</v>
      </c>
      <c r="V24" s="42"/>
      <c r="W24" s="22"/>
      <c r="X24" s="22"/>
      <c r="Z24" s="65"/>
    </row>
    <row r="25" spans="1:26" ht="17.25" x14ac:dyDescent="0.3">
      <c r="A25" s="232"/>
      <c r="B25" s="313"/>
      <c r="C25" s="328"/>
      <c r="D25" s="315"/>
      <c r="E25" s="316"/>
      <c r="F25" s="316"/>
      <c r="G25" s="317"/>
      <c r="H25" s="319"/>
      <c r="I25" s="319"/>
      <c r="J25" s="312"/>
      <c r="K25" s="361"/>
      <c r="L25" s="367"/>
      <c r="M25" s="367"/>
      <c r="N25" s="43"/>
      <c r="O25" s="367"/>
      <c r="P25" s="367"/>
      <c r="Q25" s="367"/>
      <c r="R25" s="367"/>
      <c r="S25" s="367"/>
      <c r="T25" s="327"/>
      <c r="U25" s="43"/>
      <c r="V25" s="42"/>
      <c r="W25" s="22"/>
      <c r="X25" s="22"/>
      <c r="Z25" s="65"/>
    </row>
    <row r="26" spans="1:26" ht="17.25" x14ac:dyDescent="0.3">
      <c r="A26" s="232"/>
      <c r="B26" s="313"/>
      <c r="C26" s="328"/>
      <c r="D26" s="315"/>
      <c r="E26" s="316"/>
      <c r="F26" s="316"/>
      <c r="G26" s="317"/>
      <c r="H26" s="319"/>
      <c r="I26" s="319"/>
      <c r="J26" s="312"/>
      <c r="K26" s="361" t="s">
        <v>293</v>
      </c>
      <c r="L26" s="367">
        <v>1220000</v>
      </c>
      <c r="M26" s="367"/>
      <c r="N26" s="43">
        <f>L26-M26</f>
        <v>1220000</v>
      </c>
      <c r="O26" s="367"/>
      <c r="P26" s="367"/>
      <c r="Q26" s="367">
        <v>0</v>
      </c>
      <c r="R26" s="367">
        <v>261000</v>
      </c>
      <c r="S26" s="43">
        <f t="shared" ref="S26" si="8">Q26+R26</f>
        <v>261000</v>
      </c>
      <c r="T26" s="327">
        <f>S26/N26*100</f>
        <v>21.393442622950822</v>
      </c>
      <c r="U26" s="43">
        <f t="shared" si="5"/>
        <v>959000</v>
      </c>
      <c r="V26" s="42"/>
      <c r="W26" s="22"/>
      <c r="X26" s="22"/>
      <c r="Z26" s="65"/>
    </row>
    <row r="27" spans="1:26" x14ac:dyDescent="0.25">
      <c r="A27" s="240"/>
      <c r="B27" s="329"/>
      <c r="C27" s="331"/>
      <c r="D27" s="323"/>
      <c r="E27" s="323"/>
      <c r="F27" s="323"/>
      <c r="G27" s="322"/>
      <c r="H27" s="322"/>
      <c r="I27" s="323"/>
      <c r="J27" s="362"/>
      <c r="K27" s="368"/>
      <c r="L27" s="337"/>
      <c r="M27" s="337"/>
      <c r="N27" s="43"/>
      <c r="O27" s="337"/>
      <c r="P27" s="337"/>
      <c r="Q27" s="363"/>
      <c r="R27" s="364"/>
      <c r="S27" s="364"/>
      <c r="T27" s="327"/>
      <c r="U27" s="43"/>
      <c r="V27" s="42">
        <f t="shared" si="2"/>
        <v>0</v>
      </c>
      <c r="W27" s="22"/>
      <c r="X27" s="22"/>
      <c r="Z27" s="22" t="e">
        <f t="shared" si="4"/>
        <v>#DIV/0!</v>
      </c>
    </row>
    <row r="28" spans="1:26" ht="17.25" x14ac:dyDescent="0.3">
      <c r="A28" s="403"/>
      <c r="B28" s="514" t="s">
        <v>240</v>
      </c>
      <c r="C28" s="515"/>
      <c r="D28" s="515"/>
      <c r="E28" s="515"/>
      <c r="F28" s="515"/>
      <c r="G28" s="516"/>
      <c r="H28" s="412"/>
      <c r="I28" s="409"/>
      <c r="J28" s="410"/>
      <c r="K28" s="397" t="s">
        <v>88</v>
      </c>
      <c r="L28" s="398">
        <v>12200000</v>
      </c>
      <c r="M28" s="398">
        <v>0</v>
      </c>
      <c r="N28" s="398">
        <f>L28-M28</f>
        <v>12200000</v>
      </c>
      <c r="O28" s="398"/>
      <c r="P28" s="398"/>
      <c r="Q28" s="398">
        <f>Q30+Q32+Q34</f>
        <v>330000</v>
      </c>
      <c r="R28" s="398">
        <v>8592000</v>
      </c>
      <c r="S28" s="398">
        <f t="shared" ref="S28" si="9">Q28+R28</f>
        <v>8922000</v>
      </c>
      <c r="T28" s="400">
        <f>S28/N28*100</f>
        <v>73.131147540983605</v>
      </c>
      <c r="U28" s="398">
        <f t="shared" si="5"/>
        <v>3278000</v>
      </c>
      <c r="V28" s="42">
        <f t="shared" si="2"/>
        <v>1639000</v>
      </c>
      <c r="W28" s="22">
        <f t="shared" si="0"/>
        <v>2.7049180327868854</v>
      </c>
      <c r="X28" s="22">
        <f>Q28/N28*100</f>
        <v>2.7049180327868854</v>
      </c>
      <c r="Z28" s="65">
        <f t="shared" si="4"/>
        <v>2.7049180327868854</v>
      </c>
    </row>
    <row r="29" spans="1:26" ht="17.25" x14ac:dyDescent="0.3">
      <c r="A29" s="232"/>
      <c r="B29" s="391"/>
      <c r="C29" s="392"/>
      <c r="D29" s="392"/>
      <c r="E29" s="392"/>
      <c r="F29" s="392"/>
      <c r="G29" s="393"/>
      <c r="H29" s="318"/>
      <c r="I29" s="319"/>
      <c r="J29" s="312"/>
      <c r="K29" s="361"/>
      <c r="L29" s="43"/>
      <c r="M29" s="43"/>
      <c r="N29" s="43"/>
      <c r="O29" s="43"/>
      <c r="P29" s="43"/>
      <c r="Q29" s="43"/>
      <c r="R29" s="43"/>
      <c r="S29" s="43"/>
      <c r="T29" s="327"/>
      <c r="U29" s="43"/>
      <c r="V29" s="42"/>
      <c r="W29" s="22"/>
      <c r="X29" s="22"/>
      <c r="Z29" s="65"/>
    </row>
    <row r="30" spans="1:26" ht="17.25" x14ac:dyDescent="0.3">
      <c r="A30" s="232"/>
      <c r="B30" s="391"/>
      <c r="C30" s="392"/>
      <c r="D30" s="392"/>
      <c r="E30" s="392"/>
      <c r="F30" s="392"/>
      <c r="G30" s="393"/>
      <c r="H30" s="318"/>
      <c r="I30" s="319"/>
      <c r="J30" s="312"/>
      <c r="K30" s="361" t="s">
        <v>294</v>
      </c>
      <c r="L30" s="43">
        <v>6000000</v>
      </c>
      <c r="M30" s="43"/>
      <c r="N30" s="43">
        <v>6000000</v>
      </c>
      <c r="O30" s="43"/>
      <c r="P30" s="43"/>
      <c r="Q30" s="43">
        <v>0</v>
      </c>
      <c r="R30" s="43">
        <v>6000000</v>
      </c>
      <c r="S30" s="43">
        <f t="shared" ref="S30" si="10">Q30+R30</f>
        <v>6000000</v>
      </c>
      <c r="T30" s="327">
        <f>S30/N30*100</f>
        <v>100</v>
      </c>
      <c r="U30" s="43">
        <f t="shared" si="5"/>
        <v>0</v>
      </c>
      <c r="V30" s="42"/>
      <c r="W30" s="22"/>
      <c r="X30" s="22"/>
      <c r="Z30" s="65"/>
    </row>
    <row r="31" spans="1:26" ht="17.25" x14ac:dyDescent="0.3">
      <c r="A31" s="232"/>
      <c r="B31" s="391"/>
      <c r="C31" s="392"/>
      <c r="D31" s="392"/>
      <c r="E31" s="392"/>
      <c r="F31" s="392"/>
      <c r="G31" s="393"/>
      <c r="H31" s="318"/>
      <c r="I31" s="319"/>
      <c r="J31" s="312"/>
      <c r="K31" s="361"/>
      <c r="L31" s="43"/>
      <c r="M31" s="43"/>
      <c r="N31" s="43"/>
      <c r="O31" s="43"/>
      <c r="P31" s="43"/>
      <c r="Q31" s="43"/>
      <c r="R31" s="43"/>
      <c r="S31" s="43"/>
      <c r="T31" s="327"/>
      <c r="U31" s="43"/>
      <c r="V31" s="42"/>
      <c r="W31" s="22"/>
      <c r="X31" s="22"/>
      <c r="Z31" s="65"/>
    </row>
    <row r="32" spans="1:26" ht="17.25" x14ac:dyDescent="0.3">
      <c r="A32" s="232"/>
      <c r="B32" s="391"/>
      <c r="C32" s="392"/>
      <c r="D32" s="392"/>
      <c r="E32" s="392"/>
      <c r="F32" s="392"/>
      <c r="G32" s="393"/>
      <c r="H32" s="318"/>
      <c r="I32" s="319"/>
      <c r="J32" s="312"/>
      <c r="K32" s="361" t="s">
        <v>295</v>
      </c>
      <c r="L32" s="43">
        <v>3200000</v>
      </c>
      <c r="M32" s="43"/>
      <c r="N32" s="43">
        <v>3200000</v>
      </c>
      <c r="O32" s="43"/>
      <c r="P32" s="43"/>
      <c r="Q32" s="43">
        <v>0</v>
      </c>
      <c r="R32" s="43">
        <v>1250000</v>
      </c>
      <c r="S32" s="43">
        <f t="shared" ref="S32" si="11">Q32+R32</f>
        <v>1250000</v>
      </c>
      <c r="T32" s="327">
        <f>S32/N32*100</f>
        <v>39.0625</v>
      </c>
      <c r="U32" s="43">
        <f t="shared" si="5"/>
        <v>1950000</v>
      </c>
      <c r="V32" s="42"/>
      <c r="W32" s="22"/>
      <c r="X32" s="22"/>
      <c r="Z32" s="65"/>
    </row>
    <row r="33" spans="1:26" ht="17.25" x14ac:dyDescent="0.3">
      <c r="A33" s="232"/>
      <c r="B33" s="391"/>
      <c r="C33" s="392"/>
      <c r="D33" s="392"/>
      <c r="E33" s="392"/>
      <c r="F33" s="392"/>
      <c r="G33" s="393"/>
      <c r="H33" s="318"/>
      <c r="I33" s="319"/>
      <c r="J33" s="312"/>
      <c r="K33" s="361"/>
      <c r="L33" s="43"/>
      <c r="M33" s="43"/>
      <c r="N33" s="43"/>
      <c r="O33" s="43"/>
      <c r="P33" s="43"/>
      <c r="Q33" s="43"/>
      <c r="R33" s="43"/>
      <c r="S33" s="43"/>
      <c r="T33" s="327"/>
      <c r="U33" s="43"/>
      <c r="V33" s="42"/>
      <c r="W33" s="22"/>
      <c r="X33" s="22"/>
      <c r="Z33" s="65"/>
    </row>
    <row r="34" spans="1:26" ht="17.25" x14ac:dyDescent="0.3">
      <c r="A34" s="232"/>
      <c r="B34" s="391"/>
      <c r="C34" s="392"/>
      <c r="D34" s="392"/>
      <c r="E34" s="392"/>
      <c r="F34" s="392"/>
      <c r="G34" s="393"/>
      <c r="H34" s="318"/>
      <c r="I34" s="319"/>
      <c r="J34" s="312"/>
      <c r="K34" s="361" t="s">
        <v>296</v>
      </c>
      <c r="L34" s="43">
        <v>3000000</v>
      </c>
      <c r="M34" s="43"/>
      <c r="N34" s="43">
        <v>3000000</v>
      </c>
      <c r="O34" s="43"/>
      <c r="P34" s="43"/>
      <c r="Q34" s="43">
        <v>330000</v>
      </c>
      <c r="R34" s="43">
        <v>1342000</v>
      </c>
      <c r="S34" s="43">
        <f t="shared" ref="S34" si="12">Q34+R34</f>
        <v>1672000</v>
      </c>
      <c r="T34" s="327">
        <f>S34/N34*100</f>
        <v>55.733333333333334</v>
      </c>
      <c r="U34" s="43">
        <f t="shared" si="5"/>
        <v>1328000</v>
      </c>
      <c r="V34" s="42"/>
      <c r="W34" s="22"/>
      <c r="X34" s="22"/>
      <c r="Z34" s="65"/>
    </row>
    <row r="35" spans="1:26" x14ac:dyDescent="0.25">
      <c r="A35" s="240"/>
      <c r="B35" s="329"/>
      <c r="C35" s="331"/>
      <c r="D35" s="323"/>
      <c r="E35" s="323"/>
      <c r="F35" s="323"/>
      <c r="G35" s="322"/>
      <c r="H35" s="322"/>
      <c r="I35" s="323"/>
      <c r="J35" s="362"/>
      <c r="K35" s="368"/>
      <c r="L35" s="337"/>
      <c r="M35" s="337"/>
      <c r="N35" s="337"/>
      <c r="O35" s="337"/>
      <c r="P35" s="337"/>
      <c r="Q35" s="363"/>
      <c r="R35" s="364"/>
      <c r="S35" s="364"/>
      <c r="T35" s="327"/>
      <c r="U35" s="43"/>
      <c r="V35" s="42">
        <f t="shared" si="2"/>
        <v>0</v>
      </c>
      <c r="W35" s="22"/>
      <c r="X35" s="22"/>
      <c r="Z35" s="22" t="e">
        <f t="shared" si="4"/>
        <v>#DIV/0!</v>
      </c>
    </row>
    <row r="36" spans="1:26" ht="17.25" x14ac:dyDescent="0.3">
      <c r="A36" s="394"/>
      <c r="B36" s="514" t="s">
        <v>241</v>
      </c>
      <c r="C36" s="515"/>
      <c r="D36" s="515"/>
      <c r="E36" s="515"/>
      <c r="F36" s="516"/>
      <c r="G36" s="401"/>
      <c r="H36" s="401"/>
      <c r="I36" s="395"/>
      <c r="J36" s="396"/>
      <c r="K36" s="397" t="s">
        <v>188</v>
      </c>
      <c r="L36" s="398">
        <v>3600000</v>
      </c>
      <c r="M36" s="398">
        <v>0</v>
      </c>
      <c r="N36" s="398">
        <f t="shared" ref="N36:N106" si="13">L36-M36</f>
        <v>3600000</v>
      </c>
      <c r="O36" s="402"/>
      <c r="P36" s="402"/>
      <c r="Q36" s="399">
        <v>0</v>
      </c>
      <c r="R36" s="399">
        <v>1500000</v>
      </c>
      <c r="S36" s="399">
        <f>Q36+R36</f>
        <v>1500000</v>
      </c>
      <c r="T36" s="400">
        <f>S36/N36*100</f>
        <v>41.666666666666671</v>
      </c>
      <c r="U36" s="398">
        <f t="shared" si="5"/>
        <v>2100000</v>
      </c>
      <c r="V36" s="42">
        <f t="shared" si="2"/>
        <v>1050000</v>
      </c>
      <c r="W36" s="22">
        <f t="shared" si="0"/>
        <v>0</v>
      </c>
      <c r="X36" s="22">
        <f t="shared" si="1"/>
        <v>0</v>
      </c>
      <c r="Z36" s="65">
        <f t="shared" si="4"/>
        <v>0</v>
      </c>
    </row>
    <row r="37" spans="1:26" x14ac:dyDescent="0.25">
      <c r="A37" s="240"/>
      <c r="B37" s="329"/>
      <c r="C37" s="331"/>
      <c r="D37" s="323"/>
      <c r="E37" s="323"/>
      <c r="F37" s="323"/>
      <c r="G37" s="322"/>
      <c r="H37" s="322"/>
      <c r="I37" s="323"/>
      <c r="J37" s="362"/>
      <c r="K37" s="368"/>
      <c r="L37" s="337"/>
      <c r="M37" s="337"/>
      <c r="N37" s="43"/>
      <c r="O37" s="337"/>
      <c r="P37" s="337"/>
      <c r="Q37" s="364"/>
      <c r="R37" s="364"/>
      <c r="S37" s="364"/>
      <c r="T37" s="327"/>
      <c r="U37" s="43"/>
      <c r="V37" s="42">
        <f t="shared" si="2"/>
        <v>0</v>
      </c>
      <c r="W37" s="22"/>
      <c r="X37" s="22"/>
      <c r="Z37" s="22" t="e">
        <f t="shared" si="4"/>
        <v>#DIV/0!</v>
      </c>
    </row>
    <row r="38" spans="1:26" ht="17.25" x14ac:dyDescent="0.3">
      <c r="A38" s="394"/>
      <c r="B38" s="514" t="s">
        <v>242</v>
      </c>
      <c r="C38" s="515"/>
      <c r="D38" s="515"/>
      <c r="E38" s="515"/>
      <c r="F38" s="516"/>
      <c r="G38" s="401"/>
      <c r="H38" s="401"/>
      <c r="I38" s="395"/>
      <c r="J38" s="396"/>
      <c r="K38" s="397" t="s">
        <v>189</v>
      </c>
      <c r="L38" s="398">
        <v>50388000</v>
      </c>
      <c r="M38" s="398">
        <v>0</v>
      </c>
      <c r="N38" s="398">
        <f t="shared" si="13"/>
        <v>50388000</v>
      </c>
      <c r="O38" s="402"/>
      <c r="P38" s="402"/>
      <c r="Q38" s="399">
        <v>4168000</v>
      </c>
      <c r="R38" s="399">
        <v>26087004</v>
      </c>
      <c r="S38" s="399">
        <f>Q38+R38</f>
        <v>30255004</v>
      </c>
      <c r="T38" s="400">
        <f>S38/N38*100</f>
        <v>60.044066047471624</v>
      </c>
      <c r="U38" s="398">
        <f t="shared" ref="U38:U112" si="14">N38-S38</f>
        <v>20132996</v>
      </c>
      <c r="V38" s="42">
        <f t="shared" si="2"/>
        <v>10066498</v>
      </c>
      <c r="W38" s="22">
        <f t="shared" ref="W38:W106" si="15">Q38/N38*100</f>
        <v>8.2718107485909336</v>
      </c>
      <c r="X38" s="22">
        <f t="shared" si="1"/>
        <v>8.2718107485909336</v>
      </c>
      <c r="Z38" s="65">
        <f t="shared" si="4"/>
        <v>8.2718107485909336</v>
      </c>
    </row>
    <row r="39" spans="1:26" x14ac:dyDescent="0.25">
      <c r="A39" s="240"/>
      <c r="B39" s="329"/>
      <c r="C39" s="331"/>
      <c r="D39" s="323"/>
      <c r="E39" s="323"/>
      <c r="F39" s="323"/>
      <c r="G39" s="322"/>
      <c r="H39" s="322"/>
      <c r="I39" s="323"/>
      <c r="J39" s="362"/>
      <c r="K39" s="368"/>
      <c r="L39" s="337"/>
      <c r="M39" s="337"/>
      <c r="N39" s="337"/>
      <c r="O39" s="337"/>
      <c r="P39" s="337"/>
      <c r="Q39" s="363"/>
      <c r="R39" s="364"/>
      <c r="S39" s="364"/>
      <c r="T39" s="327"/>
      <c r="U39" s="43"/>
      <c r="V39" s="42">
        <f t="shared" si="2"/>
        <v>0</v>
      </c>
      <c r="W39" s="22"/>
      <c r="X39" s="22"/>
      <c r="Z39" s="22" t="e">
        <f t="shared" si="4"/>
        <v>#DIV/0!</v>
      </c>
    </row>
    <row r="40" spans="1:26" ht="17.25" x14ac:dyDescent="0.3">
      <c r="A40" s="394"/>
      <c r="B40" s="514" t="s">
        <v>243</v>
      </c>
      <c r="C40" s="515"/>
      <c r="D40" s="515"/>
      <c r="E40" s="515"/>
      <c r="F40" s="516"/>
      <c r="G40" s="401"/>
      <c r="H40" s="401"/>
      <c r="I40" s="395"/>
      <c r="J40" s="396"/>
      <c r="K40" s="397" t="s">
        <v>190</v>
      </c>
      <c r="L40" s="398">
        <f>L44+L42</f>
        <v>33005000</v>
      </c>
      <c r="M40" s="398">
        <v>0</v>
      </c>
      <c r="N40" s="398">
        <f t="shared" si="13"/>
        <v>33005000</v>
      </c>
      <c r="O40" s="402"/>
      <c r="P40" s="402"/>
      <c r="Q40" s="398">
        <f>Q42+Q44</f>
        <v>3677500</v>
      </c>
      <c r="R40" s="399">
        <v>14259750</v>
      </c>
      <c r="S40" s="399">
        <f>Q40+R40</f>
        <v>17937250</v>
      </c>
      <c r="T40" s="400">
        <f>S40/N40*100</f>
        <v>54.347068625965768</v>
      </c>
      <c r="U40" s="398">
        <f t="shared" si="14"/>
        <v>15067750</v>
      </c>
      <c r="V40" s="42">
        <f t="shared" si="2"/>
        <v>7533875</v>
      </c>
      <c r="W40" s="22"/>
      <c r="X40" s="22">
        <f t="shared" si="1"/>
        <v>11.142251174064535</v>
      </c>
      <c r="Z40" s="22">
        <f t="shared" si="4"/>
        <v>11.142251174064535</v>
      </c>
    </row>
    <row r="41" spans="1:26" x14ac:dyDescent="0.25">
      <c r="A41" s="240"/>
      <c r="B41" s="329"/>
      <c r="C41" s="331"/>
      <c r="D41" s="323"/>
      <c r="E41" s="323"/>
      <c r="F41" s="323"/>
      <c r="G41" s="322"/>
      <c r="H41" s="322"/>
      <c r="I41" s="323"/>
      <c r="J41" s="362"/>
      <c r="K41" s="433"/>
      <c r="L41" s="337"/>
      <c r="M41" s="337"/>
      <c r="N41" s="337"/>
      <c r="O41" s="337"/>
      <c r="P41" s="337"/>
      <c r="Q41" s="363"/>
      <c r="R41" s="364"/>
      <c r="S41" s="364"/>
      <c r="T41" s="327"/>
      <c r="U41" s="43"/>
      <c r="V41" s="42">
        <f t="shared" si="2"/>
        <v>0</v>
      </c>
      <c r="W41" s="22"/>
      <c r="X41" s="22"/>
      <c r="Z41" s="22" t="e">
        <f t="shared" si="4"/>
        <v>#DIV/0!</v>
      </c>
    </row>
    <row r="42" spans="1:26" x14ac:dyDescent="0.25">
      <c r="A42" s="240"/>
      <c r="B42" s="329"/>
      <c r="C42" s="331"/>
      <c r="D42" s="323"/>
      <c r="E42" s="323"/>
      <c r="F42" s="323"/>
      <c r="G42" s="322"/>
      <c r="H42" s="322"/>
      <c r="I42" s="323"/>
      <c r="J42" s="430"/>
      <c r="K42" s="434" t="s">
        <v>191</v>
      </c>
      <c r="L42" s="431">
        <v>15750000</v>
      </c>
      <c r="M42" s="337">
        <v>0</v>
      </c>
      <c r="N42" s="43">
        <f t="shared" si="13"/>
        <v>15750000</v>
      </c>
      <c r="O42" s="337"/>
      <c r="P42" s="337"/>
      <c r="Q42" s="363">
        <v>2650000</v>
      </c>
      <c r="R42" s="364">
        <v>6570000</v>
      </c>
      <c r="S42" s="364">
        <f>Q42+R42</f>
        <v>9220000</v>
      </c>
      <c r="T42" s="327">
        <f>S42/N42*100</f>
        <v>58.539682539682538</v>
      </c>
      <c r="U42" s="43">
        <f t="shared" si="14"/>
        <v>6530000</v>
      </c>
      <c r="V42" s="42"/>
      <c r="W42" s="22"/>
      <c r="X42" s="22">
        <f t="shared" si="1"/>
        <v>16.825396825396826</v>
      </c>
      <c r="Z42" s="22"/>
    </row>
    <row r="43" spans="1:26" x14ac:dyDescent="0.25">
      <c r="A43" s="240"/>
      <c r="B43" s="329"/>
      <c r="C43" s="331"/>
      <c r="D43" s="323"/>
      <c r="E43" s="323"/>
      <c r="F43" s="323"/>
      <c r="G43" s="322"/>
      <c r="H43" s="322"/>
      <c r="I43" s="323"/>
      <c r="J43" s="430"/>
      <c r="K43" s="435"/>
      <c r="L43" s="431"/>
      <c r="M43" s="337"/>
      <c r="N43" s="337"/>
      <c r="O43" s="337"/>
      <c r="P43" s="337"/>
      <c r="Q43" s="363"/>
      <c r="R43" s="364"/>
      <c r="S43" s="364"/>
      <c r="T43" s="327"/>
      <c r="U43" s="43"/>
      <c r="V43" s="42"/>
      <c r="W43" s="22"/>
      <c r="X43" s="22"/>
      <c r="Z43" s="22"/>
    </row>
    <row r="44" spans="1:26" x14ac:dyDescent="0.25">
      <c r="A44" s="240"/>
      <c r="B44" s="329"/>
      <c r="C44" s="331"/>
      <c r="D44" s="323"/>
      <c r="E44" s="323"/>
      <c r="F44" s="323"/>
      <c r="G44" s="322"/>
      <c r="H44" s="322"/>
      <c r="I44" s="323"/>
      <c r="J44" s="430"/>
      <c r="K44" s="434" t="s">
        <v>192</v>
      </c>
      <c r="L44" s="432">
        <v>17255000</v>
      </c>
      <c r="M44" s="43">
        <v>0</v>
      </c>
      <c r="N44" s="43">
        <f t="shared" si="13"/>
        <v>17255000</v>
      </c>
      <c r="O44" s="337"/>
      <c r="P44" s="337"/>
      <c r="Q44" s="363">
        <v>1027500</v>
      </c>
      <c r="R44" s="364">
        <v>7689750</v>
      </c>
      <c r="S44" s="364">
        <f>Q44+R44</f>
        <v>8717250</v>
      </c>
      <c r="T44" s="327">
        <f>S44/N44*100</f>
        <v>50.520139090118811</v>
      </c>
      <c r="U44" s="43">
        <f t="shared" si="14"/>
        <v>8537750</v>
      </c>
      <c r="V44" s="42">
        <f t="shared" si="2"/>
        <v>4268875</v>
      </c>
      <c r="W44" s="22"/>
      <c r="X44" s="22">
        <f t="shared" si="1"/>
        <v>5.9547957113880035</v>
      </c>
      <c r="Z44" s="22">
        <f t="shared" si="4"/>
        <v>5.9547957113880035</v>
      </c>
    </row>
    <row r="45" spans="1:26" x14ac:dyDescent="0.25">
      <c r="A45" s="240"/>
      <c r="B45" s="329"/>
      <c r="C45" s="331"/>
      <c r="D45" s="323"/>
      <c r="E45" s="323"/>
      <c r="F45" s="323"/>
      <c r="G45" s="322"/>
      <c r="H45" s="322"/>
      <c r="I45" s="323"/>
      <c r="J45" s="430"/>
      <c r="K45" s="435"/>
      <c r="L45" s="431"/>
      <c r="M45" s="337"/>
      <c r="N45" s="337"/>
      <c r="O45" s="337"/>
      <c r="P45" s="337"/>
      <c r="Q45" s="363"/>
      <c r="R45" s="364"/>
      <c r="S45" s="364"/>
      <c r="T45" s="327"/>
      <c r="U45" s="43"/>
      <c r="V45" s="42">
        <f t="shared" si="2"/>
        <v>0</v>
      </c>
      <c r="W45" s="22"/>
      <c r="X45" s="22"/>
      <c r="Z45" s="22" t="e">
        <f t="shared" si="4"/>
        <v>#DIV/0!</v>
      </c>
    </row>
    <row r="46" spans="1:26" ht="17.25" x14ac:dyDescent="0.3">
      <c r="A46" s="394"/>
      <c r="B46" s="514" t="s">
        <v>244</v>
      </c>
      <c r="C46" s="515"/>
      <c r="D46" s="515"/>
      <c r="E46" s="515"/>
      <c r="F46" s="516"/>
      <c r="G46" s="413"/>
      <c r="H46" s="413"/>
      <c r="I46" s="414"/>
      <c r="J46" s="415"/>
      <c r="K46" s="397" t="s">
        <v>193</v>
      </c>
      <c r="L46" s="398">
        <v>136360000</v>
      </c>
      <c r="M46" s="398">
        <v>0</v>
      </c>
      <c r="N46" s="398">
        <f t="shared" si="13"/>
        <v>136360000</v>
      </c>
      <c r="O46" s="402"/>
      <c r="P46" s="402"/>
      <c r="Q46" s="399">
        <v>15922220</v>
      </c>
      <c r="R46" s="399">
        <v>66356000</v>
      </c>
      <c r="S46" s="399">
        <f>Q46+R46</f>
        <v>82278220</v>
      </c>
      <c r="T46" s="400">
        <f>S46/N46*100</f>
        <v>60.338970372543265</v>
      </c>
      <c r="U46" s="398">
        <f t="shared" si="14"/>
        <v>54081780</v>
      </c>
      <c r="V46" s="42">
        <f t="shared" si="2"/>
        <v>27040890</v>
      </c>
      <c r="W46" s="22">
        <f t="shared" si="15"/>
        <v>11.676606042827808</v>
      </c>
      <c r="X46" s="22">
        <f t="shared" si="1"/>
        <v>11.676606042827808</v>
      </c>
      <c r="Z46" s="65">
        <f t="shared" si="4"/>
        <v>11.676606042827808</v>
      </c>
    </row>
    <row r="47" spans="1:26" x14ac:dyDescent="0.25">
      <c r="A47" s="240"/>
      <c r="B47" s="329"/>
      <c r="C47" s="331"/>
      <c r="D47" s="323"/>
      <c r="E47" s="323"/>
      <c r="F47" s="323"/>
      <c r="G47" s="322"/>
      <c r="H47" s="322"/>
      <c r="I47" s="323"/>
      <c r="J47" s="362"/>
      <c r="K47" s="368"/>
      <c r="L47" s="337"/>
      <c r="M47" s="337"/>
      <c r="N47" s="337"/>
      <c r="O47" s="337"/>
      <c r="P47" s="337"/>
      <c r="Q47" s="363"/>
      <c r="R47" s="364"/>
      <c r="S47" s="364"/>
      <c r="T47" s="327"/>
      <c r="U47" s="43"/>
      <c r="V47" s="42">
        <f t="shared" si="2"/>
        <v>0</v>
      </c>
      <c r="W47" s="22"/>
      <c r="X47" s="22"/>
      <c r="Z47" s="22" t="e">
        <f t="shared" si="4"/>
        <v>#DIV/0!</v>
      </c>
    </row>
    <row r="48" spans="1:26" ht="17.25" x14ac:dyDescent="0.3">
      <c r="A48" s="394"/>
      <c r="B48" s="514" t="s">
        <v>245</v>
      </c>
      <c r="C48" s="515"/>
      <c r="D48" s="515"/>
      <c r="E48" s="515"/>
      <c r="F48" s="516"/>
      <c r="G48" s="413"/>
      <c r="H48" s="413"/>
      <c r="I48" s="414"/>
      <c r="J48" s="415"/>
      <c r="K48" s="397" t="s">
        <v>194</v>
      </c>
      <c r="L48" s="398">
        <v>1980000</v>
      </c>
      <c r="M48" s="398">
        <v>0</v>
      </c>
      <c r="N48" s="398">
        <f t="shared" si="13"/>
        <v>1980000</v>
      </c>
      <c r="O48" s="402"/>
      <c r="P48" s="402"/>
      <c r="Q48" s="399">
        <v>0</v>
      </c>
      <c r="R48" s="399">
        <v>1980000</v>
      </c>
      <c r="S48" s="399">
        <f>Q48+R48</f>
        <v>1980000</v>
      </c>
      <c r="T48" s="400">
        <f>S48/N48*100</f>
        <v>100</v>
      </c>
      <c r="U48" s="398">
        <f t="shared" si="14"/>
        <v>0</v>
      </c>
      <c r="V48" s="42">
        <f t="shared" si="2"/>
        <v>0</v>
      </c>
      <c r="W48" s="22">
        <f t="shared" si="15"/>
        <v>0</v>
      </c>
      <c r="X48" s="22">
        <f t="shared" si="1"/>
        <v>0</v>
      </c>
      <c r="Z48" s="65">
        <f t="shared" si="4"/>
        <v>0</v>
      </c>
    </row>
    <row r="49" spans="1:26" x14ac:dyDescent="0.25">
      <c r="A49" s="240"/>
      <c r="B49" s="329"/>
      <c r="C49" s="331"/>
      <c r="D49" s="323"/>
      <c r="E49" s="323"/>
      <c r="F49" s="323"/>
      <c r="G49" s="322"/>
      <c r="H49" s="322"/>
      <c r="I49" s="323"/>
      <c r="J49" s="362"/>
      <c r="K49" s="368"/>
      <c r="L49" s="337"/>
      <c r="M49" s="337"/>
      <c r="N49" s="337"/>
      <c r="O49" s="337"/>
      <c r="P49" s="337"/>
      <c r="Q49" s="363"/>
      <c r="R49" s="364"/>
      <c r="S49" s="364"/>
      <c r="T49" s="327"/>
      <c r="U49" s="43"/>
      <c r="V49" s="42">
        <f t="shared" si="2"/>
        <v>0</v>
      </c>
      <c r="W49" s="22"/>
      <c r="X49" s="22"/>
      <c r="Z49" s="22" t="e">
        <f t="shared" si="4"/>
        <v>#DIV/0!</v>
      </c>
    </row>
    <row r="50" spans="1:26" ht="17.25" x14ac:dyDescent="0.3">
      <c r="A50" s="394"/>
      <c r="B50" s="514" t="s">
        <v>246</v>
      </c>
      <c r="C50" s="515"/>
      <c r="D50" s="515"/>
      <c r="E50" s="515"/>
      <c r="F50" s="516"/>
      <c r="G50" s="413"/>
      <c r="H50" s="413"/>
      <c r="I50" s="414"/>
      <c r="J50" s="415"/>
      <c r="K50" s="397" t="s">
        <v>195</v>
      </c>
      <c r="L50" s="398">
        <v>1700000</v>
      </c>
      <c r="M50" s="398">
        <v>0</v>
      </c>
      <c r="N50" s="398">
        <f t="shared" si="13"/>
        <v>1700000</v>
      </c>
      <c r="O50" s="402"/>
      <c r="P50" s="402"/>
      <c r="Q50" s="399">
        <v>0</v>
      </c>
      <c r="R50" s="399">
        <v>1000000</v>
      </c>
      <c r="S50" s="399">
        <f>Q50+R50</f>
        <v>1000000</v>
      </c>
      <c r="T50" s="400">
        <f>S50/N50*100</f>
        <v>58.82352941176471</v>
      </c>
      <c r="U50" s="398">
        <f t="shared" si="14"/>
        <v>700000</v>
      </c>
      <c r="V50" s="42">
        <f t="shared" si="2"/>
        <v>350000</v>
      </c>
      <c r="W50" s="22">
        <f t="shared" si="15"/>
        <v>0</v>
      </c>
      <c r="X50" s="22">
        <f t="shared" si="1"/>
        <v>0</v>
      </c>
      <c r="Z50" s="65">
        <f t="shared" si="4"/>
        <v>0</v>
      </c>
    </row>
    <row r="51" spans="1:26" x14ac:dyDescent="0.25">
      <c r="A51" s="240"/>
      <c r="B51" s="329"/>
      <c r="C51" s="331"/>
      <c r="D51" s="323"/>
      <c r="E51" s="323"/>
      <c r="F51" s="323"/>
      <c r="G51" s="322"/>
      <c r="H51" s="322"/>
      <c r="I51" s="323"/>
      <c r="J51" s="362"/>
      <c r="K51" s="368"/>
      <c r="L51" s="337"/>
      <c r="M51" s="337"/>
      <c r="N51" s="337"/>
      <c r="O51" s="337"/>
      <c r="P51" s="337"/>
      <c r="Q51" s="363"/>
      <c r="R51" s="364"/>
      <c r="S51" s="364"/>
      <c r="T51" s="327"/>
      <c r="U51" s="43"/>
      <c r="V51" s="42">
        <f t="shared" si="2"/>
        <v>0</v>
      </c>
      <c r="W51" s="22"/>
      <c r="X51" s="22"/>
      <c r="Z51" s="22" t="e">
        <f t="shared" si="4"/>
        <v>#DIV/0!</v>
      </c>
    </row>
    <row r="52" spans="1:26" ht="17.25" x14ac:dyDescent="0.3">
      <c r="A52" s="394"/>
      <c r="B52" s="514" t="s">
        <v>246</v>
      </c>
      <c r="C52" s="515"/>
      <c r="D52" s="515"/>
      <c r="E52" s="515"/>
      <c r="F52" s="516"/>
      <c r="G52" s="416"/>
      <c r="H52" s="416"/>
      <c r="I52" s="416"/>
      <c r="J52" s="417"/>
      <c r="K52" s="397" t="s">
        <v>196</v>
      </c>
      <c r="L52" s="418">
        <f>L54+L56+L58</f>
        <v>231900000</v>
      </c>
      <c r="M52" s="418">
        <f>M54+M56+M58</f>
        <v>0</v>
      </c>
      <c r="N52" s="398">
        <f t="shared" si="13"/>
        <v>231900000</v>
      </c>
      <c r="O52" s="402"/>
      <c r="P52" s="402"/>
      <c r="Q52" s="399">
        <f>Q54+Q56+Q58</f>
        <v>16818295</v>
      </c>
      <c r="R52" s="399">
        <v>88143206</v>
      </c>
      <c r="S52" s="399">
        <f>Q52+R52</f>
        <v>104961501</v>
      </c>
      <c r="T52" s="400">
        <f>S52/N52*100</f>
        <v>45.261535575679176</v>
      </c>
      <c r="U52" s="398">
        <f t="shared" si="14"/>
        <v>126938499</v>
      </c>
      <c r="V52" s="42">
        <f t="shared" si="2"/>
        <v>63469249.5</v>
      </c>
      <c r="W52" s="22">
        <f t="shared" si="15"/>
        <v>7.2523911168607151</v>
      </c>
      <c r="X52" s="22">
        <f t="shared" si="1"/>
        <v>7.2523911168607151</v>
      </c>
      <c r="Z52" s="22">
        <f t="shared" si="4"/>
        <v>7.2523911168607151</v>
      </c>
    </row>
    <row r="53" spans="1:26" x14ac:dyDescent="0.25">
      <c r="A53" s="240"/>
      <c r="B53" s="329"/>
      <c r="C53" s="331"/>
      <c r="D53" s="323"/>
      <c r="E53" s="323"/>
      <c r="F53" s="323"/>
      <c r="G53" s="322"/>
      <c r="H53" s="322"/>
      <c r="I53" s="323"/>
      <c r="J53" s="362"/>
      <c r="K53" s="433"/>
      <c r="L53" s="337"/>
      <c r="M53" s="337"/>
      <c r="N53" s="337"/>
      <c r="O53" s="337"/>
      <c r="P53" s="337"/>
      <c r="Q53" s="363"/>
      <c r="R53" s="364"/>
      <c r="S53" s="364"/>
      <c r="T53" s="327"/>
      <c r="U53" s="43"/>
      <c r="V53" s="42">
        <f t="shared" si="2"/>
        <v>0</v>
      </c>
      <c r="W53" s="22"/>
      <c r="X53" s="22"/>
      <c r="Z53" s="22" t="e">
        <f t="shared" si="4"/>
        <v>#DIV/0!</v>
      </c>
    </row>
    <row r="54" spans="1:26" x14ac:dyDescent="0.25">
      <c r="A54" s="240"/>
      <c r="B54" s="329"/>
      <c r="C54" s="331"/>
      <c r="D54" s="323"/>
      <c r="E54" s="323"/>
      <c r="F54" s="323"/>
      <c r="G54" s="322"/>
      <c r="H54" s="322"/>
      <c r="I54" s="323"/>
      <c r="J54" s="430"/>
      <c r="K54" s="435" t="s">
        <v>197</v>
      </c>
      <c r="L54" s="431">
        <v>27000000</v>
      </c>
      <c r="M54" s="337">
        <v>0</v>
      </c>
      <c r="N54" s="43">
        <f t="shared" si="13"/>
        <v>27000000</v>
      </c>
      <c r="O54" s="337"/>
      <c r="P54" s="337"/>
      <c r="Q54" s="363">
        <v>1886399</v>
      </c>
      <c r="R54" s="364">
        <v>8678834</v>
      </c>
      <c r="S54" s="364">
        <f>Q54+R54</f>
        <v>10565233</v>
      </c>
      <c r="T54" s="327">
        <f>S54/N54*100</f>
        <v>39.130492592592589</v>
      </c>
      <c r="U54" s="43">
        <f t="shared" si="14"/>
        <v>16434767</v>
      </c>
      <c r="V54" s="42"/>
      <c r="W54" s="22"/>
      <c r="X54" s="22">
        <f t="shared" si="1"/>
        <v>6.9866629629629626</v>
      </c>
      <c r="Z54" s="22"/>
    </row>
    <row r="55" spans="1:26" x14ac:dyDescent="0.25">
      <c r="A55" s="240"/>
      <c r="B55" s="329"/>
      <c r="C55" s="331"/>
      <c r="D55" s="323"/>
      <c r="E55" s="323"/>
      <c r="F55" s="323"/>
      <c r="G55" s="322"/>
      <c r="H55" s="322"/>
      <c r="I55" s="323"/>
      <c r="J55" s="430"/>
      <c r="K55" s="435"/>
      <c r="L55" s="431"/>
      <c r="M55" s="337"/>
      <c r="N55" s="337"/>
      <c r="O55" s="337"/>
      <c r="P55" s="337"/>
      <c r="Q55" s="363"/>
      <c r="R55" s="364"/>
      <c r="S55" s="364"/>
      <c r="T55" s="327"/>
      <c r="U55" s="43"/>
      <c r="V55" s="42"/>
      <c r="W55" s="22"/>
      <c r="X55" s="22"/>
      <c r="Z55" s="22"/>
    </row>
    <row r="56" spans="1:26" x14ac:dyDescent="0.25">
      <c r="A56" s="240"/>
      <c r="B56" s="329"/>
      <c r="C56" s="331"/>
      <c r="D56" s="323"/>
      <c r="E56" s="323"/>
      <c r="F56" s="323"/>
      <c r="G56" s="322"/>
      <c r="H56" s="322"/>
      <c r="I56" s="323"/>
      <c r="J56" s="430"/>
      <c r="K56" s="435" t="s">
        <v>198</v>
      </c>
      <c r="L56" s="431">
        <v>900000</v>
      </c>
      <c r="M56" s="337">
        <v>0</v>
      </c>
      <c r="N56" s="43">
        <f t="shared" si="13"/>
        <v>900000</v>
      </c>
      <c r="O56" s="337"/>
      <c r="P56" s="337"/>
      <c r="Q56" s="363">
        <v>45950</v>
      </c>
      <c r="R56" s="364">
        <v>229750</v>
      </c>
      <c r="S56" s="364">
        <f>Q56+R56</f>
        <v>275700</v>
      </c>
      <c r="T56" s="327">
        <f>S56/N56*100</f>
        <v>30.633333333333333</v>
      </c>
      <c r="U56" s="43">
        <f t="shared" si="14"/>
        <v>624300</v>
      </c>
      <c r="V56" s="42"/>
      <c r="W56" s="22"/>
      <c r="X56" s="22">
        <f t="shared" si="1"/>
        <v>5.1055555555555552</v>
      </c>
      <c r="Z56" s="22"/>
    </row>
    <row r="57" spans="1:26" x14ac:dyDescent="0.25">
      <c r="A57" s="240"/>
      <c r="B57" s="329"/>
      <c r="C57" s="331"/>
      <c r="D57" s="323"/>
      <c r="E57" s="323"/>
      <c r="F57" s="323"/>
      <c r="G57" s="322"/>
      <c r="H57" s="322"/>
      <c r="I57" s="323"/>
      <c r="J57" s="430"/>
      <c r="K57" s="435"/>
      <c r="L57" s="431"/>
      <c r="M57" s="337"/>
      <c r="N57" s="337"/>
      <c r="O57" s="337"/>
      <c r="P57" s="337"/>
      <c r="Q57" s="363"/>
      <c r="R57" s="364"/>
      <c r="S57" s="364"/>
      <c r="T57" s="327"/>
      <c r="U57" s="43"/>
      <c r="V57" s="42"/>
      <c r="W57" s="22"/>
      <c r="X57" s="22"/>
      <c r="Z57" s="22"/>
    </row>
    <row r="58" spans="1:26" x14ac:dyDescent="0.25">
      <c r="A58" s="240"/>
      <c r="B58" s="329"/>
      <c r="C58" s="331"/>
      <c r="D58" s="323"/>
      <c r="E58" s="323"/>
      <c r="F58" s="323"/>
      <c r="G58" s="322"/>
      <c r="H58" s="322"/>
      <c r="I58" s="323"/>
      <c r="J58" s="430"/>
      <c r="K58" s="434" t="s">
        <v>199</v>
      </c>
      <c r="L58" s="432">
        <v>204000000</v>
      </c>
      <c r="M58" s="43">
        <v>0</v>
      </c>
      <c r="N58" s="43">
        <v>204000000</v>
      </c>
      <c r="O58" s="337"/>
      <c r="P58" s="337"/>
      <c r="Q58" s="226">
        <v>14885946</v>
      </c>
      <c r="R58" s="364">
        <v>79234622</v>
      </c>
      <c r="S58" s="364">
        <f>Q58+R58</f>
        <v>94120568</v>
      </c>
      <c r="T58" s="327">
        <f>S58/N58*100</f>
        <v>46.137533333333337</v>
      </c>
      <c r="U58" s="43">
        <f>N58-S58</f>
        <v>109879432</v>
      </c>
      <c r="V58" s="42">
        <f t="shared" si="2"/>
        <v>54939716</v>
      </c>
      <c r="W58" s="22">
        <f t="shared" si="15"/>
        <v>7.2970323529411765</v>
      </c>
      <c r="X58" s="22">
        <f t="shared" si="1"/>
        <v>7.2970323529411765</v>
      </c>
      <c r="Z58" s="22">
        <f t="shared" si="4"/>
        <v>7.2970323529411765</v>
      </c>
    </row>
    <row r="59" spans="1:26" x14ac:dyDescent="0.25">
      <c r="A59" s="240"/>
      <c r="B59" s="329"/>
      <c r="C59" s="331"/>
      <c r="D59" s="323"/>
      <c r="E59" s="323"/>
      <c r="F59" s="323"/>
      <c r="G59" s="322"/>
      <c r="H59" s="322"/>
      <c r="I59" s="323"/>
      <c r="J59" s="430"/>
      <c r="K59" s="435"/>
      <c r="L59" s="431"/>
      <c r="M59" s="337"/>
      <c r="N59" s="337"/>
      <c r="O59" s="337"/>
      <c r="P59" s="337"/>
      <c r="Q59" s="363"/>
      <c r="R59" s="364"/>
      <c r="S59" s="364"/>
      <c r="T59" s="327"/>
      <c r="U59" s="43"/>
      <c r="V59" s="42">
        <f t="shared" si="2"/>
        <v>0</v>
      </c>
      <c r="W59" s="22"/>
      <c r="X59" s="22"/>
      <c r="Z59" s="22" t="e">
        <f t="shared" si="4"/>
        <v>#DIV/0!</v>
      </c>
    </row>
    <row r="60" spans="1:26" ht="17.25" x14ac:dyDescent="0.3">
      <c r="A60" s="394"/>
      <c r="B60" s="514" t="s">
        <v>247</v>
      </c>
      <c r="C60" s="515"/>
      <c r="D60" s="515"/>
      <c r="E60" s="515"/>
      <c r="F60" s="516"/>
      <c r="G60" s="416"/>
      <c r="H60" s="416"/>
      <c r="I60" s="416"/>
      <c r="J60" s="417"/>
      <c r="K60" s="397" t="s">
        <v>200</v>
      </c>
      <c r="L60" s="418">
        <f>L62+L64+L66+L68+L70</f>
        <v>727622000</v>
      </c>
      <c r="M60" s="418">
        <f>M62+M64+M66+M68+M70</f>
        <v>0</v>
      </c>
      <c r="N60" s="398">
        <f t="shared" si="13"/>
        <v>727622000</v>
      </c>
      <c r="O60" s="402"/>
      <c r="P60" s="402"/>
      <c r="Q60" s="419">
        <f>Q62+Q64+Q66+Q68+Q70</f>
        <v>57349755</v>
      </c>
      <c r="R60" s="399">
        <v>322261841</v>
      </c>
      <c r="S60" s="399">
        <f>Q60+R60</f>
        <v>379611596</v>
      </c>
      <c r="T60" s="400">
        <f>S60/N60*100</f>
        <v>52.171539068362414</v>
      </c>
      <c r="U60" s="398">
        <f t="shared" si="14"/>
        <v>348010404</v>
      </c>
      <c r="V60" s="42">
        <f t="shared" si="2"/>
        <v>174005202</v>
      </c>
      <c r="W60" s="22">
        <f t="shared" si="15"/>
        <v>7.8818060751324177</v>
      </c>
      <c r="X60" s="22">
        <f t="shared" si="1"/>
        <v>7.8818060751324177</v>
      </c>
      <c r="Z60" s="65">
        <f t="shared" si="4"/>
        <v>7.8818060751324177</v>
      </c>
    </row>
    <row r="61" spans="1:26" x14ac:dyDescent="0.25">
      <c r="A61" s="240"/>
      <c r="B61" s="329"/>
      <c r="C61" s="331"/>
      <c r="D61" s="323"/>
      <c r="E61" s="323"/>
      <c r="F61" s="323"/>
      <c r="G61" s="322"/>
      <c r="H61" s="322"/>
      <c r="I61" s="323"/>
      <c r="J61" s="362"/>
      <c r="K61" s="433"/>
      <c r="L61" s="337"/>
      <c r="M61" s="43"/>
      <c r="N61" s="337"/>
      <c r="O61" s="337"/>
      <c r="P61" s="337"/>
      <c r="Q61" s="363"/>
      <c r="R61" s="364"/>
      <c r="S61" s="364"/>
      <c r="T61" s="327"/>
      <c r="U61" s="43"/>
      <c r="V61" s="42">
        <f t="shared" si="2"/>
        <v>0</v>
      </c>
      <c r="W61" s="22"/>
      <c r="X61" s="22"/>
      <c r="Z61" s="22" t="e">
        <f t="shared" si="4"/>
        <v>#DIV/0!</v>
      </c>
    </row>
    <row r="62" spans="1:26" x14ac:dyDescent="0.25">
      <c r="A62" s="240"/>
      <c r="B62" s="329"/>
      <c r="C62" s="331"/>
      <c r="D62" s="323"/>
      <c r="E62" s="323"/>
      <c r="F62" s="323"/>
      <c r="G62" s="322"/>
      <c r="H62" s="322"/>
      <c r="I62" s="323"/>
      <c r="J62" s="430"/>
      <c r="K62" s="434" t="s">
        <v>201</v>
      </c>
      <c r="L62" s="431">
        <v>3300000</v>
      </c>
      <c r="M62" s="43">
        <v>0</v>
      </c>
      <c r="N62" s="43">
        <f t="shared" si="13"/>
        <v>3300000</v>
      </c>
      <c r="O62" s="337"/>
      <c r="P62" s="337"/>
      <c r="Q62" s="363">
        <v>275000</v>
      </c>
      <c r="R62" s="364">
        <v>825000</v>
      </c>
      <c r="S62" s="364">
        <f>Q62+R62</f>
        <v>1100000</v>
      </c>
      <c r="T62" s="327">
        <f>S62/N62*100</f>
        <v>33.333333333333329</v>
      </c>
      <c r="U62" s="43">
        <f t="shared" si="14"/>
        <v>2200000</v>
      </c>
      <c r="V62" s="42"/>
      <c r="W62" s="22"/>
      <c r="X62" s="22">
        <f t="shared" si="1"/>
        <v>8.3333333333333321</v>
      </c>
      <c r="Z62" s="22"/>
    </row>
    <row r="63" spans="1:26" x14ac:dyDescent="0.25">
      <c r="A63" s="240"/>
      <c r="B63" s="329"/>
      <c r="C63" s="331"/>
      <c r="D63" s="323"/>
      <c r="E63" s="323"/>
      <c r="F63" s="323"/>
      <c r="G63" s="322"/>
      <c r="H63" s="322"/>
      <c r="I63" s="323"/>
      <c r="J63" s="430"/>
      <c r="K63" s="434"/>
      <c r="L63" s="431"/>
      <c r="M63" s="43"/>
      <c r="N63" s="337"/>
      <c r="O63" s="337"/>
      <c r="P63" s="337"/>
      <c r="Q63" s="363"/>
      <c r="R63" s="364"/>
      <c r="S63" s="364"/>
      <c r="T63" s="327"/>
      <c r="U63" s="43"/>
      <c r="V63" s="42"/>
      <c r="W63" s="22"/>
      <c r="X63" s="22"/>
      <c r="Z63" s="22"/>
    </row>
    <row r="64" spans="1:26" x14ac:dyDescent="0.25">
      <c r="A64" s="240"/>
      <c r="B64" s="329"/>
      <c r="C64" s="331"/>
      <c r="D64" s="323"/>
      <c r="E64" s="323"/>
      <c r="F64" s="323"/>
      <c r="G64" s="322"/>
      <c r="H64" s="322"/>
      <c r="I64" s="323"/>
      <c r="J64" s="430"/>
      <c r="K64" s="434" t="s">
        <v>202</v>
      </c>
      <c r="L64" s="431">
        <v>314472000</v>
      </c>
      <c r="M64" s="43">
        <v>0</v>
      </c>
      <c r="N64" s="43">
        <f t="shared" si="13"/>
        <v>314472000</v>
      </c>
      <c r="O64" s="337"/>
      <c r="P64" s="337"/>
      <c r="Q64" s="76">
        <v>24018733</v>
      </c>
      <c r="R64" s="364">
        <v>145346340</v>
      </c>
      <c r="S64" s="364">
        <f>Q64+R64</f>
        <v>169365073</v>
      </c>
      <c r="T64" s="327">
        <f>S64/N64*100</f>
        <v>53.856964372026759</v>
      </c>
      <c r="U64" s="43">
        <f t="shared" si="14"/>
        <v>145106927</v>
      </c>
      <c r="V64" s="42"/>
      <c r="W64" s="22"/>
      <c r="X64" s="22">
        <f t="shared" si="1"/>
        <v>7.6377970057747584</v>
      </c>
      <c r="Z64" s="22"/>
    </row>
    <row r="65" spans="1:27" x14ac:dyDescent="0.25">
      <c r="A65" s="240"/>
      <c r="B65" s="329"/>
      <c r="C65" s="331"/>
      <c r="D65" s="323"/>
      <c r="E65" s="323"/>
      <c r="F65" s="323"/>
      <c r="G65" s="322"/>
      <c r="H65" s="322"/>
      <c r="I65" s="323"/>
      <c r="J65" s="430"/>
      <c r="K65" s="434"/>
      <c r="L65" s="431"/>
      <c r="M65" s="43"/>
      <c r="N65" s="337"/>
      <c r="O65" s="337"/>
      <c r="P65" s="337"/>
      <c r="Q65" s="363"/>
      <c r="R65" s="364"/>
      <c r="S65" s="364"/>
      <c r="T65" s="327"/>
      <c r="U65" s="43"/>
      <c r="V65" s="42"/>
      <c r="W65" s="22"/>
      <c r="X65" s="22"/>
      <c r="Z65" s="22"/>
    </row>
    <row r="66" spans="1:27" x14ac:dyDescent="0.25">
      <c r="A66" s="240"/>
      <c r="B66" s="329"/>
      <c r="C66" s="331"/>
      <c r="D66" s="323"/>
      <c r="E66" s="323"/>
      <c r="F66" s="323"/>
      <c r="G66" s="322"/>
      <c r="H66" s="322"/>
      <c r="I66" s="323"/>
      <c r="J66" s="430"/>
      <c r="K66" s="434" t="s">
        <v>203</v>
      </c>
      <c r="L66" s="431">
        <v>357430000</v>
      </c>
      <c r="M66" s="43">
        <v>0</v>
      </c>
      <c r="N66" s="43">
        <f t="shared" si="13"/>
        <v>357430000</v>
      </c>
      <c r="O66" s="337"/>
      <c r="P66" s="337"/>
      <c r="Q66" s="76">
        <v>26309478</v>
      </c>
      <c r="R66" s="364">
        <v>159373002</v>
      </c>
      <c r="S66" s="364">
        <f>Q66+R66</f>
        <v>185682480</v>
      </c>
      <c r="T66" s="327">
        <f>S66/N66*100</f>
        <v>51.949327140978653</v>
      </c>
      <c r="U66" s="43">
        <f t="shared" si="14"/>
        <v>171747520</v>
      </c>
      <c r="V66" s="42"/>
      <c r="W66" s="22"/>
      <c r="X66" s="22">
        <f t="shared" si="1"/>
        <v>7.3607358084100376</v>
      </c>
      <c r="Z66" s="22"/>
    </row>
    <row r="67" spans="1:27" x14ac:dyDescent="0.25">
      <c r="A67" s="240"/>
      <c r="B67" s="329"/>
      <c r="C67" s="331"/>
      <c r="D67" s="323"/>
      <c r="E67" s="323"/>
      <c r="F67" s="323"/>
      <c r="G67" s="322"/>
      <c r="H67" s="322"/>
      <c r="I67" s="323"/>
      <c r="J67" s="430"/>
      <c r="K67" s="434"/>
      <c r="L67" s="431"/>
      <c r="M67" s="43"/>
      <c r="N67" s="337"/>
      <c r="O67" s="337"/>
      <c r="P67" s="337"/>
      <c r="Q67" s="363"/>
      <c r="R67" s="364"/>
      <c r="S67" s="364"/>
      <c r="T67" s="327"/>
      <c r="U67" s="43"/>
      <c r="V67" s="42"/>
      <c r="W67" s="22"/>
      <c r="X67" s="22"/>
      <c r="Z67" s="22"/>
    </row>
    <row r="68" spans="1:27" x14ac:dyDescent="0.25">
      <c r="A68" s="240"/>
      <c r="B68" s="329"/>
      <c r="C68" s="331"/>
      <c r="D68" s="323"/>
      <c r="E68" s="323"/>
      <c r="F68" s="323"/>
      <c r="G68" s="322"/>
      <c r="H68" s="322"/>
      <c r="I68" s="323"/>
      <c r="J68" s="430"/>
      <c r="K68" s="434" t="s">
        <v>204</v>
      </c>
      <c r="L68" s="431">
        <v>10800000</v>
      </c>
      <c r="M68" s="43">
        <v>0</v>
      </c>
      <c r="N68" s="43">
        <f t="shared" si="13"/>
        <v>10800000</v>
      </c>
      <c r="O68" s="337"/>
      <c r="P68" s="337"/>
      <c r="Q68" s="363">
        <v>900000</v>
      </c>
      <c r="R68" s="364">
        <v>4500000</v>
      </c>
      <c r="S68" s="364">
        <f>Q68+R68</f>
        <v>5400000</v>
      </c>
      <c r="T68" s="327">
        <f>S68/N68*100</f>
        <v>50</v>
      </c>
      <c r="U68" s="43">
        <f t="shared" si="14"/>
        <v>5400000</v>
      </c>
      <c r="V68" s="42"/>
      <c r="W68" s="22"/>
      <c r="X68" s="22">
        <f t="shared" si="1"/>
        <v>8.3333333333333321</v>
      </c>
      <c r="Z68" s="22"/>
    </row>
    <row r="69" spans="1:27" x14ac:dyDescent="0.25">
      <c r="A69" s="240"/>
      <c r="B69" s="329"/>
      <c r="C69" s="331"/>
      <c r="D69" s="323"/>
      <c r="E69" s="323"/>
      <c r="F69" s="323"/>
      <c r="G69" s="322"/>
      <c r="H69" s="322"/>
      <c r="I69" s="323"/>
      <c r="J69" s="430"/>
      <c r="K69" s="435"/>
      <c r="L69" s="431"/>
      <c r="M69" s="43"/>
      <c r="N69" s="337"/>
      <c r="O69" s="337"/>
      <c r="P69" s="337"/>
      <c r="Q69" s="363"/>
      <c r="R69" s="364"/>
      <c r="S69" s="364"/>
      <c r="T69" s="327"/>
      <c r="U69" s="43"/>
      <c r="V69" s="42"/>
      <c r="W69" s="22"/>
      <c r="X69" s="22"/>
      <c r="Z69" s="22"/>
    </row>
    <row r="70" spans="1:27" x14ac:dyDescent="0.25">
      <c r="A70" s="240"/>
      <c r="B70" s="329"/>
      <c r="C70" s="331"/>
      <c r="D70" s="323"/>
      <c r="E70" s="323"/>
      <c r="F70" s="323"/>
      <c r="G70" s="322"/>
      <c r="H70" s="322"/>
      <c r="I70" s="323"/>
      <c r="J70" s="430"/>
      <c r="K70" s="434" t="s">
        <v>205</v>
      </c>
      <c r="L70" s="432">
        <v>41620000</v>
      </c>
      <c r="M70" s="43">
        <v>0</v>
      </c>
      <c r="N70" s="43">
        <f t="shared" si="13"/>
        <v>41620000</v>
      </c>
      <c r="O70" s="337"/>
      <c r="P70" s="337"/>
      <c r="Q70" s="226">
        <v>5846544</v>
      </c>
      <c r="R70" s="364">
        <v>12217499</v>
      </c>
      <c r="S70" s="364">
        <f>Q70+R70</f>
        <v>18064043</v>
      </c>
      <c r="T70" s="327">
        <f>S70/N70*100</f>
        <v>43.402313791446417</v>
      </c>
      <c r="U70" s="43">
        <f t="shared" si="14"/>
        <v>23555957</v>
      </c>
      <c r="V70" s="42">
        <f t="shared" si="2"/>
        <v>11777978.5</v>
      </c>
      <c r="W70" s="22">
        <f t="shared" si="15"/>
        <v>14.047438731379144</v>
      </c>
      <c r="X70" s="22">
        <f t="shared" si="1"/>
        <v>14.047438731379144</v>
      </c>
      <c r="Z70" s="22">
        <f t="shared" si="4"/>
        <v>14.047438731379144</v>
      </c>
    </row>
    <row r="71" spans="1:27" x14ac:dyDescent="0.25">
      <c r="A71" s="240"/>
      <c r="B71" s="329"/>
      <c r="C71" s="331"/>
      <c r="D71" s="323"/>
      <c r="E71" s="323"/>
      <c r="F71" s="323"/>
      <c r="G71" s="322"/>
      <c r="H71" s="322"/>
      <c r="I71" s="323"/>
      <c r="J71" s="362"/>
      <c r="K71" s="436"/>
      <c r="L71" s="337"/>
      <c r="M71" s="337"/>
      <c r="N71" s="337"/>
      <c r="O71" s="337"/>
      <c r="P71" s="337"/>
      <c r="Q71" s="363"/>
      <c r="R71" s="364"/>
      <c r="S71" s="364"/>
      <c r="T71" s="327"/>
      <c r="U71" s="43"/>
      <c r="V71" s="42">
        <f t="shared" si="2"/>
        <v>0</v>
      </c>
      <c r="W71" s="22"/>
      <c r="X71" s="22"/>
      <c r="Z71" s="22" t="e">
        <f t="shared" si="4"/>
        <v>#DIV/0!</v>
      </c>
    </row>
    <row r="72" spans="1:27" ht="17.25" x14ac:dyDescent="0.3">
      <c r="A72" s="394"/>
      <c r="B72" s="514" t="s">
        <v>248</v>
      </c>
      <c r="C72" s="515"/>
      <c r="D72" s="515"/>
      <c r="E72" s="515"/>
      <c r="F72" s="516"/>
      <c r="G72" s="413"/>
      <c r="H72" s="413"/>
      <c r="I72" s="414"/>
      <c r="J72" s="415"/>
      <c r="K72" s="420" t="s">
        <v>206</v>
      </c>
      <c r="L72" s="398">
        <f>L74+L76+L78+L80+L82</f>
        <v>108870000</v>
      </c>
      <c r="M72" s="398">
        <f>M80+M82</f>
        <v>0</v>
      </c>
      <c r="N72" s="398">
        <f t="shared" si="13"/>
        <v>108870000</v>
      </c>
      <c r="O72" s="402"/>
      <c r="P72" s="402"/>
      <c r="Q72" s="399">
        <f>Q73+Q76+Q78+Q80+Q82</f>
        <v>15610453</v>
      </c>
      <c r="R72" s="399">
        <v>37072630</v>
      </c>
      <c r="S72" s="399">
        <f>Q72+R72</f>
        <v>52683083</v>
      </c>
      <c r="T72" s="400">
        <f>S72/N72*100</f>
        <v>48.390817488748048</v>
      </c>
      <c r="U72" s="398">
        <f t="shared" si="14"/>
        <v>56186917</v>
      </c>
      <c r="V72" s="42">
        <f t="shared" si="2"/>
        <v>28093458.5</v>
      </c>
      <c r="W72" s="22">
        <f t="shared" si="15"/>
        <v>14.338617617341784</v>
      </c>
      <c r="X72" s="22">
        <f t="shared" si="1"/>
        <v>14.338617617341784</v>
      </c>
      <c r="Z72" s="65">
        <f t="shared" si="4"/>
        <v>14.338617617341784</v>
      </c>
      <c r="AA72" s="1" t="s">
        <v>114</v>
      </c>
    </row>
    <row r="73" spans="1:27" x14ac:dyDescent="0.25">
      <c r="A73" s="240"/>
      <c r="B73" s="329"/>
      <c r="C73" s="331"/>
      <c r="D73" s="323"/>
      <c r="E73" s="323"/>
      <c r="F73" s="323"/>
      <c r="G73" s="322"/>
      <c r="H73" s="322"/>
      <c r="I73" s="323"/>
      <c r="J73" s="430"/>
      <c r="K73" s="435" t="s">
        <v>274</v>
      </c>
      <c r="L73" s="431">
        <v>60090000</v>
      </c>
      <c r="M73" s="337"/>
      <c r="N73" s="337">
        <v>60090000</v>
      </c>
      <c r="O73" s="337"/>
      <c r="P73" s="337"/>
      <c r="Q73" s="363">
        <v>5000000</v>
      </c>
      <c r="R73" s="364">
        <v>25000000</v>
      </c>
      <c r="S73" s="364">
        <f>Q73+R73</f>
        <v>30000000</v>
      </c>
      <c r="T73" s="327"/>
      <c r="U73" s="43">
        <f t="shared" si="14"/>
        <v>30090000</v>
      </c>
      <c r="V73" s="42">
        <f t="shared" si="2"/>
        <v>15045000</v>
      </c>
      <c r="W73" s="22"/>
      <c r="X73" s="22"/>
      <c r="Z73" s="22">
        <f t="shared" si="4"/>
        <v>8.320852055250457</v>
      </c>
    </row>
    <row r="74" spans="1:27" x14ac:dyDescent="0.25">
      <c r="A74" s="240"/>
      <c r="B74" s="329"/>
      <c r="C74" s="331"/>
      <c r="D74" s="323"/>
      <c r="E74" s="323"/>
      <c r="F74" s="323"/>
      <c r="G74" s="322"/>
      <c r="H74" s="322"/>
      <c r="I74" s="323"/>
      <c r="J74" s="430"/>
      <c r="K74" s="435" t="s">
        <v>207</v>
      </c>
      <c r="L74" s="431">
        <v>60090000</v>
      </c>
      <c r="M74" s="337">
        <v>0</v>
      </c>
      <c r="N74" s="43">
        <f t="shared" si="13"/>
        <v>60090000</v>
      </c>
      <c r="O74" s="337"/>
      <c r="P74" s="337"/>
      <c r="Q74" s="363">
        <v>5000000</v>
      </c>
      <c r="R74" s="364">
        <v>25000000</v>
      </c>
      <c r="S74" s="364">
        <f>Q74+R74</f>
        <v>30000000</v>
      </c>
      <c r="T74" s="327">
        <f>S74/N74*100</f>
        <v>49.925112331502746</v>
      </c>
      <c r="U74" s="43">
        <f t="shared" si="14"/>
        <v>30090000</v>
      </c>
      <c r="V74" s="42"/>
      <c r="W74" s="22"/>
      <c r="X74" s="22">
        <f t="shared" si="1"/>
        <v>8.320852055250457</v>
      </c>
      <c r="Z74" s="22"/>
    </row>
    <row r="75" spans="1:27" x14ac:dyDescent="0.25">
      <c r="A75" s="240"/>
      <c r="B75" s="329"/>
      <c r="C75" s="331"/>
      <c r="D75" s="323"/>
      <c r="E75" s="323"/>
      <c r="F75" s="323"/>
      <c r="G75" s="322"/>
      <c r="H75" s="322"/>
      <c r="I75" s="323"/>
      <c r="J75" s="430"/>
      <c r="K75" s="435"/>
      <c r="L75" s="431"/>
      <c r="M75" s="337"/>
      <c r="N75" s="337"/>
      <c r="O75" s="337"/>
      <c r="P75" s="337"/>
      <c r="Q75" s="363"/>
      <c r="R75" s="364"/>
      <c r="S75" s="364"/>
      <c r="T75" s="327"/>
      <c r="U75" s="43"/>
      <c r="V75" s="42"/>
      <c r="W75" s="22"/>
      <c r="X75" s="22"/>
      <c r="Z75" s="22"/>
    </row>
    <row r="76" spans="1:27" x14ac:dyDescent="0.25">
      <c r="A76" s="240"/>
      <c r="B76" s="329"/>
      <c r="C76" s="331"/>
      <c r="D76" s="323"/>
      <c r="E76" s="323"/>
      <c r="F76" s="323"/>
      <c r="G76" s="322"/>
      <c r="H76" s="322"/>
      <c r="I76" s="323"/>
      <c r="J76" s="430"/>
      <c r="K76" s="435" t="s">
        <v>208</v>
      </c>
      <c r="L76" s="431">
        <v>25700000</v>
      </c>
      <c r="M76" s="337">
        <v>0</v>
      </c>
      <c r="N76" s="43">
        <f t="shared" si="13"/>
        <v>25700000</v>
      </c>
      <c r="O76" s="337"/>
      <c r="P76" s="337"/>
      <c r="Q76" s="76">
        <v>5175498</v>
      </c>
      <c r="R76" s="364">
        <v>7569744</v>
      </c>
      <c r="S76" s="364">
        <f>Q76+R76</f>
        <v>12745242</v>
      </c>
      <c r="T76" s="327">
        <f>S76/N76*100</f>
        <v>49.592381322957195</v>
      </c>
      <c r="U76" s="43">
        <f t="shared" si="14"/>
        <v>12954758</v>
      </c>
      <c r="V76" s="42"/>
      <c r="W76" s="22"/>
      <c r="X76" s="22">
        <f t="shared" si="1"/>
        <v>20.138124513618678</v>
      </c>
      <c r="Z76" s="22"/>
    </row>
    <row r="77" spans="1:27" x14ac:dyDescent="0.25">
      <c r="A77" s="240"/>
      <c r="B77" s="329"/>
      <c r="C77" s="331"/>
      <c r="D77" s="323"/>
      <c r="E77" s="323"/>
      <c r="F77" s="323"/>
      <c r="G77" s="322"/>
      <c r="H77" s="322"/>
      <c r="I77" s="323"/>
      <c r="J77" s="430"/>
      <c r="K77" s="435"/>
      <c r="L77" s="431"/>
      <c r="M77" s="337"/>
      <c r="N77" s="337"/>
      <c r="O77" s="337"/>
      <c r="P77" s="337"/>
      <c r="Q77" s="363"/>
      <c r="R77" s="364"/>
      <c r="S77" s="364"/>
      <c r="T77" s="327"/>
      <c r="U77" s="43"/>
      <c r="V77" s="42"/>
      <c r="W77" s="22"/>
      <c r="X77" s="22"/>
      <c r="Z77" s="22"/>
    </row>
    <row r="78" spans="1:27" x14ac:dyDescent="0.25">
      <c r="A78" s="240"/>
      <c r="B78" s="329"/>
      <c r="C78" s="331"/>
      <c r="D78" s="323"/>
      <c r="E78" s="323"/>
      <c r="F78" s="323"/>
      <c r="G78" s="322"/>
      <c r="H78" s="322"/>
      <c r="I78" s="323"/>
      <c r="J78" s="430"/>
      <c r="K78" s="435" t="s">
        <v>209</v>
      </c>
      <c r="L78" s="431">
        <v>11180000</v>
      </c>
      <c r="M78" s="337">
        <v>0</v>
      </c>
      <c r="N78" s="43">
        <f t="shared" si="13"/>
        <v>11180000</v>
      </c>
      <c r="O78" s="337"/>
      <c r="P78" s="337"/>
      <c r="Q78" s="76">
        <v>5434955</v>
      </c>
      <c r="R78" s="364">
        <v>4337886</v>
      </c>
      <c r="S78" s="364">
        <f>Q78+R78</f>
        <v>9772841</v>
      </c>
      <c r="T78" s="327">
        <f>S78/N78*100</f>
        <v>87.413604651162785</v>
      </c>
      <c r="U78" s="43">
        <f t="shared" si="14"/>
        <v>1407159</v>
      </c>
      <c r="V78" s="42"/>
      <c r="W78" s="22"/>
      <c r="X78" s="22">
        <f t="shared" si="1"/>
        <v>48.613193202146689</v>
      </c>
      <c r="Z78" s="22"/>
    </row>
    <row r="79" spans="1:27" x14ac:dyDescent="0.25">
      <c r="A79" s="240"/>
      <c r="B79" s="329"/>
      <c r="C79" s="331"/>
      <c r="D79" s="323"/>
      <c r="E79" s="323"/>
      <c r="F79" s="323"/>
      <c r="G79" s="322"/>
      <c r="H79" s="322"/>
      <c r="I79" s="323"/>
      <c r="J79" s="430"/>
      <c r="K79" s="435"/>
      <c r="L79" s="431"/>
      <c r="M79" s="337"/>
      <c r="N79" s="337"/>
      <c r="O79" s="337"/>
      <c r="P79" s="337"/>
      <c r="Q79" s="363"/>
      <c r="R79" s="364"/>
      <c r="S79" s="364"/>
      <c r="T79" s="327"/>
      <c r="U79" s="43"/>
      <c r="V79" s="42"/>
      <c r="W79" s="22"/>
      <c r="X79" s="22"/>
      <c r="Z79" s="22"/>
    </row>
    <row r="80" spans="1:27" x14ac:dyDescent="0.25">
      <c r="A80" s="240"/>
      <c r="B80" s="329"/>
      <c r="C80" s="331"/>
      <c r="D80" s="323"/>
      <c r="E80" s="323"/>
      <c r="F80" s="323"/>
      <c r="G80" s="322"/>
      <c r="H80" s="322"/>
      <c r="I80" s="323"/>
      <c r="J80" s="430"/>
      <c r="K80" s="434" t="s">
        <v>210</v>
      </c>
      <c r="L80" s="432">
        <v>11500000</v>
      </c>
      <c r="M80" s="43">
        <v>0</v>
      </c>
      <c r="N80" s="43">
        <f t="shared" si="13"/>
        <v>11500000</v>
      </c>
      <c r="O80" s="337"/>
      <c r="P80" s="337"/>
      <c r="Q80" s="76">
        <v>0</v>
      </c>
      <c r="R80" s="364">
        <v>0</v>
      </c>
      <c r="S80" s="364">
        <f>Q80+R80</f>
        <v>0</v>
      </c>
      <c r="T80" s="327">
        <f>S80/N80*100</f>
        <v>0</v>
      </c>
      <c r="U80" s="43">
        <f t="shared" si="14"/>
        <v>11500000</v>
      </c>
      <c r="V80" s="42">
        <f t="shared" si="2"/>
        <v>5750000</v>
      </c>
      <c r="W80" s="22">
        <f t="shared" si="15"/>
        <v>0</v>
      </c>
      <c r="X80" s="22">
        <f t="shared" si="1"/>
        <v>0</v>
      </c>
      <c r="Z80" s="22">
        <f t="shared" si="4"/>
        <v>0</v>
      </c>
    </row>
    <row r="81" spans="1:26" x14ac:dyDescent="0.25">
      <c r="A81" s="240"/>
      <c r="B81" s="329"/>
      <c r="C81" s="331"/>
      <c r="D81" s="323"/>
      <c r="E81" s="323"/>
      <c r="F81" s="323"/>
      <c r="G81" s="322"/>
      <c r="H81" s="322"/>
      <c r="I81" s="323"/>
      <c r="J81" s="430"/>
      <c r="K81" s="434"/>
      <c r="L81" s="432" t="s">
        <v>212</v>
      </c>
      <c r="M81" s="43"/>
      <c r="N81" s="337"/>
      <c r="O81" s="337"/>
      <c r="P81" s="337"/>
      <c r="Q81" s="364"/>
      <c r="R81" s="364"/>
      <c r="S81" s="364"/>
      <c r="T81" s="327"/>
      <c r="U81" s="43"/>
      <c r="V81" s="42">
        <f t="shared" si="2"/>
        <v>0</v>
      </c>
      <c r="W81" s="22"/>
      <c r="X81" s="22"/>
      <c r="Z81" s="22" t="e">
        <f t="shared" si="4"/>
        <v>#DIV/0!</v>
      </c>
    </row>
    <row r="82" spans="1:26" x14ac:dyDescent="0.25">
      <c r="A82" s="240"/>
      <c r="B82" s="329"/>
      <c r="C82" s="331"/>
      <c r="D82" s="323"/>
      <c r="E82" s="323"/>
      <c r="F82" s="323"/>
      <c r="G82" s="322"/>
      <c r="H82" s="322"/>
      <c r="I82" s="323"/>
      <c r="J82" s="430"/>
      <c r="K82" s="434" t="s">
        <v>211</v>
      </c>
      <c r="L82" s="432">
        <v>400000</v>
      </c>
      <c r="M82" s="43">
        <v>0</v>
      </c>
      <c r="N82" s="43">
        <f t="shared" si="13"/>
        <v>400000</v>
      </c>
      <c r="O82" s="337"/>
      <c r="P82" s="337"/>
      <c r="Q82" s="364">
        <v>0</v>
      </c>
      <c r="R82" s="364">
        <v>165000</v>
      </c>
      <c r="S82" s="364">
        <f>Q82+R82</f>
        <v>165000</v>
      </c>
      <c r="T82" s="327">
        <f>S82/N82*100</f>
        <v>41.25</v>
      </c>
      <c r="U82" s="43">
        <f t="shared" si="14"/>
        <v>235000</v>
      </c>
      <c r="V82" s="42">
        <f t="shared" si="2"/>
        <v>117500</v>
      </c>
      <c r="W82" s="22">
        <f t="shared" si="15"/>
        <v>0</v>
      </c>
      <c r="X82" s="22">
        <f t="shared" si="1"/>
        <v>0</v>
      </c>
      <c r="Z82" s="22">
        <f t="shared" si="4"/>
        <v>0</v>
      </c>
    </row>
    <row r="83" spans="1:26" x14ac:dyDescent="0.25">
      <c r="A83" s="240"/>
      <c r="B83" s="329"/>
      <c r="C83" s="331"/>
      <c r="D83" s="323"/>
      <c r="E83" s="323"/>
      <c r="F83" s="323"/>
      <c r="G83" s="322"/>
      <c r="H83" s="322"/>
      <c r="I83" s="323"/>
      <c r="J83" s="430"/>
      <c r="K83" s="435"/>
      <c r="L83" s="431"/>
      <c r="M83" s="337"/>
      <c r="N83" s="337"/>
      <c r="O83" s="337"/>
      <c r="P83" s="337"/>
      <c r="Q83" s="363"/>
      <c r="R83" s="364"/>
      <c r="S83" s="364"/>
      <c r="T83" s="327"/>
      <c r="U83" s="43"/>
      <c r="V83" s="42">
        <f t="shared" si="2"/>
        <v>0</v>
      </c>
      <c r="W83" s="22"/>
      <c r="X83" s="22"/>
      <c r="Z83" s="22" t="e">
        <f t="shared" si="4"/>
        <v>#DIV/0!</v>
      </c>
    </row>
    <row r="84" spans="1:26" ht="17.25" x14ac:dyDescent="0.3">
      <c r="A84" s="394"/>
      <c r="B84" s="514" t="s">
        <v>249</v>
      </c>
      <c r="C84" s="515"/>
      <c r="D84" s="515"/>
      <c r="E84" s="515"/>
      <c r="F84" s="516"/>
      <c r="G84" s="413"/>
      <c r="H84" s="413"/>
      <c r="I84" s="414"/>
      <c r="J84" s="415"/>
      <c r="K84" s="397" t="s">
        <v>213</v>
      </c>
      <c r="L84" s="398">
        <v>1000000</v>
      </c>
      <c r="M84" s="398">
        <v>0</v>
      </c>
      <c r="N84" s="398">
        <f t="shared" si="13"/>
        <v>1000000</v>
      </c>
      <c r="O84" s="402"/>
      <c r="P84" s="402"/>
      <c r="Q84" s="399">
        <v>0</v>
      </c>
      <c r="R84" s="399">
        <v>500000</v>
      </c>
      <c r="S84" s="399">
        <f>Q84+R84</f>
        <v>500000</v>
      </c>
      <c r="T84" s="400">
        <f>S84/N84*100</f>
        <v>50</v>
      </c>
      <c r="U84" s="398">
        <f t="shared" si="14"/>
        <v>500000</v>
      </c>
      <c r="V84" s="42">
        <f t="shared" si="2"/>
        <v>250000</v>
      </c>
      <c r="W84" s="22">
        <f t="shared" si="15"/>
        <v>0</v>
      </c>
      <c r="X84" s="22">
        <f t="shared" si="1"/>
        <v>0</v>
      </c>
      <c r="Z84" s="65">
        <f t="shared" si="4"/>
        <v>0</v>
      </c>
    </row>
    <row r="85" spans="1:26" x14ac:dyDescent="0.25">
      <c r="A85" s="240"/>
      <c r="B85" s="329"/>
      <c r="C85" s="331"/>
      <c r="D85" s="323"/>
      <c r="E85" s="323"/>
      <c r="F85" s="323"/>
      <c r="G85" s="322"/>
      <c r="H85" s="322"/>
      <c r="I85" s="323"/>
      <c r="J85" s="362"/>
      <c r="K85" s="368"/>
      <c r="L85" s="337"/>
      <c r="M85" s="337"/>
      <c r="N85" s="337"/>
      <c r="O85" s="337"/>
      <c r="P85" s="337"/>
      <c r="Q85" s="363"/>
      <c r="R85" s="364"/>
      <c r="S85" s="364"/>
      <c r="T85" s="327"/>
      <c r="U85" s="43"/>
      <c r="V85" s="42">
        <f t="shared" si="2"/>
        <v>0</v>
      </c>
      <c r="W85" s="22"/>
      <c r="X85" s="22"/>
      <c r="Z85" s="22" t="e">
        <f t="shared" si="4"/>
        <v>#DIV/0!</v>
      </c>
    </row>
    <row r="86" spans="1:26" x14ac:dyDescent="0.25">
      <c r="A86" s="394"/>
      <c r="B86" s="514" t="s">
        <v>250</v>
      </c>
      <c r="C86" s="515"/>
      <c r="D86" s="515"/>
      <c r="E86" s="515"/>
      <c r="F86" s="516"/>
      <c r="G86" s="413"/>
      <c r="H86" s="413"/>
      <c r="I86" s="414"/>
      <c r="J86" s="415"/>
      <c r="K86" s="421" t="s">
        <v>214</v>
      </c>
      <c r="L86" s="398">
        <f>L88+L104</f>
        <v>60000000</v>
      </c>
      <c r="M86" s="398">
        <f>M88+M104</f>
        <v>0</v>
      </c>
      <c r="N86" s="398">
        <f t="shared" si="13"/>
        <v>60000000</v>
      </c>
      <c r="O86" s="402"/>
      <c r="P86" s="402"/>
      <c r="Q86" s="399">
        <f>Q88+Q104</f>
        <v>405000</v>
      </c>
      <c r="R86" s="399">
        <v>42379130</v>
      </c>
      <c r="S86" s="399">
        <f>Q86+R86</f>
        <v>42784130</v>
      </c>
      <c r="T86" s="400">
        <f>S86/N86*100</f>
        <v>71.306883333333332</v>
      </c>
      <c r="U86" s="398">
        <f t="shared" si="14"/>
        <v>17215870</v>
      </c>
      <c r="V86" s="42">
        <f t="shared" si="2"/>
        <v>8607935</v>
      </c>
      <c r="W86" s="22">
        <f t="shared" si="15"/>
        <v>0.67500000000000004</v>
      </c>
      <c r="X86" s="22">
        <f t="shared" ref="X86:X154" si="16">Q86/N86*100</f>
        <v>0.67500000000000004</v>
      </c>
      <c r="Z86" s="65">
        <f t="shared" si="4"/>
        <v>0.67500000000000004</v>
      </c>
    </row>
    <row r="87" spans="1:26" x14ac:dyDescent="0.25">
      <c r="A87" s="240"/>
      <c r="B87" s="329"/>
      <c r="C87" s="331"/>
      <c r="D87" s="323"/>
      <c r="E87" s="323"/>
      <c r="F87" s="323"/>
      <c r="G87" s="322"/>
      <c r="H87" s="322"/>
      <c r="I87" s="323"/>
      <c r="J87" s="362"/>
      <c r="K87" s="368"/>
      <c r="L87" s="337"/>
      <c r="M87" s="337"/>
      <c r="N87" s="337"/>
      <c r="O87" s="337"/>
      <c r="P87" s="337"/>
      <c r="Q87" s="363"/>
      <c r="R87" s="364"/>
      <c r="S87" s="364"/>
      <c r="T87" s="327"/>
      <c r="U87" s="43"/>
      <c r="V87" s="42">
        <f t="shared" ref="V87:V154" si="17">U87/2</f>
        <v>0</v>
      </c>
      <c r="W87" s="22"/>
      <c r="X87" s="22"/>
      <c r="Z87" s="22" t="e">
        <f t="shared" si="4"/>
        <v>#DIV/0!</v>
      </c>
    </row>
    <row r="88" spans="1:26" x14ac:dyDescent="0.25">
      <c r="A88" s="445"/>
      <c r="B88" s="446"/>
      <c r="C88" s="447"/>
      <c r="D88" s="448"/>
      <c r="E88" s="448"/>
      <c r="F88" s="448"/>
      <c r="G88" s="449"/>
      <c r="H88" s="449"/>
      <c r="I88" s="448"/>
      <c r="J88" s="450"/>
      <c r="K88" s="439" t="s">
        <v>128</v>
      </c>
      <c r="L88" s="440">
        <f>L90+L92+L94+L96+L98+L100+L102</f>
        <v>28000000</v>
      </c>
      <c r="M88" s="440">
        <v>0</v>
      </c>
      <c r="N88" s="440">
        <f t="shared" si="13"/>
        <v>28000000</v>
      </c>
      <c r="O88" s="441"/>
      <c r="P88" s="441"/>
      <c r="Q88" s="442">
        <f>Q90+Q92+Q94+Q96+Q98+Q100+Q102</f>
        <v>405000</v>
      </c>
      <c r="R88" s="443">
        <v>16738130</v>
      </c>
      <c r="S88" s="443">
        <f>Q88+R88</f>
        <v>17143130</v>
      </c>
      <c r="T88" s="444">
        <f>S88/N88*100</f>
        <v>61.225464285714281</v>
      </c>
      <c r="U88" s="440">
        <f t="shared" si="14"/>
        <v>10856870</v>
      </c>
      <c r="V88" s="42">
        <f t="shared" si="17"/>
        <v>5428435</v>
      </c>
      <c r="W88" s="22">
        <f t="shared" si="15"/>
        <v>1.4464285714285714</v>
      </c>
      <c r="X88" s="22">
        <f t="shared" si="16"/>
        <v>1.4464285714285714</v>
      </c>
      <c r="Z88" s="22">
        <f t="shared" si="4"/>
        <v>1.4464285714285714</v>
      </c>
    </row>
    <row r="89" spans="1:26" x14ac:dyDescent="0.25">
      <c r="A89" s="240"/>
      <c r="B89" s="329"/>
      <c r="C89" s="331"/>
      <c r="D89" s="323"/>
      <c r="E89" s="323"/>
      <c r="F89" s="323"/>
      <c r="G89" s="322"/>
      <c r="H89" s="322"/>
      <c r="I89" s="323"/>
      <c r="J89" s="362"/>
      <c r="K89" s="437"/>
      <c r="L89" s="43"/>
      <c r="M89" s="43"/>
      <c r="N89" s="43"/>
      <c r="O89" s="337"/>
      <c r="P89" s="337"/>
      <c r="Q89" s="76"/>
      <c r="R89" s="364"/>
      <c r="S89" s="364"/>
      <c r="T89" s="327"/>
      <c r="U89" s="43"/>
      <c r="V89" s="42"/>
      <c r="W89" s="22"/>
      <c r="X89" s="22"/>
      <c r="Z89" s="22"/>
    </row>
    <row r="90" spans="1:26" x14ac:dyDescent="0.25">
      <c r="A90" s="240"/>
      <c r="B90" s="329"/>
      <c r="C90" s="331"/>
      <c r="D90" s="323"/>
      <c r="E90" s="323"/>
      <c r="F90" s="323"/>
      <c r="G90" s="322"/>
      <c r="H90" s="322"/>
      <c r="I90" s="323"/>
      <c r="J90" s="430"/>
      <c r="K90" s="434" t="s">
        <v>285</v>
      </c>
      <c r="L90" s="432">
        <v>12000000</v>
      </c>
      <c r="M90" s="43">
        <v>0</v>
      </c>
      <c r="N90" s="43">
        <f t="shared" si="13"/>
        <v>12000000</v>
      </c>
      <c r="O90" s="337"/>
      <c r="P90" s="337"/>
      <c r="Q90" s="76">
        <v>0</v>
      </c>
      <c r="R90" s="364">
        <v>8528130</v>
      </c>
      <c r="S90" s="364">
        <f>Q90+R90</f>
        <v>8528130</v>
      </c>
      <c r="T90" s="327">
        <f>S90/N90*100</f>
        <v>71.06774999999999</v>
      </c>
      <c r="U90" s="43">
        <f t="shared" si="14"/>
        <v>3471870</v>
      </c>
      <c r="V90" s="42"/>
      <c r="W90" s="22"/>
      <c r="X90" s="22"/>
      <c r="Z90" s="22"/>
    </row>
    <row r="91" spans="1:26" x14ac:dyDescent="0.25">
      <c r="A91" s="240"/>
      <c r="B91" s="329"/>
      <c r="C91" s="331"/>
      <c r="D91" s="323"/>
      <c r="E91" s="323"/>
      <c r="F91" s="323"/>
      <c r="G91" s="322"/>
      <c r="H91" s="322"/>
      <c r="I91" s="323"/>
      <c r="J91" s="430"/>
      <c r="K91" s="434"/>
      <c r="L91" s="432"/>
      <c r="M91" s="43"/>
      <c r="N91" s="43"/>
      <c r="O91" s="337"/>
      <c r="P91" s="337"/>
      <c r="Q91" s="76"/>
      <c r="R91" s="364"/>
      <c r="S91" s="364"/>
      <c r="T91" s="327"/>
      <c r="U91" s="43"/>
      <c r="V91" s="42"/>
      <c r="W91" s="22"/>
      <c r="X91" s="22"/>
      <c r="Z91" s="22"/>
    </row>
    <row r="92" spans="1:26" x14ac:dyDescent="0.25">
      <c r="A92" s="240"/>
      <c r="B92" s="329"/>
      <c r="C92" s="331"/>
      <c r="D92" s="323"/>
      <c r="E92" s="323"/>
      <c r="F92" s="323"/>
      <c r="G92" s="322"/>
      <c r="H92" s="322"/>
      <c r="I92" s="323"/>
      <c r="J92" s="430"/>
      <c r="K92" s="434" t="s">
        <v>286</v>
      </c>
      <c r="L92" s="432">
        <v>5300000</v>
      </c>
      <c r="M92" s="43"/>
      <c r="N92" s="43">
        <f t="shared" si="13"/>
        <v>5300000</v>
      </c>
      <c r="O92" s="337"/>
      <c r="P92" s="337"/>
      <c r="Q92" s="76">
        <v>405000</v>
      </c>
      <c r="R92" s="364">
        <v>4260000</v>
      </c>
      <c r="S92" s="364">
        <f>Q92+R92</f>
        <v>4665000</v>
      </c>
      <c r="T92" s="327">
        <f>S92/N92*100</f>
        <v>88.018867924528294</v>
      </c>
      <c r="U92" s="43">
        <f t="shared" si="14"/>
        <v>635000</v>
      </c>
      <c r="V92" s="42"/>
      <c r="W92" s="22"/>
      <c r="X92" s="22"/>
      <c r="Z92" s="22"/>
    </row>
    <row r="93" spans="1:26" x14ac:dyDescent="0.25">
      <c r="A93" s="240"/>
      <c r="B93" s="329"/>
      <c r="C93" s="331"/>
      <c r="D93" s="323"/>
      <c r="E93" s="323"/>
      <c r="F93" s="323"/>
      <c r="G93" s="322"/>
      <c r="H93" s="322"/>
      <c r="I93" s="323"/>
      <c r="J93" s="430"/>
      <c r="K93" s="434"/>
      <c r="L93" s="432"/>
      <c r="M93" s="43"/>
      <c r="N93" s="43"/>
      <c r="O93" s="337"/>
      <c r="P93" s="337"/>
      <c r="Q93" s="76"/>
      <c r="R93" s="364"/>
      <c r="S93" s="364"/>
      <c r="T93" s="327"/>
      <c r="U93" s="43"/>
      <c r="V93" s="42"/>
      <c r="W93" s="22"/>
      <c r="X93" s="22"/>
      <c r="Z93" s="22"/>
    </row>
    <row r="94" spans="1:26" x14ac:dyDescent="0.25">
      <c r="A94" s="240"/>
      <c r="B94" s="329"/>
      <c r="C94" s="331"/>
      <c r="D94" s="323"/>
      <c r="E94" s="323"/>
      <c r="F94" s="323"/>
      <c r="G94" s="322"/>
      <c r="H94" s="322"/>
      <c r="I94" s="323"/>
      <c r="J94" s="430"/>
      <c r="K94" s="434" t="s">
        <v>287</v>
      </c>
      <c r="L94" s="432">
        <v>5000000</v>
      </c>
      <c r="M94" s="43"/>
      <c r="N94" s="43">
        <f t="shared" si="13"/>
        <v>5000000</v>
      </c>
      <c r="O94" s="337"/>
      <c r="P94" s="337"/>
      <c r="Q94" s="76">
        <v>0</v>
      </c>
      <c r="R94" s="364">
        <v>0</v>
      </c>
      <c r="S94" s="364">
        <f>Q94+R94</f>
        <v>0</v>
      </c>
      <c r="T94" s="327">
        <f>S94/N94*100</f>
        <v>0</v>
      </c>
      <c r="U94" s="43">
        <f t="shared" si="14"/>
        <v>5000000</v>
      </c>
      <c r="V94" s="42"/>
      <c r="W94" s="22"/>
      <c r="X94" s="22"/>
      <c r="Z94" s="22"/>
    </row>
    <row r="95" spans="1:26" x14ac:dyDescent="0.25">
      <c r="A95" s="240"/>
      <c r="B95" s="329"/>
      <c r="C95" s="331"/>
      <c r="D95" s="323"/>
      <c r="E95" s="323"/>
      <c r="F95" s="323"/>
      <c r="G95" s="322"/>
      <c r="H95" s="322"/>
      <c r="I95" s="323"/>
      <c r="J95" s="430"/>
      <c r="K95" s="434"/>
      <c r="L95" s="432"/>
      <c r="M95" s="43"/>
      <c r="N95" s="43"/>
      <c r="O95" s="337"/>
      <c r="P95" s="337"/>
      <c r="Q95" s="76"/>
      <c r="R95" s="364"/>
      <c r="S95" s="364"/>
      <c r="T95" s="327"/>
      <c r="U95" s="43"/>
      <c r="V95" s="42"/>
      <c r="W95" s="22"/>
      <c r="X95" s="22"/>
      <c r="Z95" s="22"/>
    </row>
    <row r="96" spans="1:26" x14ac:dyDescent="0.25">
      <c r="A96" s="240"/>
      <c r="B96" s="329"/>
      <c r="C96" s="331"/>
      <c r="D96" s="323"/>
      <c r="E96" s="323"/>
      <c r="F96" s="323"/>
      <c r="G96" s="322"/>
      <c r="H96" s="322"/>
      <c r="I96" s="323"/>
      <c r="J96" s="430"/>
      <c r="K96" s="434" t="s">
        <v>288</v>
      </c>
      <c r="L96" s="432">
        <v>200000</v>
      </c>
      <c r="M96" s="43"/>
      <c r="N96" s="43">
        <f t="shared" si="13"/>
        <v>200000</v>
      </c>
      <c r="O96" s="337"/>
      <c r="P96" s="337"/>
      <c r="Q96" s="76">
        <v>0</v>
      </c>
      <c r="R96" s="364">
        <v>0</v>
      </c>
      <c r="S96" s="364">
        <f>Q96+R96</f>
        <v>0</v>
      </c>
      <c r="T96" s="327">
        <f>S96/N96*100</f>
        <v>0</v>
      </c>
      <c r="U96" s="43">
        <f t="shared" si="14"/>
        <v>200000</v>
      </c>
      <c r="V96" s="42"/>
      <c r="W96" s="22"/>
      <c r="X96" s="22"/>
      <c r="Z96" s="22"/>
    </row>
    <row r="97" spans="1:26" x14ac:dyDescent="0.25">
      <c r="A97" s="240"/>
      <c r="B97" s="329"/>
      <c r="C97" s="331"/>
      <c r="D97" s="323"/>
      <c r="E97" s="323"/>
      <c r="F97" s="323"/>
      <c r="G97" s="322"/>
      <c r="H97" s="322"/>
      <c r="I97" s="323"/>
      <c r="J97" s="430"/>
      <c r="K97" s="434"/>
      <c r="L97" s="432"/>
      <c r="M97" s="43"/>
      <c r="N97" s="43"/>
      <c r="O97" s="337"/>
      <c r="P97" s="337"/>
      <c r="Q97" s="76"/>
      <c r="R97" s="364"/>
      <c r="S97" s="364"/>
      <c r="T97" s="327"/>
      <c r="U97" s="43"/>
      <c r="V97" s="42"/>
      <c r="W97" s="22"/>
      <c r="X97" s="22"/>
      <c r="Z97" s="22"/>
    </row>
    <row r="98" spans="1:26" x14ac:dyDescent="0.25">
      <c r="A98" s="240"/>
      <c r="B98" s="329"/>
      <c r="C98" s="331"/>
      <c r="D98" s="323"/>
      <c r="E98" s="323"/>
      <c r="F98" s="323"/>
      <c r="G98" s="322"/>
      <c r="H98" s="322"/>
      <c r="I98" s="323"/>
      <c r="J98" s="430"/>
      <c r="K98" s="434" t="s">
        <v>289</v>
      </c>
      <c r="L98" s="432">
        <v>1000000</v>
      </c>
      <c r="M98" s="43"/>
      <c r="N98" s="43">
        <f t="shared" si="13"/>
        <v>1000000</v>
      </c>
      <c r="O98" s="337"/>
      <c r="P98" s="337"/>
      <c r="Q98" s="76">
        <v>0</v>
      </c>
      <c r="R98" s="364">
        <v>950000</v>
      </c>
      <c r="S98" s="364">
        <f>Q98+R98</f>
        <v>950000</v>
      </c>
      <c r="T98" s="327">
        <f>S98/N98*100</f>
        <v>95</v>
      </c>
      <c r="U98" s="43">
        <f t="shared" si="14"/>
        <v>50000</v>
      </c>
      <c r="V98" s="42"/>
      <c r="W98" s="22"/>
      <c r="X98" s="22"/>
      <c r="Z98" s="22"/>
    </row>
    <row r="99" spans="1:26" x14ac:dyDescent="0.25">
      <c r="A99" s="240"/>
      <c r="B99" s="329"/>
      <c r="C99" s="331"/>
      <c r="D99" s="323"/>
      <c r="E99" s="323"/>
      <c r="F99" s="323"/>
      <c r="G99" s="322"/>
      <c r="H99" s="322"/>
      <c r="I99" s="323"/>
      <c r="J99" s="430"/>
      <c r="K99" s="434"/>
      <c r="L99" s="432"/>
      <c r="M99" s="43"/>
      <c r="N99" s="43"/>
      <c r="O99" s="337"/>
      <c r="P99" s="337"/>
      <c r="Q99" s="76"/>
      <c r="R99" s="364"/>
      <c r="S99" s="364"/>
      <c r="T99" s="327"/>
      <c r="U99" s="43"/>
      <c r="V99" s="42"/>
      <c r="W99" s="22"/>
      <c r="X99" s="22"/>
      <c r="Z99" s="22"/>
    </row>
    <row r="100" spans="1:26" x14ac:dyDescent="0.25">
      <c r="A100" s="240"/>
      <c r="B100" s="329"/>
      <c r="C100" s="331"/>
      <c r="D100" s="323"/>
      <c r="E100" s="323"/>
      <c r="F100" s="323"/>
      <c r="G100" s="322"/>
      <c r="H100" s="322"/>
      <c r="I100" s="323"/>
      <c r="J100" s="430"/>
      <c r="K100" s="434" t="s">
        <v>290</v>
      </c>
      <c r="L100" s="432">
        <v>1500000</v>
      </c>
      <c r="M100" s="43"/>
      <c r="N100" s="43">
        <f t="shared" si="13"/>
        <v>1500000</v>
      </c>
      <c r="O100" s="337"/>
      <c r="P100" s="337"/>
      <c r="Q100" s="76">
        <v>0</v>
      </c>
      <c r="R100" s="364">
        <v>0</v>
      </c>
      <c r="S100" s="364">
        <f>Q100+R100</f>
        <v>0</v>
      </c>
      <c r="T100" s="327">
        <f>S100/N100*100</f>
        <v>0</v>
      </c>
      <c r="U100" s="43">
        <f t="shared" si="14"/>
        <v>1500000</v>
      </c>
      <c r="V100" s="42"/>
      <c r="W100" s="22"/>
      <c r="X100" s="22"/>
      <c r="Z100" s="22"/>
    </row>
    <row r="101" spans="1:26" x14ac:dyDescent="0.25">
      <c r="A101" s="240"/>
      <c r="B101" s="329"/>
      <c r="C101" s="331"/>
      <c r="D101" s="323"/>
      <c r="E101" s="323"/>
      <c r="F101" s="323"/>
      <c r="G101" s="322"/>
      <c r="H101" s="322"/>
      <c r="I101" s="323"/>
      <c r="J101" s="430"/>
      <c r="K101" s="434"/>
      <c r="L101" s="432"/>
      <c r="M101" s="43"/>
      <c r="N101" s="43"/>
      <c r="O101" s="337"/>
      <c r="P101" s="337"/>
      <c r="Q101" s="76"/>
      <c r="R101" s="364"/>
      <c r="S101" s="364"/>
      <c r="T101" s="327"/>
      <c r="U101" s="43"/>
      <c r="V101" s="42"/>
      <c r="W101" s="22"/>
      <c r="X101" s="22"/>
      <c r="Z101" s="22"/>
    </row>
    <row r="102" spans="1:26" x14ac:dyDescent="0.25">
      <c r="A102" s="240"/>
      <c r="B102" s="329"/>
      <c r="C102" s="331"/>
      <c r="D102" s="323"/>
      <c r="E102" s="323"/>
      <c r="F102" s="323"/>
      <c r="G102" s="322"/>
      <c r="H102" s="322"/>
      <c r="I102" s="323"/>
      <c r="J102" s="430"/>
      <c r="K102" s="434" t="s">
        <v>291</v>
      </c>
      <c r="L102" s="432">
        <v>3000000</v>
      </c>
      <c r="M102" s="43"/>
      <c r="N102" s="43">
        <f t="shared" si="13"/>
        <v>3000000</v>
      </c>
      <c r="O102" s="337"/>
      <c r="P102" s="337"/>
      <c r="Q102" s="76">
        <v>0</v>
      </c>
      <c r="R102" s="364">
        <v>3000000</v>
      </c>
      <c r="S102" s="364">
        <f>Q102+R102</f>
        <v>3000000</v>
      </c>
      <c r="T102" s="327">
        <f>S102/N102*100</f>
        <v>100</v>
      </c>
      <c r="U102" s="43">
        <f t="shared" si="14"/>
        <v>0</v>
      </c>
      <c r="V102" s="42"/>
      <c r="W102" s="22"/>
      <c r="X102" s="22"/>
      <c r="Z102" s="22"/>
    </row>
    <row r="103" spans="1:26" x14ac:dyDescent="0.25">
      <c r="A103" s="240"/>
      <c r="B103" s="329"/>
      <c r="C103" s="331"/>
      <c r="D103" s="323"/>
      <c r="E103" s="323"/>
      <c r="F103" s="323"/>
      <c r="G103" s="322"/>
      <c r="H103" s="322"/>
      <c r="I103" s="323"/>
      <c r="J103" s="362"/>
      <c r="K103" s="438"/>
      <c r="L103" s="43"/>
      <c r="M103" s="43"/>
      <c r="N103" s="43"/>
      <c r="O103" s="337"/>
      <c r="P103" s="337"/>
      <c r="Q103" s="76"/>
      <c r="R103" s="364"/>
      <c r="S103" s="364"/>
      <c r="T103" s="327"/>
      <c r="U103" s="43"/>
      <c r="V103" s="42"/>
      <c r="W103" s="22"/>
      <c r="X103" s="22"/>
      <c r="Z103" s="22"/>
    </row>
    <row r="104" spans="1:26" x14ac:dyDescent="0.25">
      <c r="A104" s="445"/>
      <c r="B104" s="446"/>
      <c r="C104" s="447"/>
      <c r="D104" s="448"/>
      <c r="E104" s="448"/>
      <c r="F104" s="448"/>
      <c r="G104" s="449"/>
      <c r="H104" s="449"/>
      <c r="I104" s="448"/>
      <c r="J104" s="450"/>
      <c r="K104" s="439" t="s">
        <v>284</v>
      </c>
      <c r="L104" s="440">
        <v>32000000</v>
      </c>
      <c r="M104" s="440">
        <v>0</v>
      </c>
      <c r="N104" s="440">
        <f t="shared" si="13"/>
        <v>32000000</v>
      </c>
      <c r="O104" s="441"/>
      <c r="P104" s="441"/>
      <c r="Q104" s="443">
        <v>0</v>
      </c>
      <c r="R104" s="443">
        <v>25641000</v>
      </c>
      <c r="S104" s="443">
        <f>Q104+R104</f>
        <v>25641000</v>
      </c>
      <c r="T104" s="444">
        <f>S104/N104*100</f>
        <v>80.128124999999997</v>
      </c>
      <c r="U104" s="440">
        <f t="shared" si="14"/>
        <v>6359000</v>
      </c>
      <c r="V104" s="42">
        <f t="shared" si="17"/>
        <v>3179500</v>
      </c>
      <c r="W104" s="22">
        <f t="shared" si="15"/>
        <v>0</v>
      </c>
      <c r="X104" s="22">
        <f t="shared" si="16"/>
        <v>0</v>
      </c>
      <c r="Z104" s="22">
        <f t="shared" ref="Z104:Z153" si="18">Q104/N104*100</f>
        <v>0</v>
      </c>
    </row>
    <row r="105" spans="1:26" x14ac:dyDescent="0.25">
      <c r="A105" s="240"/>
      <c r="B105" s="329"/>
      <c r="C105" s="331"/>
      <c r="D105" s="323"/>
      <c r="E105" s="323"/>
      <c r="F105" s="323"/>
      <c r="G105" s="322"/>
      <c r="H105" s="322"/>
      <c r="I105" s="323"/>
      <c r="J105" s="362"/>
      <c r="K105" s="368"/>
      <c r="L105" s="337"/>
      <c r="M105" s="337"/>
      <c r="N105" s="337"/>
      <c r="O105" s="337"/>
      <c r="P105" s="337"/>
      <c r="Q105" s="363"/>
      <c r="R105" s="364"/>
      <c r="S105" s="364"/>
      <c r="T105" s="327"/>
      <c r="U105" s="43"/>
      <c r="V105" s="42">
        <f t="shared" si="17"/>
        <v>0</v>
      </c>
      <c r="W105" s="22"/>
      <c r="X105" s="22"/>
      <c r="Z105" s="22" t="e">
        <f t="shared" si="18"/>
        <v>#DIV/0!</v>
      </c>
    </row>
    <row r="106" spans="1:26" x14ac:dyDescent="0.25">
      <c r="A106" s="394"/>
      <c r="B106" s="514" t="s">
        <v>251</v>
      </c>
      <c r="C106" s="515"/>
      <c r="D106" s="515"/>
      <c r="E106" s="515"/>
      <c r="F106" s="516"/>
      <c r="G106" s="413"/>
      <c r="H106" s="413"/>
      <c r="I106" s="414"/>
      <c r="J106" s="415"/>
      <c r="K106" s="421" t="s">
        <v>215</v>
      </c>
      <c r="L106" s="398">
        <v>10000000</v>
      </c>
      <c r="M106" s="398">
        <v>0</v>
      </c>
      <c r="N106" s="398">
        <f t="shared" si="13"/>
        <v>10000000</v>
      </c>
      <c r="O106" s="402"/>
      <c r="P106" s="402"/>
      <c r="Q106" s="399">
        <v>1000000</v>
      </c>
      <c r="R106" s="399">
        <v>2150000</v>
      </c>
      <c r="S106" s="399">
        <f>Q106+R106</f>
        <v>3150000</v>
      </c>
      <c r="T106" s="400">
        <f>S106/N106*100</f>
        <v>31.5</v>
      </c>
      <c r="U106" s="398">
        <f t="shared" si="14"/>
        <v>6850000</v>
      </c>
      <c r="V106" s="42">
        <f t="shared" si="17"/>
        <v>3425000</v>
      </c>
      <c r="W106" s="22">
        <f t="shared" si="15"/>
        <v>10</v>
      </c>
      <c r="X106" s="22">
        <f t="shared" si="16"/>
        <v>10</v>
      </c>
      <c r="Z106" s="65">
        <f t="shared" si="18"/>
        <v>10</v>
      </c>
    </row>
    <row r="107" spans="1:26" x14ac:dyDescent="0.25">
      <c r="A107" s="240"/>
      <c r="B107" s="329"/>
      <c r="C107" s="331"/>
      <c r="D107" s="323"/>
      <c r="E107" s="323"/>
      <c r="F107" s="323"/>
      <c r="G107" s="322"/>
      <c r="H107" s="322"/>
      <c r="I107" s="323"/>
      <c r="J107" s="362"/>
      <c r="K107" s="368"/>
      <c r="L107" s="337"/>
      <c r="M107" s="337"/>
      <c r="N107" s="337"/>
      <c r="O107" s="337"/>
      <c r="P107" s="337"/>
      <c r="Q107" s="363"/>
      <c r="R107" s="364"/>
      <c r="S107" s="364"/>
      <c r="T107" s="327"/>
      <c r="U107" s="43"/>
      <c r="V107" s="42">
        <f t="shared" si="17"/>
        <v>0</v>
      </c>
      <c r="W107" s="22"/>
      <c r="X107" s="22"/>
      <c r="Z107" s="22" t="e">
        <f t="shared" si="18"/>
        <v>#DIV/0!</v>
      </c>
    </row>
    <row r="108" spans="1:26" x14ac:dyDescent="0.25">
      <c r="A108" s="394"/>
      <c r="B108" s="514" t="s">
        <v>252</v>
      </c>
      <c r="C108" s="515"/>
      <c r="D108" s="515"/>
      <c r="E108" s="515"/>
      <c r="F108" s="516"/>
      <c r="G108" s="401"/>
      <c r="H108" s="401"/>
      <c r="I108" s="395"/>
      <c r="J108" s="396"/>
      <c r="K108" s="421" t="s">
        <v>216</v>
      </c>
      <c r="L108" s="402">
        <f>L110+L112</f>
        <v>48000000</v>
      </c>
      <c r="M108" s="402">
        <v>0</v>
      </c>
      <c r="N108" s="402">
        <f>L108-M108</f>
        <v>48000000</v>
      </c>
      <c r="O108" s="402"/>
      <c r="P108" s="402"/>
      <c r="Q108" s="419">
        <f>Q110+Q112</f>
        <v>0</v>
      </c>
      <c r="R108" s="399">
        <v>42590700</v>
      </c>
      <c r="S108" s="399">
        <f>Q108+R108</f>
        <v>42590700</v>
      </c>
      <c r="T108" s="400">
        <f>S108/N108*100</f>
        <v>88.730625000000003</v>
      </c>
      <c r="U108" s="398">
        <f t="shared" si="14"/>
        <v>5409300</v>
      </c>
      <c r="V108" s="42"/>
      <c r="W108" s="22"/>
      <c r="X108" s="22">
        <f t="shared" si="16"/>
        <v>0</v>
      </c>
      <c r="Z108" s="65">
        <f t="shared" si="18"/>
        <v>0</v>
      </c>
    </row>
    <row r="109" spans="1:26" x14ac:dyDescent="0.25">
      <c r="A109" s="240"/>
      <c r="B109" s="329"/>
      <c r="C109" s="331"/>
      <c r="D109" s="323"/>
      <c r="E109" s="323"/>
      <c r="F109" s="323"/>
      <c r="G109" s="322"/>
      <c r="H109" s="322"/>
      <c r="I109" s="323"/>
      <c r="J109" s="362"/>
      <c r="K109" s="368"/>
      <c r="L109" s="337"/>
      <c r="M109" s="337"/>
      <c r="N109" s="337"/>
      <c r="O109" s="337"/>
      <c r="P109" s="337"/>
      <c r="Q109" s="363"/>
      <c r="R109" s="364"/>
      <c r="S109" s="364"/>
      <c r="T109" s="327"/>
      <c r="U109" s="43"/>
      <c r="V109" s="42"/>
      <c r="W109" s="22"/>
      <c r="X109" s="22"/>
      <c r="Z109" s="22" t="e">
        <f t="shared" si="18"/>
        <v>#DIV/0!</v>
      </c>
    </row>
    <row r="110" spans="1:26" x14ac:dyDescent="0.25">
      <c r="A110" s="240"/>
      <c r="B110" s="329"/>
      <c r="C110" s="331"/>
      <c r="D110" s="323"/>
      <c r="E110" s="323"/>
      <c r="F110" s="323"/>
      <c r="G110" s="322"/>
      <c r="H110" s="322"/>
      <c r="I110" s="323"/>
      <c r="J110" s="362"/>
      <c r="K110" s="368" t="s">
        <v>217</v>
      </c>
      <c r="L110" s="337">
        <v>43000000</v>
      </c>
      <c r="M110" s="337">
        <v>0</v>
      </c>
      <c r="N110" s="43">
        <f t="shared" ref="N110" si="19">L110-M110</f>
        <v>43000000</v>
      </c>
      <c r="O110" s="337"/>
      <c r="P110" s="337"/>
      <c r="Q110" s="363">
        <v>0</v>
      </c>
      <c r="R110" s="364">
        <v>42590700</v>
      </c>
      <c r="S110" s="364">
        <f>Q110+R110</f>
        <v>42590700</v>
      </c>
      <c r="T110" s="327">
        <f>S110/N110*100</f>
        <v>99.048139534883717</v>
      </c>
      <c r="U110" s="43">
        <f t="shared" si="14"/>
        <v>409300</v>
      </c>
      <c r="V110" s="42"/>
      <c r="W110" s="22"/>
      <c r="X110" s="22">
        <f t="shared" si="16"/>
        <v>0</v>
      </c>
      <c r="Z110" s="65">
        <f t="shared" si="18"/>
        <v>0</v>
      </c>
    </row>
    <row r="111" spans="1:26" x14ac:dyDescent="0.25">
      <c r="A111" s="240"/>
      <c r="B111" s="329"/>
      <c r="C111" s="331"/>
      <c r="D111" s="323"/>
      <c r="E111" s="323"/>
      <c r="F111" s="323"/>
      <c r="G111" s="322"/>
      <c r="H111" s="322"/>
      <c r="I111" s="323"/>
      <c r="J111" s="362"/>
      <c r="K111" s="368"/>
      <c r="L111" s="337"/>
      <c r="M111" s="337"/>
      <c r="N111" s="337"/>
      <c r="O111" s="337"/>
      <c r="P111" s="337"/>
      <c r="Q111" s="363"/>
      <c r="R111" s="364"/>
      <c r="S111" s="364"/>
      <c r="T111" s="327"/>
      <c r="U111" s="43"/>
      <c r="V111" s="42"/>
      <c r="W111" s="22"/>
      <c r="X111" s="22"/>
      <c r="Z111" s="22" t="e">
        <f t="shared" si="18"/>
        <v>#DIV/0!</v>
      </c>
    </row>
    <row r="112" spans="1:26" x14ac:dyDescent="0.25">
      <c r="A112" s="240"/>
      <c r="B112" s="329"/>
      <c r="C112" s="331"/>
      <c r="D112" s="323"/>
      <c r="E112" s="323"/>
      <c r="F112" s="323"/>
      <c r="G112" s="322"/>
      <c r="H112" s="322"/>
      <c r="I112" s="323"/>
      <c r="J112" s="362"/>
      <c r="K112" s="368" t="s">
        <v>218</v>
      </c>
      <c r="L112" s="337">
        <v>5000000</v>
      </c>
      <c r="M112" s="337">
        <v>0</v>
      </c>
      <c r="N112" s="43">
        <f t="shared" ref="N112" si="20">L112-M112</f>
        <v>5000000</v>
      </c>
      <c r="O112" s="337"/>
      <c r="P112" s="337"/>
      <c r="Q112" s="363">
        <v>0</v>
      </c>
      <c r="R112" s="364">
        <v>0</v>
      </c>
      <c r="S112" s="364">
        <f>Q112+R112</f>
        <v>0</v>
      </c>
      <c r="T112" s="327">
        <f>S112/N112*100</f>
        <v>0</v>
      </c>
      <c r="U112" s="43">
        <f t="shared" si="14"/>
        <v>5000000</v>
      </c>
      <c r="V112" s="42"/>
      <c r="W112" s="22"/>
      <c r="X112" s="22">
        <f t="shared" si="16"/>
        <v>0</v>
      </c>
      <c r="Z112" s="65">
        <f t="shared" si="18"/>
        <v>0</v>
      </c>
    </row>
    <row r="113" spans="1:26" x14ac:dyDescent="0.25">
      <c r="A113" s="240"/>
      <c r="B113" s="329"/>
      <c r="C113" s="331"/>
      <c r="D113" s="323"/>
      <c r="E113" s="323"/>
      <c r="F113" s="323"/>
      <c r="G113" s="322"/>
      <c r="H113" s="322"/>
      <c r="I113" s="323"/>
      <c r="J113" s="362"/>
      <c r="K113" s="368"/>
      <c r="L113" s="337"/>
      <c r="M113" s="337"/>
      <c r="N113" s="43"/>
      <c r="O113" s="337"/>
      <c r="P113" s="337"/>
      <c r="Q113" s="363"/>
      <c r="R113" s="364"/>
      <c r="S113" s="364"/>
      <c r="T113" s="327"/>
      <c r="U113" s="43"/>
      <c r="V113" s="42"/>
      <c r="W113" s="22"/>
      <c r="X113" s="22"/>
      <c r="Z113" s="22" t="e">
        <f t="shared" si="18"/>
        <v>#DIV/0!</v>
      </c>
    </row>
    <row r="114" spans="1:26" x14ac:dyDescent="0.25">
      <c r="A114" s="394"/>
      <c r="B114" s="514" t="s">
        <v>253</v>
      </c>
      <c r="C114" s="515"/>
      <c r="D114" s="515"/>
      <c r="E114" s="515"/>
      <c r="F114" s="516"/>
      <c r="G114" s="401"/>
      <c r="H114" s="401"/>
      <c r="I114" s="395"/>
      <c r="J114" s="396"/>
      <c r="K114" s="421" t="s">
        <v>219</v>
      </c>
      <c r="L114" s="402">
        <v>12500000</v>
      </c>
      <c r="M114" s="402">
        <v>0</v>
      </c>
      <c r="N114" s="402">
        <f>L114-M114</f>
        <v>12500000</v>
      </c>
      <c r="O114" s="402"/>
      <c r="P114" s="402"/>
      <c r="Q114" s="419">
        <v>1180000</v>
      </c>
      <c r="R114" s="399">
        <v>4986500</v>
      </c>
      <c r="S114" s="399">
        <f>Q114+R114</f>
        <v>6166500</v>
      </c>
      <c r="T114" s="400">
        <f>S114/N114*100</f>
        <v>49.332000000000001</v>
      </c>
      <c r="U114" s="398">
        <f t="shared" ref="U114" si="21">N114-S114</f>
        <v>6333500</v>
      </c>
      <c r="V114" s="42"/>
      <c r="W114" s="22"/>
      <c r="X114" s="22">
        <f t="shared" si="16"/>
        <v>9.44</v>
      </c>
      <c r="Z114" s="65">
        <f t="shared" si="18"/>
        <v>9.44</v>
      </c>
    </row>
    <row r="115" spans="1:26" x14ac:dyDescent="0.25">
      <c r="A115" s="240"/>
      <c r="B115" s="329"/>
      <c r="C115" s="331"/>
      <c r="D115" s="323"/>
      <c r="E115" s="323"/>
      <c r="F115" s="323"/>
      <c r="G115" s="322"/>
      <c r="H115" s="322"/>
      <c r="I115" s="323"/>
      <c r="J115" s="362"/>
      <c r="K115" s="368"/>
      <c r="L115" s="337"/>
      <c r="M115" s="337"/>
      <c r="N115" s="43"/>
      <c r="O115" s="337"/>
      <c r="P115" s="337"/>
      <c r="Q115" s="363"/>
      <c r="R115" s="364"/>
      <c r="S115" s="364"/>
      <c r="T115" s="327"/>
      <c r="U115" s="43"/>
      <c r="V115" s="42"/>
      <c r="W115" s="22"/>
      <c r="X115" s="22"/>
      <c r="Z115" s="22" t="e">
        <f t="shared" si="18"/>
        <v>#DIV/0!</v>
      </c>
    </row>
    <row r="116" spans="1:26" x14ac:dyDescent="0.25">
      <c r="A116" s="394"/>
      <c r="B116" s="514" t="s">
        <v>254</v>
      </c>
      <c r="C116" s="515"/>
      <c r="D116" s="515"/>
      <c r="E116" s="515"/>
      <c r="F116" s="516"/>
      <c r="G116" s="401"/>
      <c r="H116" s="401"/>
      <c r="I116" s="395"/>
      <c r="J116" s="396"/>
      <c r="K116" s="421" t="s">
        <v>220</v>
      </c>
      <c r="L116" s="402">
        <v>15000000</v>
      </c>
      <c r="M116" s="402">
        <v>0</v>
      </c>
      <c r="N116" s="402">
        <f>L116-M116</f>
        <v>15000000</v>
      </c>
      <c r="O116" s="402"/>
      <c r="P116" s="402"/>
      <c r="Q116" s="419">
        <v>0</v>
      </c>
      <c r="R116" s="399">
        <v>15000000</v>
      </c>
      <c r="S116" s="399">
        <f>Q116+R116</f>
        <v>15000000</v>
      </c>
      <c r="T116" s="400">
        <f>S116/N116*100</f>
        <v>100</v>
      </c>
      <c r="U116" s="398">
        <f t="shared" ref="U116" si="22">N116-S116</f>
        <v>0</v>
      </c>
      <c r="V116" s="42"/>
      <c r="W116" s="22"/>
      <c r="X116" s="22">
        <f t="shared" si="16"/>
        <v>0</v>
      </c>
      <c r="Z116" s="65">
        <f t="shared" si="18"/>
        <v>0</v>
      </c>
    </row>
    <row r="117" spans="1:26" x14ac:dyDescent="0.25">
      <c r="A117" s="240"/>
      <c r="B117" s="329"/>
      <c r="C117" s="331"/>
      <c r="D117" s="323"/>
      <c r="E117" s="323"/>
      <c r="F117" s="323"/>
      <c r="G117" s="322"/>
      <c r="H117" s="322"/>
      <c r="I117" s="323"/>
      <c r="J117" s="324"/>
      <c r="K117" s="334"/>
      <c r="L117" s="332"/>
      <c r="M117" s="332"/>
      <c r="N117" s="335"/>
      <c r="O117" s="332"/>
      <c r="P117" s="332"/>
      <c r="Q117" s="325"/>
      <c r="R117" s="141"/>
      <c r="S117" s="141"/>
      <c r="T117" s="327"/>
      <c r="U117" s="43"/>
      <c r="V117" s="42"/>
      <c r="W117" s="22"/>
      <c r="X117" s="22"/>
      <c r="Z117" s="22" t="e">
        <f t="shared" si="18"/>
        <v>#DIV/0!</v>
      </c>
    </row>
    <row r="118" spans="1:26" x14ac:dyDescent="0.25">
      <c r="A118" s="39"/>
      <c r="B118" s="383">
        <v>4</v>
      </c>
      <c r="C118" s="384"/>
      <c r="D118" s="385"/>
      <c r="E118" s="385"/>
      <c r="F118" s="385"/>
      <c r="G118" s="386"/>
      <c r="H118" s="386"/>
      <c r="I118" s="385"/>
      <c r="J118" s="343"/>
      <c r="K118" s="344" t="s">
        <v>135</v>
      </c>
      <c r="L118" s="42">
        <f>L121+L133</f>
        <v>656145000</v>
      </c>
      <c r="M118" s="42">
        <f>M121+M133</f>
        <v>0</v>
      </c>
      <c r="N118" s="42">
        <f>L118-M118</f>
        <v>656145000</v>
      </c>
      <c r="O118" s="345"/>
      <c r="P118" s="345"/>
      <c r="Q118" s="42">
        <f>Q121+Q133</f>
        <v>26020000</v>
      </c>
      <c r="R118" s="42">
        <v>144420000</v>
      </c>
      <c r="S118" s="42">
        <f>Q118+R118</f>
        <v>170440000</v>
      </c>
      <c r="T118" s="291">
        <f>S118/N118*100</f>
        <v>25.975965678318051</v>
      </c>
      <c r="U118" s="42">
        <f t="shared" ref="U118:U144" si="23">N118-S118</f>
        <v>485705000</v>
      </c>
      <c r="V118" s="42">
        <f t="shared" si="17"/>
        <v>242852500</v>
      </c>
      <c r="W118" s="22">
        <f>Q118/N118*100</f>
        <v>3.9655868748523573</v>
      </c>
      <c r="X118" s="22">
        <f t="shared" si="16"/>
        <v>3.9655868748523573</v>
      </c>
      <c r="Z118" s="22">
        <f t="shared" si="18"/>
        <v>3.9655868748523573</v>
      </c>
    </row>
    <row r="119" spans="1:26" x14ac:dyDescent="0.25">
      <c r="A119" s="240"/>
      <c r="B119" s="329"/>
      <c r="C119" s="331"/>
      <c r="D119" s="323"/>
      <c r="E119" s="323"/>
      <c r="F119" s="323"/>
      <c r="G119" s="322"/>
      <c r="H119" s="322"/>
      <c r="I119" s="323"/>
      <c r="J119" s="324"/>
      <c r="K119" s="334"/>
      <c r="L119" s="332"/>
      <c r="M119" s="332"/>
      <c r="N119" s="335"/>
      <c r="O119" s="332"/>
      <c r="P119" s="332"/>
      <c r="Q119" s="325"/>
      <c r="R119" s="141"/>
      <c r="S119" s="141"/>
      <c r="T119" s="327"/>
      <c r="U119" s="43"/>
      <c r="V119" s="42">
        <f t="shared" si="17"/>
        <v>0</v>
      </c>
      <c r="W119" s="22"/>
      <c r="X119" s="22"/>
      <c r="Z119" s="22" t="e">
        <f t="shared" si="18"/>
        <v>#DIV/0!</v>
      </c>
    </row>
    <row r="120" spans="1:26" x14ac:dyDescent="0.25">
      <c r="A120" s="240"/>
      <c r="B120" s="329"/>
      <c r="C120" s="331"/>
      <c r="D120" s="323"/>
      <c r="E120" s="323"/>
      <c r="F120" s="323"/>
      <c r="G120" s="322"/>
      <c r="H120" s="322"/>
      <c r="I120" s="323"/>
      <c r="J120" s="324"/>
      <c r="K120" s="334"/>
      <c r="L120" s="332"/>
      <c r="M120" s="332"/>
      <c r="N120" s="335"/>
      <c r="O120" s="332"/>
      <c r="P120" s="332"/>
      <c r="Q120" s="325"/>
      <c r="R120" s="141"/>
      <c r="S120" s="141"/>
      <c r="T120" s="327"/>
      <c r="U120" s="43"/>
      <c r="V120" s="42">
        <f t="shared" si="17"/>
        <v>0</v>
      </c>
      <c r="W120" s="22"/>
      <c r="X120" s="22"/>
      <c r="Z120" s="22" t="e">
        <f t="shared" si="18"/>
        <v>#DIV/0!</v>
      </c>
    </row>
    <row r="121" spans="1:26" x14ac:dyDescent="0.25">
      <c r="A121" s="394"/>
      <c r="B121" s="404" t="s">
        <v>255</v>
      </c>
      <c r="C121" s="423"/>
      <c r="D121" s="416"/>
      <c r="E121" s="414"/>
      <c r="F121" s="414"/>
      <c r="G121" s="413"/>
      <c r="H121" s="413"/>
      <c r="I121" s="414"/>
      <c r="J121" s="415"/>
      <c r="K121" s="421" t="s">
        <v>256</v>
      </c>
      <c r="L121" s="398">
        <f>L123+L125+L127+L129+L131</f>
        <v>189650000</v>
      </c>
      <c r="M121" s="398">
        <f>M123+M125+M127+M129</f>
        <v>0</v>
      </c>
      <c r="N121" s="398">
        <f t="shared" ref="N121:N152" si="24">L121-M121</f>
        <v>189650000</v>
      </c>
      <c r="O121" s="402"/>
      <c r="P121" s="402"/>
      <c r="Q121" s="399">
        <f>Q123+Q125+Q126</f>
        <v>2700000</v>
      </c>
      <c r="R121" s="399">
        <v>15600000</v>
      </c>
      <c r="S121" s="399">
        <f>Q121+R121</f>
        <v>18300000</v>
      </c>
      <c r="T121" s="400">
        <f>S121/N121*100</f>
        <v>9.6493540732929084</v>
      </c>
      <c r="U121" s="398">
        <f t="shared" si="23"/>
        <v>171350000</v>
      </c>
      <c r="V121" s="42">
        <f t="shared" si="17"/>
        <v>85675000</v>
      </c>
      <c r="W121" s="22">
        <f t="shared" ref="W121:W154" si="25">Q121/N121*100</f>
        <v>1.4236751911415766</v>
      </c>
      <c r="X121" s="22">
        <f t="shared" si="16"/>
        <v>1.4236751911415766</v>
      </c>
      <c r="Z121" s="65">
        <f t="shared" si="18"/>
        <v>1.4236751911415766</v>
      </c>
    </row>
    <row r="122" spans="1:26" x14ac:dyDescent="0.25">
      <c r="A122" s="240"/>
      <c r="B122" s="329"/>
      <c r="C122" s="331"/>
      <c r="D122" s="323"/>
      <c r="E122" s="323"/>
      <c r="F122" s="323"/>
      <c r="G122" s="322"/>
      <c r="H122" s="322"/>
      <c r="I122" s="323"/>
      <c r="J122" s="324"/>
      <c r="K122" s="334"/>
      <c r="L122" s="332"/>
      <c r="M122" s="332"/>
      <c r="N122" s="335">
        <f t="shared" si="24"/>
        <v>0</v>
      </c>
      <c r="O122" s="332"/>
      <c r="P122" s="332"/>
      <c r="Q122" s="325"/>
      <c r="R122" s="141"/>
      <c r="S122" s="141"/>
      <c r="T122" s="327"/>
      <c r="U122" s="43"/>
      <c r="V122" s="42">
        <f t="shared" si="17"/>
        <v>0</v>
      </c>
      <c r="W122" s="22"/>
      <c r="X122" s="22"/>
      <c r="Z122" s="22" t="e">
        <f t="shared" si="18"/>
        <v>#DIV/0!</v>
      </c>
    </row>
    <row r="123" spans="1:26" x14ac:dyDescent="0.25">
      <c r="A123" s="240"/>
      <c r="B123" s="329"/>
      <c r="C123" s="331"/>
      <c r="D123" s="323"/>
      <c r="E123" s="323"/>
      <c r="F123" s="323"/>
      <c r="G123" s="322"/>
      <c r="H123" s="322"/>
      <c r="I123" s="323"/>
      <c r="J123" s="324"/>
      <c r="K123" s="336" t="s">
        <v>221</v>
      </c>
      <c r="L123" s="326">
        <v>39000000</v>
      </c>
      <c r="M123" s="326">
        <v>0</v>
      </c>
      <c r="N123" s="43">
        <f t="shared" si="24"/>
        <v>39000000</v>
      </c>
      <c r="O123" s="332"/>
      <c r="P123" s="332"/>
      <c r="Q123" s="141">
        <v>0</v>
      </c>
      <c r="R123" s="141">
        <v>0</v>
      </c>
      <c r="S123" s="141">
        <f>Q123+R123</f>
        <v>0</v>
      </c>
      <c r="T123" s="327">
        <f>S123/N123*100</f>
        <v>0</v>
      </c>
      <c r="U123" s="43">
        <f t="shared" si="23"/>
        <v>39000000</v>
      </c>
      <c r="V123" s="42">
        <f t="shared" si="17"/>
        <v>19500000</v>
      </c>
      <c r="W123" s="22">
        <f t="shared" si="25"/>
        <v>0</v>
      </c>
      <c r="X123" s="22">
        <f t="shared" si="16"/>
        <v>0</v>
      </c>
      <c r="Z123" s="22">
        <f t="shared" si="18"/>
        <v>0</v>
      </c>
    </row>
    <row r="124" spans="1:26" x14ac:dyDescent="0.25">
      <c r="A124" s="240"/>
      <c r="B124" s="329"/>
      <c r="C124" s="331"/>
      <c r="D124" s="323"/>
      <c r="E124" s="323"/>
      <c r="F124" s="323"/>
      <c r="G124" s="322"/>
      <c r="H124" s="322"/>
      <c r="I124" s="323"/>
      <c r="J124" s="324"/>
      <c r="K124" s="336"/>
      <c r="L124" s="43">
        <f>L125+L127+L129+L131</f>
        <v>150650000</v>
      </c>
      <c r="M124" s="43"/>
      <c r="N124" s="43">
        <f>N125+N127+N129+N131</f>
        <v>150650000</v>
      </c>
      <c r="O124" s="337"/>
      <c r="P124" s="337"/>
      <c r="Q124" s="43">
        <f>Q125+Q127+Q129+Q131</f>
        <v>2700000</v>
      </c>
      <c r="R124" s="43">
        <v>15600000</v>
      </c>
      <c r="S124" s="43">
        <f>S125+S127+S129+S131</f>
        <v>18300000</v>
      </c>
      <c r="T124" s="327">
        <f>S124/N124*100</f>
        <v>12.147361433786925</v>
      </c>
      <c r="U124" s="43">
        <f t="shared" si="23"/>
        <v>132350000</v>
      </c>
      <c r="V124" s="270">
        <f t="shared" si="17"/>
        <v>66175000</v>
      </c>
      <c r="W124" s="273"/>
      <c r="X124" s="273">
        <f t="shared" si="16"/>
        <v>1.7922336541652837</v>
      </c>
      <c r="Y124" s="274"/>
      <c r="Z124" s="22">
        <f t="shared" si="18"/>
        <v>1.7922336541652837</v>
      </c>
    </row>
    <row r="125" spans="1:26" x14ac:dyDescent="0.25">
      <c r="A125" s="240"/>
      <c r="B125" s="329"/>
      <c r="C125" s="331"/>
      <c r="D125" s="323"/>
      <c r="E125" s="323"/>
      <c r="F125" s="323"/>
      <c r="G125" s="322"/>
      <c r="H125" s="322"/>
      <c r="I125" s="323"/>
      <c r="J125" s="324"/>
      <c r="K125" s="336" t="s">
        <v>222</v>
      </c>
      <c r="L125" s="326">
        <v>100000000</v>
      </c>
      <c r="M125" s="326">
        <v>0</v>
      </c>
      <c r="N125" s="335">
        <f t="shared" si="24"/>
        <v>100000000</v>
      </c>
      <c r="O125" s="332"/>
      <c r="P125" s="332"/>
      <c r="Q125" s="141">
        <v>0</v>
      </c>
      <c r="R125" s="141">
        <v>0</v>
      </c>
      <c r="S125" s="141">
        <f t="shared" ref="S125:S129" si="26">Q125+R125</f>
        <v>0</v>
      </c>
      <c r="T125" s="327"/>
      <c r="U125" s="43">
        <f t="shared" si="23"/>
        <v>100000000</v>
      </c>
      <c r="V125" s="42">
        <f t="shared" si="17"/>
        <v>50000000</v>
      </c>
      <c r="W125" s="22"/>
      <c r="X125" s="22">
        <f t="shared" si="16"/>
        <v>0</v>
      </c>
      <c r="Z125" s="22">
        <f t="shared" si="18"/>
        <v>0</v>
      </c>
    </row>
    <row r="126" spans="1:26" x14ac:dyDescent="0.25">
      <c r="A126" s="240"/>
      <c r="B126" s="329"/>
      <c r="C126" s="331"/>
      <c r="D126" s="323"/>
      <c r="E126" s="323"/>
      <c r="F126" s="323"/>
      <c r="G126" s="322"/>
      <c r="H126" s="322"/>
      <c r="I126" s="323"/>
      <c r="J126" s="324"/>
      <c r="K126" s="336" t="s">
        <v>275</v>
      </c>
      <c r="L126" s="326">
        <f>L127+L129+L131</f>
        <v>50650000</v>
      </c>
      <c r="M126" s="326"/>
      <c r="N126" s="326">
        <f>N127+N129+N131</f>
        <v>50650000</v>
      </c>
      <c r="O126" s="332"/>
      <c r="P126" s="332"/>
      <c r="Q126" s="326">
        <f>Q127+Q129+Q131</f>
        <v>2700000</v>
      </c>
      <c r="R126" s="326">
        <v>15600000</v>
      </c>
      <c r="S126" s="141">
        <f>Q126+R126</f>
        <v>18300000</v>
      </c>
      <c r="T126" s="327">
        <f>S126/N126*100</f>
        <v>36.130306021717672</v>
      </c>
      <c r="U126" s="43">
        <f t="shared" si="23"/>
        <v>32350000</v>
      </c>
      <c r="V126" s="42">
        <f t="shared" si="17"/>
        <v>16175000</v>
      </c>
      <c r="W126" s="22"/>
      <c r="X126" s="22"/>
      <c r="Z126" s="22">
        <f t="shared" si="18"/>
        <v>5.3307008884501483</v>
      </c>
    </row>
    <row r="127" spans="1:26" x14ac:dyDescent="0.25">
      <c r="A127" s="240"/>
      <c r="B127" s="329"/>
      <c r="C127" s="331"/>
      <c r="D127" s="323"/>
      <c r="E127" s="323"/>
      <c r="F127" s="323"/>
      <c r="G127" s="322"/>
      <c r="H127" s="322"/>
      <c r="I127" s="323"/>
      <c r="J127" s="324"/>
      <c r="K127" s="336" t="s">
        <v>224</v>
      </c>
      <c r="L127" s="326">
        <v>3600000</v>
      </c>
      <c r="M127" s="326">
        <v>0</v>
      </c>
      <c r="N127" s="335">
        <f t="shared" si="24"/>
        <v>3600000</v>
      </c>
      <c r="O127" s="332"/>
      <c r="P127" s="332"/>
      <c r="Q127" s="141">
        <v>0</v>
      </c>
      <c r="R127" s="141">
        <v>1200000</v>
      </c>
      <c r="S127" s="141">
        <f t="shared" si="26"/>
        <v>1200000</v>
      </c>
      <c r="T127" s="327">
        <f>S127/N127*100</f>
        <v>33.333333333333329</v>
      </c>
      <c r="U127" s="43">
        <f t="shared" si="23"/>
        <v>2400000</v>
      </c>
      <c r="V127" s="42">
        <f t="shared" si="17"/>
        <v>1200000</v>
      </c>
      <c r="W127" s="22"/>
      <c r="X127" s="22">
        <f t="shared" si="16"/>
        <v>0</v>
      </c>
      <c r="Z127" s="22">
        <f t="shared" si="18"/>
        <v>0</v>
      </c>
    </row>
    <row r="128" spans="1:26" x14ac:dyDescent="0.25">
      <c r="A128" s="240"/>
      <c r="B128" s="329"/>
      <c r="C128" s="331"/>
      <c r="D128" s="323"/>
      <c r="E128" s="323"/>
      <c r="F128" s="323"/>
      <c r="G128" s="322"/>
      <c r="H128" s="322"/>
      <c r="I128" s="323"/>
      <c r="J128" s="324"/>
      <c r="K128" s="336"/>
      <c r="L128" s="326"/>
      <c r="M128" s="326"/>
      <c r="N128" s="335"/>
      <c r="O128" s="332"/>
      <c r="P128" s="332"/>
      <c r="Q128" s="141"/>
      <c r="R128" s="141"/>
      <c r="S128" s="141"/>
      <c r="T128" s="327"/>
      <c r="U128" s="43"/>
      <c r="V128" s="42">
        <f t="shared" si="17"/>
        <v>0</v>
      </c>
      <c r="W128" s="22"/>
      <c r="X128" s="22"/>
      <c r="Z128" s="22" t="e">
        <f t="shared" si="18"/>
        <v>#DIV/0!</v>
      </c>
    </row>
    <row r="129" spans="1:32" x14ac:dyDescent="0.25">
      <c r="A129" s="240"/>
      <c r="B129" s="329"/>
      <c r="C129" s="331"/>
      <c r="D129" s="323"/>
      <c r="E129" s="323"/>
      <c r="F129" s="323"/>
      <c r="G129" s="322"/>
      <c r="H129" s="322"/>
      <c r="I129" s="323"/>
      <c r="J129" s="324"/>
      <c r="K129" s="336" t="s">
        <v>141</v>
      </c>
      <c r="L129" s="326">
        <v>43900000</v>
      </c>
      <c r="M129" s="326">
        <v>0</v>
      </c>
      <c r="N129" s="335">
        <f t="shared" si="24"/>
        <v>43900000</v>
      </c>
      <c r="O129" s="332"/>
      <c r="P129" s="332"/>
      <c r="Q129" s="141">
        <v>2700000</v>
      </c>
      <c r="R129" s="141">
        <v>14400000</v>
      </c>
      <c r="S129" s="141">
        <f t="shared" si="26"/>
        <v>17100000</v>
      </c>
      <c r="T129" s="327">
        <f>S129/N129*100</f>
        <v>38.95216400911162</v>
      </c>
      <c r="U129" s="43">
        <f t="shared" si="23"/>
        <v>26800000</v>
      </c>
      <c r="V129" s="42">
        <f t="shared" si="17"/>
        <v>13400000</v>
      </c>
      <c r="W129" s="22">
        <f t="shared" si="25"/>
        <v>6.1503416856492032</v>
      </c>
      <c r="X129" s="22">
        <f t="shared" si="16"/>
        <v>6.1503416856492032</v>
      </c>
      <c r="Z129" s="22">
        <f t="shared" si="18"/>
        <v>6.1503416856492032</v>
      </c>
    </row>
    <row r="130" spans="1:32" x14ac:dyDescent="0.25">
      <c r="A130" s="240"/>
      <c r="B130" s="329"/>
      <c r="C130" s="331"/>
      <c r="D130" s="323"/>
      <c r="E130" s="323"/>
      <c r="F130" s="323"/>
      <c r="G130" s="322"/>
      <c r="H130" s="322"/>
      <c r="I130" s="323"/>
      <c r="J130" s="324"/>
      <c r="K130" s="336"/>
      <c r="L130" s="326"/>
      <c r="M130" s="326"/>
      <c r="N130" s="335"/>
      <c r="O130" s="332"/>
      <c r="P130" s="332"/>
      <c r="Q130" s="141"/>
      <c r="R130" s="141"/>
      <c r="S130" s="141"/>
      <c r="T130" s="327" t="e">
        <f>S130/N130*100</f>
        <v>#DIV/0!</v>
      </c>
      <c r="U130" s="43"/>
      <c r="V130" s="42"/>
      <c r="W130" s="22"/>
      <c r="X130" s="22"/>
      <c r="Z130" s="22"/>
    </row>
    <row r="131" spans="1:32" x14ac:dyDescent="0.25">
      <c r="A131" s="240"/>
      <c r="B131" s="329"/>
      <c r="C131" s="331"/>
      <c r="D131" s="323"/>
      <c r="E131" s="323"/>
      <c r="F131" s="323"/>
      <c r="G131" s="322"/>
      <c r="H131" s="322"/>
      <c r="I131" s="323"/>
      <c r="J131" s="324"/>
      <c r="K131" s="336" t="s">
        <v>223</v>
      </c>
      <c r="L131" s="326">
        <v>3150000</v>
      </c>
      <c r="M131" s="326">
        <v>0</v>
      </c>
      <c r="N131" s="335">
        <f t="shared" si="24"/>
        <v>3150000</v>
      </c>
      <c r="O131" s="332"/>
      <c r="P131" s="332"/>
      <c r="Q131" s="141"/>
      <c r="R131" s="141"/>
      <c r="S131" s="141"/>
      <c r="T131" s="327">
        <f>S131/N131*100</f>
        <v>0</v>
      </c>
      <c r="U131" s="43">
        <f t="shared" si="23"/>
        <v>3150000</v>
      </c>
      <c r="V131" s="42"/>
      <c r="W131" s="22"/>
      <c r="X131" s="22">
        <f t="shared" si="16"/>
        <v>0</v>
      </c>
      <c r="Z131" s="22"/>
    </row>
    <row r="132" spans="1:32" x14ac:dyDescent="0.25">
      <c r="A132" s="240"/>
      <c r="B132" s="329"/>
      <c r="C132" s="331"/>
      <c r="D132" s="323"/>
      <c r="E132" s="323"/>
      <c r="F132" s="323"/>
      <c r="G132" s="322"/>
      <c r="H132" s="322"/>
      <c r="I132" s="323"/>
      <c r="J132" s="324"/>
      <c r="K132" s="334"/>
      <c r="L132" s="332"/>
      <c r="M132" s="332"/>
      <c r="N132" s="335"/>
      <c r="O132" s="332"/>
      <c r="P132" s="332"/>
      <c r="Q132" s="325"/>
      <c r="R132" s="141"/>
      <c r="S132" s="141"/>
      <c r="T132" s="327"/>
      <c r="U132" s="43"/>
      <c r="V132" s="42">
        <f t="shared" si="17"/>
        <v>0</v>
      </c>
      <c r="W132" s="22"/>
      <c r="X132" s="22"/>
      <c r="Z132" s="22" t="e">
        <f t="shared" si="18"/>
        <v>#DIV/0!</v>
      </c>
    </row>
    <row r="133" spans="1:32" x14ac:dyDescent="0.25">
      <c r="A133" s="403"/>
      <c r="B133" s="514" t="s">
        <v>257</v>
      </c>
      <c r="C133" s="515"/>
      <c r="D133" s="515"/>
      <c r="E133" s="515"/>
      <c r="F133" s="515"/>
      <c r="G133" s="516"/>
      <c r="H133" s="412"/>
      <c r="I133" s="409"/>
      <c r="J133" s="410"/>
      <c r="K133" s="424" t="s">
        <v>143</v>
      </c>
      <c r="L133" s="398">
        <f>L135+L137+L139+L146</f>
        <v>466495000</v>
      </c>
      <c r="M133" s="398">
        <f>M135+M137+M139+M144+M146</f>
        <v>0</v>
      </c>
      <c r="N133" s="398">
        <f t="shared" ref="N133" si="27">L133-M133</f>
        <v>466495000</v>
      </c>
      <c r="O133" s="402"/>
      <c r="P133" s="402"/>
      <c r="Q133" s="398">
        <f>Q135+Q137+Q139+Q144+Q146</f>
        <v>23320000</v>
      </c>
      <c r="R133" s="398">
        <v>128820000</v>
      </c>
      <c r="S133" s="398">
        <f t="shared" ref="S133:S144" si="28">Q133+R133</f>
        <v>152140000</v>
      </c>
      <c r="T133" s="400">
        <f>S133/N133*100</f>
        <v>32.613425653008072</v>
      </c>
      <c r="U133" s="398">
        <f t="shared" si="23"/>
        <v>314355000</v>
      </c>
      <c r="V133" s="42">
        <f t="shared" si="17"/>
        <v>157177500</v>
      </c>
      <c r="W133" s="22">
        <f t="shared" si="25"/>
        <v>4.9989817682933362</v>
      </c>
      <c r="X133" s="22">
        <f t="shared" si="16"/>
        <v>4.9989817682933362</v>
      </c>
      <c r="Z133" s="65">
        <f t="shared" si="18"/>
        <v>4.9989817682933362</v>
      </c>
    </row>
    <row r="134" spans="1:32" x14ac:dyDescent="0.25">
      <c r="A134" s="232"/>
      <c r="B134" s="314"/>
      <c r="C134" s="314"/>
      <c r="D134" s="348"/>
      <c r="E134" s="349"/>
      <c r="F134" s="349"/>
      <c r="G134" s="349"/>
      <c r="H134" s="318"/>
      <c r="I134" s="319"/>
      <c r="J134" s="312"/>
      <c r="K134" s="377"/>
      <c r="L134" s="43"/>
      <c r="M134" s="43"/>
      <c r="N134" s="43"/>
      <c r="O134" s="337"/>
      <c r="P134" s="337"/>
      <c r="Q134" s="43"/>
      <c r="R134" s="43"/>
      <c r="S134" s="43"/>
      <c r="T134" s="327"/>
      <c r="U134" s="43"/>
      <c r="V134" s="42"/>
      <c r="W134" s="22"/>
      <c r="X134" s="22"/>
      <c r="Z134" s="65"/>
    </row>
    <row r="135" spans="1:32" x14ac:dyDescent="0.25">
      <c r="A135" s="255"/>
      <c r="B135" s="328"/>
      <c r="C135" s="328"/>
      <c r="D135" s="350"/>
      <c r="E135" s="349"/>
      <c r="F135" s="349"/>
      <c r="G135" s="349"/>
      <c r="H135" s="318"/>
      <c r="I135" s="319"/>
      <c r="J135" s="362"/>
      <c r="K135" s="374" t="s">
        <v>225</v>
      </c>
      <c r="L135" s="43">
        <v>11750000</v>
      </c>
      <c r="M135" s="43">
        <v>0</v>
      </c>
      <c r="N135" s="337">
        <f t="shared" si="24"/>
        <v>11750000</v>
      </c>
      <c r="O135" s="43"/>
      <c r="P135" s="43"/>
      <c r="Q135" s="43">
        <v>0</v>
      </c>
      <c r="R135" s="364">
        <v>760000</v>
      </c>
      <c r="S135" s="364">
        <f t="shared" si="28"/>
        <v>760000</v>
      </c>
      <c r="T135" s="327">
        <f t="shared" ref="T135" si="29">S135/N135*100</f>
        <v>6.4680851063829783</v>
      </c>
      <c r="U135" s="43">
        <f t="shared" si="23"/>
        <v>10990000</v>
      </c>
      <c r="V135" s="42">
        <f t="shared" si="17"/>
        <v>5495000</v>
      </c>
      <c r="W135" s="22"/>
      <c r="X135" s="22">
        <f t="shared" si="16"/>
        <v>0</v>
      </c>
      <c r="Z135" s="22">
        <f t="shared" si="18"/>
        <v>0</v>
      </c>
    </row>
    <row r="136" spans="1:32" x14ac:dyDescent="0.25">
      <c r="A136" s="255"/>
      <c r="B136" s="328"/>
      <c r="C136" s="328"/>
      <c r="D136" s="348"/>
      <c r="E136" s="349"/>
      <c r="F136" s="349"/>
      <c r="G136" s="349"/>
      <c r="H136" s="318"/>
      <c r="I136" s="319"/>
      <c r="J136" s="362"/>
      <c r="K136" s="368"/>
      <c r="L136" s="337"/>
      <c r="M136" s="337"/>
      <c r="N136" s="337"/>
      <c r="O136" s="337"/>
      <c r="P136" s="337"/>
      <c r="Q136" s="337"/>
      <c r="R136" s="363"/>
      <c r="S136" s="363"/>
      <c r="T136" s="327"/>
      <c r="U136" s="43"/>
      <c r="V136" s="42">
        <f t="shared" si="17"/>
        <v>0</v>
      </c>
      <c r="W136" s="22"/>
      <c r="X136" s="22"/>
      <c r="Z136" s="22" t="e">
        <f t="shared" si="18"/>
        <v>#DIV/0!</v>
      </c>
    </row>
    <row r="137" spans="1:32" x14ac:dyDescent="0.25">
      <c r="A137" s="255"/>
      <c r="B137" s="328"/>
      <c r="C137" s="328"/>
      <c r="D137" s="348"/>
      <c r="E137" s="349"/>
      <c r="F137" s="349"/>
      <c r="G137" s="349"/>
      <c r="H137" s="318"/>
      <c r="I137" s="319"/>
      <c r="J137" s="362"/>
      <c r="K137" s="368" t="s">
        <v>226</v>
      </c>
      <c r="L137" s="337">
        <v>895000</v>
      </c>
      <c r="M137" s="337">
        <v>0</v>
      </c>
      <c r="N137" s="337">
        <f t="shared" si="24"/>
        <v>895000</v>
      </c>
      <c r="O137" s="337"/>
      <c r="P137" s="337"/>
      <c r="Q137" s="337">
        <v>0</v>
      </c>
      <c r="R137" s="363">
        <v>0</v>
      </c>
      <c r="S137" s="363">
        <f t="shared" si="28"/>
        <v>0</v>
      </c>
      <c r="T137" s="327"/>
      <c r="U137" s="43">
        <f t="shared" si="23"/>
        <v>895000</v>
      </c>
      <c r="V137" s="42">
        <f t="shared" si="17"/>
        <v>447500</v>
      </c>
      <c r="W137" s="22"/>
      <c r="X137" s="22">
        <f t="shared" si="16"/>
        <v>0</v>
      </c>
      <c r="Z137" s="22">
        <f t="shared" si="18"/>
        <v>0</v>
      </c>
    </row>
    <row r="138" spans="1:32" x14ac:dyDescent="0.25">
      <c r="A138" s="240"/>
      <c r="B138" s="329"/>
      <c r="C138" s="331"/>
      <c r="D138" s="323"/>
      <c r="E138" s="323"/>
      <c r="F138" s="323"/>
      <c r="G138" s="322"/>
      <c r="H138" s="322"/>
      <c r="I138" s="323"/>
      <c r="J138" s="362"/>
      <c r="K138" s="368"/>
      <c r="L138" s="337"/>
      <c r="M138" s="337"/>
      <c r="N138" s="337"/>
      <c r="O138" s="43"/>
      <c r="P138" s="43"/>
      <c r="Q138" s="363"/>
      <c r="R138" s="364"/>
      <c r="S138" s="364"/>
      <c r="T138" s="327"/>
      <c r="U138" s="43"/>
      <c r="V138" s="42">
        <f t="shared" si="17"/>
        <v>0</v>
      </c>
      <c r="W138" s="22"/>
      <c r="X138" s="22"/>
      <c r="Z138" s="22" t="e">
        <f t="shared" si="18"/>
        <v>#DIV/0!</v>
      </c>
    </row>
    <row r="139" spans="1:32" x14ac:dyDescent="0.25">
      <c r="A139" s="240"/>
      <c r="B139" s="329"/>
      <c r="C139" s="331"/>
      <c r="D139" s="350"/>
      <c r="E139" s="351"/>
      <c r="F139" s="351"/>
      <c r="G139" s="351"/>
      <c r="H139" s="318"/>
      <c r="I139" s="319"/>
      <c r="J139" s="362"/>
      <c r="K139" s="369" t="s">
        <v>227</v>
      </c>
      <c r="L139" s="43">
        <f>L140+L141+L142+L144</f>
        <v>355800000</v>
      </c>
      <c r="M139" s="43">
        <f>M140+M141</f>
        <v>0</v>
      </c>
      <c r="N139" s="337">
        <f t="shared" si="24"/>
        <v>355800000</v>
      </c>
      <c r="O139" s="337"/>
      <c r="P139" s="337"/>
      <c r="Q139" s="43">
        <f>Q140+Q141+Q142</f>
        <v>16420000</v>
      </c>
      <c r="R139" s="364">
        <v>89960000</v>
      </c>
      <c r="S139" s="364">
        <f t="shared" si="28"/>
        <v>106380000</v>
      </c>
      <c r="T139" s="327">
        <f t="shared" ref="T139:T141" si="30">S139/N139*100</f>
        <v>29.898819561551431</v>
      </c>
      <c r="U139" s="43">
        <f t="shared" si="23"/>
        <v>249420000</v>
      </c>
      <c r="V139" s="42">
        <f t="shared" si="17"/>
        <v>124710000</v>
      </c>
      <c r="W139" s="22">
        <f t="shared" si="25"/>
        <v>4.6149522203485098</v>
      </c>
      <c r="X139" s="22">
        <f t="shared" si="16"/>
        <v>4.6149522203485098</v>
      </c>
      <c r="Z139" s="65">
        <f t="shared" si="18"/>
        <v>4.6149522203485098</v>
      </c>
    </row>
    <row r="140" spans="1:32" x14ac:dyDescent="0.25">
      <c r="A140" s="240"/>
      <c r="B140" s="329"/>
      <c r="C140" s="331"/>
      <c r="D140" s="323"/>
      <c r="E140" s="323"/>
      <c r="F140" s="323"/>
      <c r="G140" s="322"/>
      <c r="H140" s="322"/>
      <c r="I140" s="323"/>
      <c r="J140" s="362"/>
      <c r="K140" s="375" t="s">
        <v>228</v>
      </c>
      <c r="L140" s="337">
        <v>192000000</v>
      </c>
      <c r="M140" s="337">
        <v>0</v>
      </c>
      <c r="N140" s="337">
        <f t="shared" si="24"/>
        <v>192000000</v>
      </c>
      <c r="O140" s="337"/>
      <c r="P140" s="337"/>
      <c r="Q140" s="376">
        <v>13000000</v>
      </c>
      <c r="R140" s="364">
        <v>74000000</v>
      </c>
      <c r="S140" s="364">
        <f t="shared" si="28"/>
        <v>87000000</v>
      </c>
      <c r="T140" s="327"/>
      <c r="U140" s="43">
        <f t="shared" si="23"/>
        <v>105000000</v>
      </c>
      <c r="V140" s="42">
        <f t="shared" si="17"/>
        <v>52500000</v>
      </c>
      <c r="W140" s="22"/>
      <c r="X140" s="22">
        <f t="shared" si="16"/>
        <v>6.770833333333333</v>
      </c>
      <c r="Z140" s="22">
        <f t="shared" si="18"/>
        <v>6.770833333333333</v>
      </c>
    </row>
    <row r="141" spans="1:32" x14ac:dyDescent="0.25">
      <c r="A141" s="240"/>
      <c r="B141" s="329"/>
      <c r="C141" s="331"/>
      <c r="D141" s="323"/>
      <c r="E141" s="323"/>
      <c r="F141" s="323"/>
      <c r="G141" s="322"/>
      <c r="H141" s="322"/>
      <c r="I141" s="323"/>
      <c r="J141" s="362"/>
      <c r="K141" s="368" t="s">
        <v>229</v>
      </c>
      <c r="L141" s="337">
        <v>56000000</v>
      </c>
      <c r="M141" s="337">
        <v>0</v>
      </c>
      <c r="N141" s="337">
        <f t="shared" si="24"/>
        <v>56000000</v>
      </c>
      <c r="O141" s="337"/>
      <c r="P141" s="337"/>
      <c r="Q141" s="363">
        <v>2900000</v>
      </c>
      <c r="R141" s="364">
        <v>13000000</v>
      </c>
      <c r="S141" s="364">
        <f t="shared" si="28"/>
        <v>15900000</v>
      </c>
      <c r="T141" s="327">
        <f t="shared" si="30"/>
        <v>28.392857142857142</v>
      </c>
      <c r="U141" s="43">
        <f t="shared" si="23"/>
        <v>40100000</v>
      </c>
      <c r="V141" s="42">
        <f t="shared" si="17"/>
        <v>20050000</v>
      </c>
      <c r="W141" s="22">
        <f t="shared" si="25"/>
        <v>5.1785714285714288</v>
      </c>
      <c r="X141" s="22">
        <f t="shared" si="16"/>
        <v>5.1785714285714288</v>
      </c>
      <c r="Z141" s="22">
        <f t="shared" si="18"/>
        <v>5.1785714285714288</v>
      </c>
    </row>
    <row r="142" spans="1:32" x14ac:dyDescent="0.25">
      <c r="A142" s="240"/>
      <c r="B142" s="329"/>
      <c r="C142" s="331"/>
      <c r="D142" s="323"/>
      <c r="E142" s="323"/>
      <c r="F142" s="323"/>
      <c r="G142" s="322"/>
      <c r="H142" s="322"/>
      <c r="I142" s="323"/>
      <c r="J142" s="362"/>
      <c r="K142" s="368" t="s">
        <v>161</v>
      </c>
      <c r="L142" s="337">
        <v>7800000</v>
      </c>
      <c r="M142" s="337">
        <v>0</v>
      </c>
      <c r="N142" s="337">
        <f t="shared" si="24"/>
        <v>7800000</v>
      </c>
      <c r="O142" s="43"/>
      <c r="P142" s="43"/>
      <c r="Q142" s="363">
        <v>520000</v>
      </c>
      <c r="R142" s="364">
        <v>2960000</v>
      </c>
      <c r="S142" s="364">
        <f>Q142+R142</f>
        <v>3480000</v>
      </c>
      <c r="T142" s="327">
        <f>S142/N142*100</f>
        <v>44.61538461538462</v>
      </c>
      <c r="U142" s="43">
        <f t="shared" si="23"/>
        <v>4320000</v>
      </c>
      <c r="V142" s="42">
        <f t="shared" si="17"/>
        <v>2160000</v>
      </c>
      <c r="W142" s="22"/>
      <c r="X142" s="22">
        <f t="shared" si="16"/>
        <v>6.666666666666667</v>
      </c>
      <c r="Z142" s="22">
        <f t="shared" si="18"/>
        <v>6.666666666666667</v>
      </c>
      <c r="AF142" s="378">
        <f>S139+S135+S152</f>
        <v>147940000</v>
      </c>
    </row>
    <row r="143" spans="1:32" x14ac:dyDescent="0.25">
      <c r="A143" s="240"/>
      <c r="B143" s="329"/>
      <c r="C143" s="331"/>
      <c r="D143" s="323"/>
      <c r="E143" s="323"/>
      <c r="F143" s="323"/>
      <c r="G143" s="322"/>
      <c r="H143" s="322"/>
      <c r="I143" s="323"/>
      <c r="J143" s="362"/>
      <c r="K143" s="368"/>
      <c r="L143" s="337"/>
      <c r="M143" s="337"/>
      <c r="N143" s="337"/>
      <c r="O143" s="43"/>
      <c r="P143" s="43"/>
      <c r="Q143" s="363"/>
      <c r="R143" s="364"/>
      <c r="S143" s="364"/>
      <c r="T143" s="327"/>
      <c r="U143" s="43"/>
      <c r="V143" s="42"/>
      <c r="W143" s="22"/>
      <c r="X143" s="22"/>
      <c r="Z143" s="22"/>
    </row>
    <row r="144" spans="1:32" x14ac:dyDescent="0.25">
      <c r="A144" s="240"/>
      <c r="B144" s="329"/>
      <c r="C144" s="331"/>
      <c r="D144" s="350"/>
      <c r="E144" s="351"/>
      <c r="F144" s="351"/>
      <c r="G144" s="351"/>
      <c r="H144" s="318"/>
      <c r="I144" s="319"/>
      <c r="J144" s="312"/>
      <c r="K144" s="374" t="s">
        <v>230</v>
      </c>
      <c r="L144" s="43">
        <v>100000000</v>
      </c>
      <c r="M144" s="43">
        <v>0</v>
      </c>
      <c r="N144" s="337">
        <f t="shared" si="24"/>
        <v>100000000</v>
      </c>
      <c r="O144" s="337"/>
      <c r="P144" s="337"/>
      <c r="Q144" s="43">
        <v>0</v>
      </c>
      <c r="R144" s="43">
        <v>0</v>
      </c>
      <c r="S144" s="43">
        <f t="shared" si="28"/>
        <v>0</v>
      </c>
      <c r="T144" s="327">
        <f t="shared" ref="T144" si="31">S144/N144*100</f>
        <v>0</v>
      </c>
      <c r="U144" s="43">
        <f t="shared" si="23"/>
        <v>100000000</v>
      </c>
      <c r="V144" s="42">
        <f t="shared" si="17"/>
        <v>50000000</v>
      </c>
      <c r="W144" s="22">
        <f t="shared" si="25"/>
        <v>0</v>
      </c>
      <c r="X144" s="22">
        <f t="shared" si="16"/>
        <v>0</v>
      </c>
      <c r="Z144" s="65">
        <f t="shared" si="18"/>
        <v>0</v>
      </c>
    </row>
    <row r="145" spans="1:31" x14ac:dyDescent="0.25">
      <c r="A145" s="240"/>
      <c r="B145" s="329"/>
      <c r="C145" s="331"/>
      <c r="D145" s="323"/>
      <c r="E145" s="323"/>
      <c r="F145" s="323"/>
      <c r="G145" s="322"/>
      <c r="H145" s="322"/>
      <c r="I145" s="323"/>
      <c r="J145" s="362"/>
      <c r="K145" s="368"/>
      <c r="L145" s="337"/>
      <c r="M145" s="337"/>
      <c r="N145" s="337"/>
      <c r="O145" s="337"/>
      <c r="P145" s="337"/>
      <c r="Q145" s="363"/>
      <c r="R145" s="363"/>
      <c r="S145" s="363"/>
      <c r="T145" s="327"/>
      <c r="U145" s="43"/>
      <c r="V145" s="42">
        <f t="shared" si="17"/>
        <v>0</v>
      </c>
      <c r="W145" s="22"/>
      <c r="X145" s="22"/>
      <c r="Z145" s="22" t="e">
        <f t="shared" si="18"/>
        <v>#DIV/0!</v>
      </c>
    </row>
    <row r="146" spans="1:31" x14ac:dyDescent="0.25">
      <c r="A146" s="240"/>
      <c r="B146" s="329"/>
      <c r="C146" s="331"/>
      <c r="D146" s="323"/>
      <c r="E146" s="323"/>
      <c r="F146" s="323"/>
      <c r="G146" s="322"/>
      <c r="H146" s="322"/>
      <c r="I146" s="323"/>
      <c r="J146" s="362"/>
      <c r="K146" s="375" t="s">
        <v>231</v>
      </c>
      <c r="L146" s="337">
        <f>L148+L150+L152</f>
        <v>98050000</v>
      </c>
      <c r="M146" s="337">
        <f>M148+M150+M152</f>
        <v>0</v>
      </c>
      <c r="N146" s="337">
        <f t="shared" si="24"/>
        <v>98050000</v>
      </c>
      <c r="O146" s="43"/>
      <c r="P146" s="43"/>
      <c r="Q146" s="363">
        <f>Q148+Q150+Q152</f>
        <v>6900000</v>
      </c>
      <c r="R146" s="364">
        <v>38100000</v>
      </c>
      <c r="S146" s="364">
        <f t="shared" ref="S146" si="32">Q146+R146</f>
        <v>45000000</v>
      </c>
      <c r="T146" s="327">
        <f t="shared" ref="T146" si="33">S146/N146*100</f>
        <v>45.894951555328909</v>
      </c>
      <c r="U146" s="43">
        <f t="shared" ref="U146:U152" si="34">N146-S146</f>
        <v>53050000</v>
      </c>
      <c r="V146" s="42">
        <f t="shared" si="17"/>
        <v>26525000</v>
      </c>
      <c r="W146" s="22">
        <f t="shared" si="25"/>
        <v>7.0372259051504331</v>
      </c>
      <c r="X146" s="22">
        <f t="shared" si="16"/>
        <v>7.0372259051504331</v>
      </c>
      <c r="Z146" s="22">
        <f t="shared" si="18"/>
        <v>7.0372259051504331</v>
      </c>
    </row>
    <row r="147" spans="1:31" x14ac:dyDescent="0.25">
      <c r="A147" s="240"/>
      <c r="B147" s="329"/>
      <c r="C147" s="331"/>
      <c r="D147" s="323"/>
      <c r="E147" s="323"/>
      <c r="F147" s="323"/>
      <c r="G147" s="322"/>
      <c r="H147" s="322"/>
      <c r="I147" s="323"/>
      <c r="J147" s="362"/>
      <c r="K147" s="368"/>
      <c r="L147" s="337"/>
      <c r="M147" s="337"/>
      <c r="N147" s="337"/>
      <c r="O147" s="43"/>
      <c r="P147" s="43"/>
      <c r="Q147" s="363"/>
      <c r="R147" s="364"/>
      <c r="S147" s="364"/>
      <c r="T147" s="327"/>
      <c r="U147" s="43"/>
      <c r="V147" s="42">
        <f t="shared" si="17"/>
        <v>0</v>
      </c>
      <c r="W147" s="22"/>
      <c r="X147" s="22"/>
      <c r="Z147" s="22" t="e">
        <f t="shared" si="18"/>
        <v>#DIV/0!</v>
      </c>
    </row>
    <row r="148" spans="1:31" x14ac:dyDescent="0.25">
      <c r="A148" s="240"/>
      <c r="B148" s="329"/>
      <c r="C148" s="331"/>
      <c r="D148" s="341"/>
      <c r="E148" s="339"/>
      <c r="F148" s="339"/>
      <c r="G148" s="329"/>
      <c r="H148" s="329"/>
      <c r="I148" s="339"/>
      <c r="J148" s="370"/>
      <c r="K148" s="369" t="s">
        <v>232</v>
      </c>
      <c r="L148" s="43">
        <v>5000000</v>
      </c>
      <c r="M148" s="43">
        <v>0</v>
      </c>
      <c r="N148" s="337">
        <f t="shared" si="24"/>
        <v>5000000</v>
      </c>
      <c r="O148" s="43"/>
      <c r="P148" s="43"/>
      <c r="Q148" s="364">
        <v>450000</v>
      </c>
      <c r="R148" s="364">
        <v>1350000</v>
      </c>
      <c r="S148" s="364">
        <f t="shared" ref="S148:S152" si="35">Q148+R148</f>
        <v>1800000</v>
      </c>
      <c r="T148" s="327">
        <f>S148/N148*100</f>
        <v>36</v>
      </c>
      <c r="U148" s="43">
        <f t="shared" si="34"/>
        <v>3200000</v>
      </c>
      <c r="V148" s="42">
        <f t="shared" si="17"/>
        <v>1600000</v>
      </c>
      <c r="W148" s="22">
        <f t="shared" si="25"/>
        <v>9</v>
      </c>
      <c r="X148" s="22">
        <f t="shared" si="16"/>
        <v>9</v>
      </c>
      <c r="Z148" s="22">
        <f t="shared" si="18"/>
        <v>9</v>
      </c>
    </row>
    <row r="149" spans="1:31" x14ac:dyDescent="0.25">
      <c r="A149" s="240"/>
      <c r="B149" s="329"/>
      <c r="C149" s="331"/>
      <c r="D149" s="323"/>
      <c r="E149" s="323"/>
      <c r="F149" s="323"/>
      <c r="G149" s="322"/>
      <c r="H149" s="322"/>
      <c r="I149" s="323"/>
      <c r="J149" s="362"/>
      <c r="K149" s="375"/>
      <c r="L149" s="337"/>
      <c r="M149" s="337"/>
      <c r="N149" s="337"/>
      <c r="O149" s="43"/>
      <c r="P149" s="43"/>
      <c r="Q149" s="363"/>
      <c r="R149" s="364"/>
      <c r="S149" s="364"/>
      <c r="T149" s="327"/>
      <c r="U149" s="43"/>
      <c r="V149" s="42">
        <f t="shared" si="17"/>
        <v>0</v>
      </c>
      <c r="W149" s="22" t="e">
        <f t="shared" si="25"/>
        <v>#DIV/0!</v>
      </c>
      <c r="X149" s="22"/>
      <c r="Z149" s="22" t="e">
        <f t="shared" si="18"/>
        <v>#DIV/0!</v>
      </c>
    </row>
    <row r="150" spans="1:31" x14ac:dyDescent="0.25">
      <c r="A150" s="240"/>
      <c r="B150" s="329"/>
      <c r="C150" s="331"/>
      <c r="D150" s="323"/>
      <c r="E150" s="323"/>
      <c r="F150" s="323"/>
      <c r="G150" s="322"/>
      <c r="H150" s="322"/>
      <c r="I150" s="323"/>
      <c r="J150" s="362"/>
      <c r="K150" s="375" t="s">
        <v>233</v>
      </c>
      <c r="L150" s="337">
        <v>13050000</v>
      </c>
      <c r="M150" s="337">
        <v>0</v>
      </c>
      <c r="N150" s="337">
        <f t="shared" si="24"/>
        <v>13050000</v>
      </c>
      <c r="O150" s="43"/>
      <c r="P150" s="43"/>
      <c r="Q150" s="363">
        <v>450000</v>
      </c>
      <c r="R150" s="364">
        <v>1950000</v>
      </c>
      <c r="S150" s="364">
        <f t="shared" si="35"/>
        <v>2400000</v>
      </c>
      <c r="T150" s="327">
        <f t="shared" ref="T150:T152" si="36">S150/N150*100</f>
        <v>18.390804597701148</v>
      </c>
      <c r="U150" s="43">
        <f t="shared" si="34"/>
        <v>10650000</v>
      </c>
      <c r="V150" s="42">
        <f t="shared" si="17"/>
        <v>5325000</v>
      </c>
      <c r="W150" s="22">
        <f t="shared" si="25"/>
        <v>3.4482758620689653</v>
      </c>
      <c r="X150" s="22">
        <f t="shared" si="16"/>
        <v>3.4482758620689653</v>
      </c>
      <c r="Z150" s="22">
        <f t="shared" si="18"/>
        <v>3.4482758620689653</v>
      </c>
    </row>
    <row r="151" spans="1:31" x14ac:dyDescent="0.25">
      <c r="A151" s="240"/>
      <c r="B151" s="329"/>
      <c r="C151" s="331"/>
      <c r="D151" s="323"/>
      <c r="E151" s="323"/>
      <c r="F151" s="323"/>
      <c r="G151" s="322"/>
      <c r="H151" s="322"/>
      <c r="I151" s="323"/>
      <c r="J151" s="362"/>
      <c r="K151" s="375"/>
      <c r="L151" s="337"/>
      <c r="M151" s="337"/>
      <c r="N151" s="337"/>
      <c r="O151" s="43"/>
      <c r="P151" s="43"/>
      <c r="Q151" s="363"/>
      <c r="R151" s="363"/>
      <c r="S151" s="363"/>
      <c r="T151" s="327"/>
      <c r="U151" s="43"/>
      <c r="V151" s="42"/>
      <c r="W151" s="22"/>
      <c r="X151" s="22"/>
      <c r="Z151" s="22" t="e">
        <f t="shared" si="18"/>
        <v>#DIV/0!</v>
      </c>
    </row>
    <row r="152" spans="1:31" x14ac:dyDescent="0.25">
      <c r="A152" s="240"/>
      <c r="B152" s="329"/>
      <c r="C152" s="331"/>
      <c r="D152" s="323"/>
      <c r="E152" s="323"/>
      <c r="F152" s="323"/>
      <c r="G152" s="322"/>
      <c r="H152" s="322"/>
      <c r="I152" s="323"/>
      <c r="J152" s="362"/>
      <c r="K152" s="375" t="s">
        <v>234</v>
      </c>
      <c r="L152" s="337">
        <v>80000000</v>
      </c>
      <c r="M152" s="337">
        <v>0</v>
      </c>
      <c r="N152" s="337">
        <f t="shared" si="24"/>
        <v>80000000</v>
      </c>
      <c r="O152" s="43"/>
      <c r="P152" s="43"/>
      <c r="Q152" s="363">
        <v>6000000</v>
      </c>
      <c r="R152" s="363">
        <v>34800000</v>
      </c>
      <c r="S152" s="364">
        <f t="shared" si="35"/>
        <v>40800000</v>
      </c>
      <c r="T152" s="327">
        <f t="shared" si="36"/>
        <v>51</v>
      </c>
      <c r="U152" s="43">
        <f t="shared" si="34"/>
        <v>39200000</v>
      </c>
      <c r="V152" s="42"/>
      <c r="W152" s="22"/>
      <c r="X152" s="22">
        <f t="shared" si="16"/>
        <v>7.5</v>
      </c>
      <c r="Z152" s="22">
        <f t="shared" si="18"/>
        <v>7.5</v>
      </c>
    </row>
    <row r="153" spans="1:31" x14ac:dyDescent="0.25">
      <c r="A153" s="240"/>
      <c r="B153" s="329"/>
      <c r="C153" s="331"/>
      <c r="D153" s="323"/>
      <c r="E153" s="323"/>
      <c r="F153" s="323"/>
      <c r="G153" s="322"/>
      <c r="H153" s="322"/>
      <c r="I153" s="323"/>
      <c r="J153" s="324"/>
      <c r="K153" s="334"/>
      <c r="L153" s="332"/>
      <c r="M153" s="332"/>
      <c r="N153" s="335"/>
      <c r="O153" s="326"/>
      <c r="P153" s="326"/>
      <c r="Q153" s="325"/>
      <c r="R153" s="141"/>
      <c r="S153" s="141"/>
      <c r="T153" s="327"/>
      <c r="U153" s="43"/>
      <c r="V153" s="42">
        <f t="shared" si="17"/>
        <v>0</v>
      </c>
      <c r="W153" s="22"/>
      <c r="X153" s="22"/>
      <c r="Z153" s="22" t="e">
        <f t="shared" si="18"/>
        <v>#DIV/0!</v>
      </c>
    </row>
    <row r="154" spans="1:31" x14ac:dyDescent="0.25">
      <c r="A154" s="425"/>
      <c r="B154" s="426"/>
      <c r="C154" s="427"/>
      <c r="D154" s="428"/>
      <c r="E154" s="428"/>
      <c r="F154" s="428"/>
      <c r="G154" s="429"/>
      <c r="H154" s="429"/>
      <c r="I154" s="428"/>
      <c r="J154" s="356"/>
      <c r="K154" s="357"/>
      <c r="L154" s="358">
        <f>L12+L118</f>
        <v>2184252000</v>
      </c>
      <c r="M154" s="358">
        <f>M12+M118</f>
        <v>0</v>
      </c>
      <c r="N154" s="358">
        <f>N118+N12</f>
        <v>2184252000</v>
      </c>
      <c r="O154" s="359"/>
      <c r="P154" s="359"/>
      <c r="Q154" s="358">
        <f>Q12+Q118</f>
        <v>145606223</v>
      </c>
      <c r="R154" s="358">
        <f>R12+R118</f>
        <v>859415661</v>
      </c>
      <c r="S154" s="358">
        <f>S12+S118</f>
        <v>1005021884</v>
      </c>
      <c r="T154" s="360">
        <f>S154/N154*100</f>
        <v>46.012176433854698</v>
      </c>
      <c r="U154" s="358">
        <f>N154-S154</f>
        <v>1179230116</v>
      </c>
      <c r="V154" s="42">
        <f t="shared" si="17"/>
        <v>589615058</v>
      </c>
      <c r="W154" s="22">
        <f t="shared" si="25"/>
        <v>6.6661824276686028</v>
      </c>
      <c r="X154" s="22">
        <f t="shared" si="16"/>
        <v>6.6661824276686028</v>
      </c>
    </row>
    <row r="155" spans="1:31" x14ac:dyDescent="0.25">
      <c r="A155" s="155"/>
      <c r="B155" s="156"/>
      <c r="C155" s="157"/>
      <c r="D155" s="158"/>
      <c r="E155" s="158"/>
      <c r="F155" s="158"/>
      <c r="G155" s="159"/>
      <c r="H155" s="159"/>
      <c r="I155" s="158"/>
      <c r="J155" s="160"/>
      <c r="K155" s="161"/>
      <c r="L155" s="162"/>
      <c r="M155" s="162"/>
      <c r="N155" s="162"/>
      <c r="O155" s="163"/>
      <c r="P155" s="163"/>
      <c r="Q155" s="162"/>
      <c r="R155" s="164"/>
      <c r="S155" s="165"/>
      <c r="T155" s="166"/>
      <c r="W155" s="166"/>
      <c r="X155" s="166"/>
      <c r="AE155" s="1">
        <f>816-756</f>
        <v>60</v>
      </c>
    </row>
    <row r="156" spans="1:31" ht="9" customHeight="1" x14ac:dyDescent="0.25">
      <c r="A156" s="167"/>
      <c r="B156" s="167"/>
      <c r="C156" s="168"/>
      <c r="D156" s="169"/>
      <c r="E156" s="169"/>
      <c r="F156" s="169"/>
      <c r="G156" s="170"/>
      <c r="H156" s="170"/>
      <c r="I156" s="169"/>
      <c r="J156" s="171"/>
      <c r="K156" s="171"/>
      <c r="L156" s="172"/>
      <c r="M156" s="172"/>
      <c r="N156" s="172"/>
      <c r="O156" s="162"/>
      <c r="P156" s="162"/>
      <c r="Q156" s="173"/>
      <c r="R156" s="174"/>
      <c r="S156" s="173"/>
      <c r="T156" s="175"/>
      <c r="W156" s="175"/>
      <c r="X156" s="175"/>
    </row>
    <row r="157" spans="1:31" hidden="1" x14ac:dyDescent="0.25">
      <c r="A157" s="167"/>
      <c r="B157" s="167"/>
      <c r="C157" s="168"/>
      <c r="D157" s="169"/>
      <c r="E157" s="169"/>
      <c r="F157" s="169"/>
      <c r="G157" s="170"/>
      <c r="H157" s="170"/>
      <c r="I157" s="169"/>
      <c r="J157" s="171"/>
      <c r="K157" s="171"/>
      <c r="L157" s="172"/>
      <c r="M157" s="172"/>
      <c r="N157" s="172"/>
      <c r="O157" s="162"/>
      <c r="P157" s="162"/>
      <c r="Q157" s="173"/>
      <c r="R157" s="174"/>
      <c r="S157" s="173"/>
      <c r="T157" s="175"/>
      <c r="W157" s="175"/>
      <c r="X157" s="175"/>
    </row>
    <row r="158" spans="1:31" hidden="1" x14ac:dyDescent="0.25">
      <c r="A158" s="497"/>
      <c r="B158" s="497"/>
      <c r="C158" s="497"/>
      <c r="D158" s="497"/>
      <c r="E158" s="497"/>
      <c r="F158" s="497"/>
      <c r="G158" s="497"/>
      <c r="H158" s="497"/>
      <c r="I158" s="497"/>
      <c r="J158" s="497"/>
      <c r="K158" s="176"/>
      <c r="L158" s="176"/>
      <c r="M158" s="388"/>
      <c r="N158" s="388"/>
      <c r="O158" s="162"/>
      <c r="P158" s="162"/>
      <c r="Q158" s="178"/>
      <c r="R158" s="179"/>
      <c r="S158" s="179"/>
      <c r="T158" s="180"/>
      <c r="W158" s="180"/>
      <c r="X158" s="180"/>
    </row>
    <row r="159" spans="1:31" x14ac:dyDescent="0.25">
      <c r="A159" s="176"/>
      <c r="B159" s="176"/>
      <c r="C159" s="176"/>
      <c r="D159" s="495" t="s">
        <v>168</v>
      </c>
      <c r="E159" s="495"/>
      <c r="F159" s="495"/>
      <c r="G159" s="495"/>
      <c r="H159" s="495"/>
      <c r="I159" s="495"/>
      <c r="J159" s="495"/>
      <c r="K159" s="495"/>
      <c r="L159" s="495"/>
      <c r="M159" s="388"/>
      <c r="N159" s="388"/>
      <c r="O159" s="163"/>
      <c r="P159" s="163"/>
      <c r="Q159" s="181"/>
      <c r="R159" s="498"/>
      <c r="S159" s="498"/>
      <c r="T159" s="498"/>
    </row>
    <row r="160" spans="1:31" x14ac:dyDescent="0.25">
      <c r="A160" s="495" t="s">
        <v>280</v>
      </c>
      <c r="B160" s="495"/>
      <c r="C160" s="495"/>
      <c r="D160" s="495"/>
      <c r="E160" s="495"/>
      <c r="F160" s="495"/>
      <c r="G160" s="495"/>
      <c r="H160" s="495"/>
      <c r="I160" s="495"/>
      <c r="J160" s="495"/>
      <c r="K160" s="388" t="s">
        <v>170</v>
      </c>
      <c r="L160" s="176"/>
      <c r="N160" s="496" t="s">
        <v>171</v>
      </c>
      <c r="O160" s="496"/>
      <c r="P160" s="496"/>
      <c r="Q160" s="496"/>
      <c r="R160" s="496" t="s">
        <v>172</v>
      </c>
      <c r="S160" s="496"/>
      <c r="T160" s="496"/>
      <c r="U160" s="496"/>
      <c r="W160" s="182"/>
      <c r="X160" s="182"/>
    </row>
    <row r="161" spans="1:24" x14ac:dyDescent="0.25">
      <c r="A161" s="495" t="s">
        <v>281</v>
      </c>
      <c r="B161" s="495"/>
      <c r="C161" s="495"/>
      <c r="D161" s="495"/>
      <c r="E161" s="495"/>
      <c r="F161" s="495"/>
      <c r="G161" s="495"/>
      <c r="H161" s="495"/>
      <c r="I161" s="495"/>
      <c r="J161" s="495"/>
      <c r="K161" s="388" t="s">
        <v>174</v>
      </c>
      <c r="L161" s="176"/>
      <c r="N161" s="496" t="s">
        <v>174</v>
      </c>
      <c r="O161" s="496"/>
      <c r="P161" s="496"/>
      <c r="Q161" s="496"/>
      <c r="R161" s="495" t="s">
        <v>175</v>
      </c>
      <c r="S161" s="495"/>
      <c r="T161" s="495"/>
      <c r="U161" s="495"/>
      <c r="W161" s="176"/>
      <c r="X161" s="176"/>
    </row>
    <row r="162" spans="1:24" x14ac:dyDescent="0.25">
      <c r="A162" s="495" t="s">
        <v>173</v>
      </c>
      <c r="B162" s="495"/>
      <c r="C162" s="495"/>
      <c r="D162" s="495"/>
      <c r="E162" s="495"/>
      <c r="F162" s="495"/>
      <c r="G162" s="495"/>
      <c r="H162" s="495"/>
      <c r="I162" s="495"/>
      <c r="J162" s="495"/>
      <c r="K162" s="388"/>
      <c r="L162" s="388"/>
      <c r="N162" s="183"/>
      <c r="O162" s="390"/>
      <c r="P162" s="390"/>
      <c r="Q162" s="390"/>
      <c r="R162" s="185"/>
      <c r="S162" s="185"/>
      <c r="T162" s="185"/>
      <c r="W162" s="185"/>
      <c r="X162" s="185"/>
    </row>
    <row r="163" spans="1:24" x14ac:dyDescent="0.25">
      <c r="A163" s="388"/>
      <c r="B163" s="388"/>
      <c r="C163" s="388"/>
      <c r="D163" s="388"/>
      <c r="E163" s="388"/>
      <c r="F163" s="388"/>
      <c r="G163" s="388"/>
      <c r="H163" s="388"/>
      <c r="I163" s="388"/>
      <c r="J163" s="388"/>
      <c r="K163" s="388"/>
      <c r="L163" s="388"/>
      <c r="N163" s="183"/>
      <c r="O163" s="390"/>
      <c r="P163" s="390"/>
      <c r="Q163" s="390"/>
      <c r="R163" s="185"/>
      <c r="S163" s="185"/>
      <c r="T163" s="185"/>
      <c r="W163" s="185"/>
      <c r="X163" s="185"/>
    </row>
    <row r="164" spans="1:24" x14ac:dyDescent="0.25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388"/>
      <c r="L164" s="388"/>
      <c r="N164" s="164"/>
      <c r="O164" s="186"/>
      <c r="P164" s="186"/>
      <c r="Q164" s="186"/>
      <c r="R164" s="185"/>
      <c r="S164" s="185"/>
      <c r="T164" s="185"/>
      <c r="W164" s="185"/>
      <c r="X164" s="185"/>
    </row>
    <row r="165" spans="1:24" x14ac:dyDescent="0.25">
      <c r="A165" s="499"/>
      <c r="B165" s="499"/>
      <c r="C165" s="499"/>
      <c r="D165" s="499"/>
      <c r="E165" s="499"/>
      <c r="F165" s="499"/>
      <c r="G165" s="499"/>
      <c r="H165" s="499"/>
      <c r="I165" s="499"/>
      <c r="J165" s="499"/>
      <c r="K165" s="388"/>
      <c r="L165" s="176"/>
      <c r="N165" s="183"/>
      <c r="O165" s="187"/>
      <c r="P165" s="186"/>
      <c r="Q165" s="186"/>
      <c r="R165" s="186"/>
      <c r="S165" s="186"/>
      <c r="T165" s="186"/>
      <c r="W165" s="186"/>
      <c r="X165" s="186"/>
    </row>
    <row r="166" spans="1:24" x14ac:dyDescent="0.25">
      <c r="A166" s="499" t="s">
        <v>282</v>
      </c>
      <c r="B166" s="499"/>
      <c r="C166" s="499"/>
      <c r="D166" s="499"/>
      <c r="E166" s="499"/>
      <c r="F166" s="499"/>
      <c r="G166" s="499"/>
      <c r="H166" s="499"/>
      <c r="I166" s="499"/>
      <c r="J166" s="499"/>
      <c r="K166" s="389" t="s">
        <v>177</v>
      </c>
      <c r="L166" s="189"/>
      <c r="N166" s="500" t="s">
        <v>178</v>
      </c>
      <c r="O166" s="500"/>
      <c r="P166" s="500"/>
      <c r="Q166" s="500"/>
      <c r="R166" s="501" t="s">
        <v>179</v>
      </c>
      <c r="S166" s="501"/>
      <c r="T166" s="501"/>
      <c r="U166" s="501"/>
    </row>
    <row r="167" spans="1:24" x14ac:dyDescent="0.25">
      <c r="A167" s="502" t="s">
        <v>283</v>
      </c>
      <c r="B167" s="502"/>
      <c r="C167" s="502"/>
      <c r="D167" s="502"/>
      <c r="E167" s="502"/>
      <c r="F167" s="502"/>
      <c r="G167" s="502"/>
      <c r="H167" s="502"/>
      <c r="I167" s="502"/>
      <c r="J167" s="502"/>
      <c r="K167" s="388" t="s">
        <v>181</v>
      </c>
      <c r="L167" s="176"/>
      <c r="N167" s="503" t="s">
        <v>182</v>
      </c>
      <c r="O167" s="503"/>
      <c r="P167" s="503"/>
      <c r="Q167" s="503"/>
      <c r="R167" s="504" t="s">
        <v>183</v>
      </c>
      <c r="S167" s="504"/>
      <c r="T167" s="504"/>
      <c r="U167" s="504"/>
    </row>
    <row r="168" spans="1:24" x14ac:dyDescent="0.25">
      <c r="A168" s="190"/>
      <c r="B168" s="190"/>
      <c r="C168" s="190"/>
      <c r="D168" s="495"/>
      <c r="E168" s="495"/>
      <c r="F168" s="495"/>
      <c r="G168" s="495"/>
      <c r="H168" s="495"/>
      <c r="I168" s="190"/>
      <c r="J168" s="190"/>
      <c r="K168" s="190"/>
      <c r="L168" s="190"/>
      <c r="M168" s="190"/>
      <c r="N168" s="190"/>
      <c r="O168" s="163"/>
      <c r="P168" s="163"/>
      <c r="Q168" s="191"/>
      <c r="R168" s="191"/>
      <c r="S168" s="191"/>
      <c r="T168" s="191"/>
      <c r="W168" s="191"/>
      <c r="X168" s="191"/>
    </row>
    <row r="169" spans="1:24" x14ac:dyDescent="0.25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63"/>
      <c r="P169" s="163"/>
      <c r="Q169" s="191"/>
      <c r="R169" s="191"/>
      <c r="S169" s="191"/>
      <c r="T169" s="191"/>
      <c r="W169" s="191"/>
      <c r="X169" s="191"/>
    </row>
    <row r="170" spans="1:24" x14ac:dyDescent="0.25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62"/>
      <c r="P170" s="162"/>
      <c r="Q170" s="191"/>
      <c r="R170" s="191"/>
      <c r="S170" s="191"/>
      <c r="T170" s="191"/>
      <c r="W170" s="191"/>
      <c r="X170" s="191"/>
    </row>
    <row r="171" spans="1:24" x14ac:dyDescent="0.25">
      <c r="A171" s="190"/>
      <c r="B171" s="190"/>
      <c r="C171" s="190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90"/>
      <c r="O171" s="163"/>
      <c r="P171" s="163"/>
      <c r="Q171" s="191"/>
      <c r="R171" s="191"/>
      <c r="S171" s="191"/>
      <c r="T171" s="191"/>
      <c r="W171" s="191"/>
      <c r="X171" s="191"/>
    </row>
    <row r="172" spans="1:24" x14ac:dyDescent="0.25">
      <c r="A172" s="190"/>
      <c r="B172" s="190"/>
      <c r="C172" s="190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0"/>
      <c r="O172" s="163"/>
      <c r="P172" s="163"/>
      <c r="Q172" s="191"/>
      <c r="R172" s="191"/>
      <c r="S172" s="191"/>
      <c r="T172" s="191"/>
      <c r="W172" s="191"/>
      <c r="X172" s="191"/>
    </row>
    <row r="173" spans="1:24" x14ac:dyDescent="0.25">
      <c r="A173" s="190"/>
      <c r="B173" s="190"/>
      <c r="C173" s="190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90"/>
      <c r="O173" s="163"/>
      <c r="P173" s="163"/>
      <c r="Q173" s="191"/>
      <c r="R173" s="191"/>
      <c r="S173" s="191"/>
      <c r="T173" s="191"/>
      <c r="U173" s="1"/>
      <c r="W173" s="191"/>
      <c r="X173" s="191"/>
    </row>
    <row r="174" spans="1:24" x14ac:dyDescent="0.25">
      <c r="A174" s="190"/>
      <c r="B174" s="190"/>
      <c r="C174" s="190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90"/>
      <c r="O174" s="162"/>
      <c r="P174" s="162"/>
      <c r="Q174" s="191"/>
      <c r="R174" s="191"/>
      <c r="S174" s="191"/>
      <c r="T174" s="191"/>
      <c r="U174" s="1"/>
      <c r="W174" s="191"/>
      <c r="X174" s="191"/>
    </row>
    <row r="175" spans="1:24" x14ac:dyDescent="0.25">
      <c r="A175" s="190"/>
      <c r="B175" s="190"/>
      <c r="C175" s="190"/>
      <c r="D175" s="388"/>
      <c r="E175" s="388"/>
      <c r="F175" s="388"/>
      <c r="G175" s="388"/>
      <c r="H175" s="388"/>
      <c r="I175" s="388"/>
      <c r="J175" s="388"/>
      <c r="K175" s="388"/>
      <c r="L175" s="388"/>
      <c r="M175" s="388"/>
      <c r="N175" s="190"/>
      <c r="O175" s="163"/>
      <c r="P175" s="163"/>
      <c r="Q175" s="191"/>
      <c r="R175" s="191"/>
      <c r="S175" s="191"/>
      <c r="T175" s="191"/>
      <c r="U175" s="1"/>
      <c r="W175" s="191"/>
      <c r="X175" s="191"/>
    </row>
    <row r="176" spans="1:24" x14ac:dyDescent="0.25">
      <c r="A176" s="190"/>
      <c r="B176" s="190"/>
      <c r="C176" s="190"/>
      <c r="D176" s="388"/>
      <c r="E176" s="388"/>
      <c r="F176" s="388"/>
      <c r="G176" s="388"/>
      <c r="H176" s="388"/>
      <c r="I176" s="388"/>
      <c r="J176" s="388"/>
      <c r="K176" s="388"/>
      <c r="L176" s="388"/>
      <c r="M176" s="388"/>
      <c r="N176" s="190"/>
      <c r="O176" s="163"/>
      <c r="P176" s="163"/>
      <c r="Q176" s="191"/>
      <c r="R176" s="191"/>
      <c r="S176" s="191"/>
      <c r="T176" s="191"/>
      <c r="U176" s="1"/>
      <c r="W176" s="191"/>
      <c r="X176" s="191"/>
    </row>
    <row r="177" spans="1:24" x14ac:dyDescent="0.25">
      <c r="A177" s="190"/>
      <c r="B177" s="190"/>
      <c r="C177" s="190"/>
      <c r="D177" s="388"/>
      <c r="E177" s="388"/>
      <c r="F177" s="388"/>
      <c r="G177" s="388"/>
      <c r="H177" s="388"/>
      <c r="I177" s="388"/>
      <c r="J177" s="388"/>
      <c r="K177" s="388"/>
      <c r="L177" s="388"/>
      <c r="M177" s="388"/>
      <c r="N177" s="190"/>
      <c r="O177" s="162"/>
      <c r="P177" s="162"/>
      <c r="Q177" s="191"/>
      <c r="R177" s="191"/>
      <c r="S177" s="191"/>
      <c r="T177" s="191"/>
      <c r="U177" s="1"/>
      <c r="W177" s="191"/>
      <c r="X177" s="191"/>
    </row>
    <row r="178" spans="1:24" x14ac:dyDescent="0.25">
      <c r="A178" s="190"/>
      <c r="B178" s="190"/>
      <c r="C178" s="190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90"/>
      <c r="O178" s="172"/>
      <c r="P178" s="172"/>
      <c r="Q178" s="191"/>
      <c r="R178" s="191"/>
      <c r="S178" s="191"/>
      <c r="T178" s="191"/>
      <c r="U178" s="1"/>
      <c r="W178" s="191"/>
      <c r="X178" s="191"/>
    </row>
    <row r="179" spans="1:24" x14ac:dyDescent="0.25">
      <c r="A179" s="193"/>
      <c r="B179" s="193"/>
      <c r="C179" s="193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O179" s="194"/>
      <c r="P179" s="194"/>
      <c r="Q179" s="195"/>
      <c r="R179" s="195"/>
      <c r="S179" s="195"/>
      <c r="T179" s="195"/>
      <c r="U179" s="1"/>
      <c r="W179" s="195"/>
      <c r="X179" s="195"/>
    </row>
    <row r="180" spans="1:24" x14ac:dyDescent="0.25"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O180" s="388"/>
      <c r="P180" s="388"/>
      <c r="Q180" s="195"/>
      <c r="R180" s="195"/>
      <c r="S180" s="195"/>
      <c r="T180" s="195"/>
      <c r="U180" s="1"/>
      <c r="W180" s="195"/>
      <c r="X180" s="195"/>
    </row>
    <row r="181" spans="1:24" x14ac:dyDescent="0.25">
      <c r="O181" s="388"/>
      <c r="P181" s="388"/>
      <c r="Q181" s="195"/>
      <c r="R181" s="195"/>
      <c r="S181" s="195"/>
      <c r="T181" s="195"/>
      <c r="U181" s="1"/>
      <c r="W181" s="195"/>
      <c r="X181" s="195"/>
    </row>
    <row r="182" spans="1:24" x14ac:dyDescent="0.25">
      <c r="O182" s="388"/>
      <c r="P182" s="388"/>
      <c r="Q182" s="195"/>
      <c r="R182" s="195"/>
      <c r="S182" s="195"/>
      <c r="T182" s="195"/>
      <c r="U182" s="1"/>
      <c r="W182" s="195"/>
      <c r="X182" s="195"/>
    </row>
    <row r="183" spans="1:24" x14ac:dyDescent="0.25">
      <c r="O183" s="388"/>
      <c r="P183" s="388"/>
      <c r="Q183" s="195"/>
      <c r="R183" s="195"/>
      <c r="S183" s="195"/>
      <c r="T183" s="195"/>
      <c r="U183" s="1"/>
      <c r="W183" s="195"/>
      <c r="X183" s="195"/>
    </row>
    <row r="184" spans="1:24" x14ac:dyDescent="0.25">
      <c r="O184" s="388"/>
      <c r="P184" s="388"/>
      <c r="Q184" s="195"/>
      <c r="R184" s="195"/>
      <c r="S184" s="195"/>
      <c r="T184" s="195"/>
      <c r="U184" s="1"/>
      <c r="W184" s="195"/>
      <c r="X184" s="195"/>
    </row>
    <row r="185" spans="1:24" x14ac:dyDescent="0.25">
      <c r="O185" s="388"/>
      <c r="P185" s="388"/>
      <c r="Q185" s="195"/>
      <c r="R185" s="195"/>
      <c r="S185" s="195"/>
      <c r="T185" s="195"/>
      <c r="U185" s="1"/>
      <c r="W185" s="195"/>
      <c r="X185" s="195"/>
    </row>
    <row r="186" spans="1:24" x14ac:dyDescent="0.25">
      <c r="O186" s="389"/>
      <c r="P186" s="389"/>
      <c r="Q186" s="195"/>
      <c r="R186" s="195"/>
      <c r="S186" s="195"/>
      <c r="T186" s="195"/>
      <c r="U186" s="1"/>
      <c r="W186" s="195"/>
      <c r="X186" s="195"/>
    </row>
    <row r="187" spans="1:24" x14ac:dyDescent="0.25">
      <c r="O187" s="388"/>
      <c r="P187" s="388"/>
      <c r="Q187" s="195"/>
      <c r="R187" s="195"/>
      <c r="S187" s="195"/>
      <c r="T187" s="195"/>
      <c r="U187" s="1"/>
      <c r="W187" s="195"/>
      <c r="X187" s="195"/>
    </row>
    <row r="188" spans="1:24" x14ac:dyDescent="0.25">
      <c r="O188" s="190"/>
      <c r="P188" s="190"/>
      <c r="Q188" s="195"/>
      <c r="R188" s="195"/>
      <c r="S188" s="195"/>
      <c r="T188" s="195"/>
      <c r="U188" s="1"/>
      <c r="W188" s="195"/>
      <c r="X188" s="195"/>
    </row>
    <row r="189" spans="1:24" x14ac:dyDescent="0.25">
      <c r="O189" s="190"/>
      <c r="P189" s="190"/>
      <c r="Q189" s="195"/>
      <c r="R189" s="195"/>
      <c r="S189" s="195"/>
      <c r="T189" s="195"/>
      <c r="U189" s="1"/>
      <c r="W189" s="195"/>
      <c r="X189" s="195"/>
    </row>
    <row r="190" spans="1:24" x14ac:dyDescent="0.25">
      <c r="O190" s="190"/>
      <c r="P190" s="190"/>
      <c r="Q190" s="195"/>
      <c r="R190" s="195"/>
      <c r="S190" s="195"/>
      <c r="T190" s="195"/>
      <c r="U190" s="1"/>
      <c r="W190" s="195"/>
      <c r="X190" s="195"/>
    </row>
    <row r="191" spans="1:24" x14ac:dyDescent="0.25">
      <c r="O191" s="190"/>
      <c r="P191" s="190"/>
      <c r="Q191" s="195"/>
      <c r="R191" s="195"/>
      <c r="S191" s="195"/>
      <c r="T191" s="195"/>
      <c r="U191" s="1"/>
      <c r="W191" s="195"/>
      <c r="X191" s="195"/>
    </row>
    <row r="192" spans="1:24" x14ac:dyDescent="0.25">
      <c r="O192" s="190"/>
      <c r="P192" s="190"/>
      <c r="Q192" s="195"/>
      <c r="R192" s="195"/>
      <c r="S192" s="195"/>
      <c r="T192" s="195"/>
      <c r="U192" s="1"/>
      <c r="W192" s="195"/>
      <c r="X192" s="195"/>
    </row>
    <row r="193" spans="15:24" x14ac:dyDescent="0.25">
      <c r="O193" s="190"/>
      <c r="P193" s="190"/>
      <c r="Q193" s="195"/>
      <c r="R193" s="195"/>
      <c r="S193" s="195"/>
      <c r="T193" s="195"/>
      <c r="U193" s="1"/>
      <c r="W193" s="195"/>
      <c r="X193" s="195"/>
    </row>
    <row r="194" spans="15:24" x14ac:dyDescent="0.25">
      <c r="O194" s="190"/>
      <c r="P194" s="190"/>
      <c r="Q194" s="195"/>
      <c r="R194" s="195"/>
      <c r="S194" s="195"/>
      <c r="T194" s="195"/>
      <c r="U194" s="1"/>
      <c r="W194" s="195"/>
      <c r="X194" s="195"/>
    </row>
    <row r="195" spans="15:24" x14ac:dyDescent="0.25">
      <c r="O195" s="190"/>
      <c r="P195" s="190"/>
      <c r="Q195" s="195"/>
      <c r="R195" s="195"/>
      <c r="S195" s="195"/>
      <c r="T195" s="195"/>
      <c r="U195" s="1"/>
      <c r="W195" s="195"/>
      <c r="X195" s="195"/>
    </row>
    <row r="196" spans="15:24" x14ac:dyDescent="0.25">
      <c r="O196" s="190"/>
      <c r="P196" s="190"/>
      <c r="Q196" s="195"/>
      <c r="R196" s="195"/>
      <c r="S196" s="195"/>
      <c r="T196" s="195"/>
      <c r="U196" s="1"/>
      <c r="W196" s="195"/>
      <c r="X196" s="195"/>
    </row>
    <row r="197" spans="15:24" x14ac:dyDescent="0.25">
      <c r="O197" s="190"/>
      <c r="P197" s="190"/>
      <c r="Q197" s="195"/>
      <c r="R197" s="195"/>
      <c r="S197" s="195"/>
      <c r="T197" s="195"/>
      <c r="U197" s="1"/>
      <c r="W197" s="195"/>
      <c r="X197" s="195"/>
    </row>
    <row r="198" spans="15:24" x14ac:dyDescent="0.25">
      <c r="O198" s="190"/>
      <c r="P198" s="190"/>
      <c r="Q198" s="195"/>
      <c r="R198" s="195"/>
      <c r="S198" s="195"/>
      <c r="T198" s="195"/>
      <c r="U198" s="1"/>
      <c r="W198" s="195"/>
      <c r="X198" s="195"/>
    </row>
    <row r="199" spans="15:24" x14ac:dyDescent="0.25">
      <c r="O199" s="190"/>
      <c r="P199" s="190"/>
      <c r="Q199" s="195"/>
      <c r="R199" s="195"/>
      <c r="S199" s="195"/>
      <c r="T199" s="195"/>
      <c r="U199" s="1"/>
      <c r="W199" s="195"/>
      <c r="X199" s="195"/>
    </row>
    <row r="200" spans="15:24" x14ac:dyDescent="0.25">
      <c r="Q200" s="195"/>
      <c r="R200" s="195"/>
      <c r="S200" s="195"/>
      <c r="T200" s="195"/>
      <c r="U200" s="1"/>
      <c r="W200" s="195"/>
      <c r="X200" s="195"/>
    </row>
    <row r="201" spans="15:24" x14ac:dyDescent="0.25">
      <c r="Q201" s="195"/>
      <c r="R201" s="195"/>
      <c r="S201" s="195"/>
      <c r="T201" s="195"/>
      <c r="U201" s="1"/>
      <c r="W201" s="195"/>
      <c r="X201" s="195"/>
    </row>
    <row r="202" spans="15:24" x14ac:dyDescent="0.25">
      <c r="Q202" s="195"/>
      <c r="R202" s="195"/>
      <c r="S202" s="195"/>
      <c r="T202" s="195"/>
      <c r="U202" s="1"/>
      <c r="W202" s="195"/>
      <c r="X202" s="195"/>
    </row>
    <row r="203" spans="15:24" x14ac:dyDescent="0.25">
      <c r="Q203" s="195"/>
      <c r="R203" s="195"/>
      <c r="S203" s="195"/>
      <c r="T203" s="195"/>
      <c r="U203" s="1"/>
      <c r="W203" s="195"/>
      <c r="X203" s="195"/>
    </row>
    <row r="204" spans="15:24" x14ac:dyDescent="0.25">
      <c r="Q204" s="195"/>
      <c r="R204" s="195"/>
      <c r="S204" s="195"/>
      <c r="T204" s="195"/>
      <c r="U204" s="1"/>
      <c r="W204" s="195"/>
      <c r="X204" s="195"/>
    </row>
    <row r="205" spans="15:24" x14ac:dyDescent="0.25">
      <c r="Q205" s="195"/>
      <c r="R205" s="195"/>
      <c r="S205" s="195"/>
      <c r="T205" s="195"/>
      <c r="U205" s="1"/>
      <c r="W205" s="195"/>
      <c r="X205" s="195"/>
    </row>
    <row r="206" spans="15:24" x14ac:dyDescent="0.25">
      <c r="Q206" s="195"/>
      <c r="R206" s="195"/>
      <c r="S206" s="195"/>
      <c r="T206" s="195"/>
      <c r="U206" s="1"/>
      <c r="W206" s="195"/>
      <c r="X206" s="195"/>
    </row>
    <row r="207" spans="15:24" x14ac:dyDescent="0.25">
      <c r="Q207" s="195"/>
      <c r="R207" s="195"/>
      <c r="S207" s="195"/>
      <c r="T207" s="195"/>
      <c r="U207" s="1"/>
      <c r="W207" s="195"/>
      <c r="X207" s="195"/>
    </row>
    <row r="208" spans="15:24" x14ac:dyDescent="0.25">
      <c r="Q208" s="195"/>
      <c r="R208" s="195"/>
      <c r="S208" s="195"/>
      <c r="T208" s="195"/>
      <c r="U208" s="1"/>
      <c r="W208" s="195"/>
      <c r="X208" s="195"/>
    </row>
    <row r="209" spans="17:24" x14ac:dyDescent="0.25">
      <c r="Q209" s="195"/>
      <c r="R209" s="195"/>
      <c r="S209" s="195"/>
      <c r="T209" s="195"/>
      <c r="U209" s="1"/>
      <c r="W209" s="195"/>
      <c r="X209" s="195"/>
    </row>
    <row r="210" spans="17:24" x14ac:dyDescent="0.25">
      <c r="Q210" s="195"/>
      <c r="R210" s="195"/>
      <c r="S210" s="195"/>
      <c r="T210" s="195"/>
      <c r="U210" s="1"/>
      <c r="W210" s="195"/>
      <c r="X210" s="195"/>
    </row>
    <row r="211" spans="17:24" x14ac:dyDescent="0.25">
      <c r="Q211" s="195"/>
      <c r="R211" s="195"/>
      <c r="S211" s="195"/>
      <c r="T211" s="195"/>
      <c r="U211" s="1"/>
      <c r="W211" s="195"/>
      <c r="X211" s="195"/>
    </row>
    <row r="212" spans="17:24" x14ac:dyDescent="0.25">
      <c r="Q212" s="195"/>
      <c r="R212" s="195"/>
      <c r="S212" s="195"/>
      <c r="T212" s="195"/>
      <c r="U212" s="1"/>
      <c r="W212" s="195"/>
      <c r="X212" s="195"/>
    </row>
    <row r="213" spans="17:24" x14ac:dyDescent="0.25">
      <c r="Q213" s="195"/>
      <c r="R213" s="195"/>
      <c r="S213" s="195"/>
      <c r="T213" s="195"/>
      <c r="U213" s="1"/>
      <c r="W213" s="195"/>
      <c r="X213" s="195"/>
    </row>
    <row r="214" spans="17:24" x14ac:dyDescent="0.25">
      <c r="Q214" s="195"/>
      <c r="R214" s="195"/>
      <c r="S214" s="195"/>
      <c r="T214" s="195"/>
      <c r="U214" s="1"/>
      <c r="W214" s="195"/>
      <c r="X214" s="195"/>
    </row>
    <row r="215" spans="17:24" x14ac:dyDescent="0.25">
      <c r="Q215" s="195"/>
      <c r="R215" s="195"/>
      <c r="S215" s="195"/>
      <c r="T215" s="195"/>
      <c r="U215" s="1"/>
      <c r="W215" s="195"/>
      <c r="X215" s="195"/>
    </row>
    <row r="216" spans="17:24" x14ac:dyDescent="0.25">
      <c r="Q216" s="195"/>
      <c r="R216" s="195"/>
      <c r="S216" s="195"/>
      <c r="T216" s="195"/>
      <c r="U216" s="1"/>
      <c r="W216" s="195"/>
      <c r="X216" s="195"/>
    </row>
    <row r="217" spans="17:24" x14ac:dyDescent="0.25">
      <c r="Q217" s="195"/>
      <c r="R217" s="195"/>
      <c r="S217" s="195"/>
      <c r="T217" s="195"/>
      <c r="U217" s="1"/>
      <c r="W217" s="195"/>
      <c r="X217" s="195"/>
    </row>
    <row r="218" spans="17:24" x14ac:dyDescent="0.25">
      <c r="Q218" s="195"/>
      <c r="R218" s="195"/>
      <c r="S218" s="195"/>
      <c r="T218" s="195"/>
      <c r="U218" s="1"/>
      <c r="W218" s="195"/>
      <c r="X218" s="195"/>
    </row>
    <row r="219" spans="17:24" x14ac:dyDescent="0.25">
      <c r="Q219" s="195"/>
      <c r="R219" s="195"/>
      <c r="S219" s="195"/>
      <c r="T219" s="195"/>
      <c r="U219" s="1"/>
      <c r="W219" s="195"/>
      <c r="X219" s="195"/>
    </row>
    <row r="220" spans="17:24" x14ac:dyDescent="0.25">
      <c r="Q220" s="195"/>
      <c r="R220" s="195"/>
      <c r="S220" s="195"/>
      <c r="T220" s="195"/>
      <c r="U220" s="1"/>
      <c r="W220" s="195"/>
      <c r="X220" s="195"/>
    </row>
    <row r="221" spans="17:24" x14ac:dyDescent="0.25">
      <c r="Q221" s="195"/>
      <c r="R221" s="195"/>
      <c r="S221" s="195"/>
      <c r="T221" s="195"/>
      <c r="U221" s="1"/>
      <c r="W221" s="195"/>
      <c r="X221" s="195"/>
    </row>
    <row r="222" spans="17:24" x14ac:dyDescent="0.25">
      <c r="Q222" s="195"/>
      <c r="R222" s="195"/>
      <c r="S222" s="195"/>
      <c r="T222" s="195"/>
      <c r="U222" s="1"/>
      <c r="W222" s="195"/>
      <c r="X222" s="195"/>
    </row>
    <row r="223" spans="17:24" x14ac:dyDescent="0.25">
      <c r="Q223" s="195"/>
      <c r="R223" s="195"/>
      <c r="S223" s="195"/>
      <c r="T223" s="195"/>
      <c r="U223" s="1"/>
      <c r="W223" s="195"/>
      <c r="X223" s="195"/>
    </row>
    <row r="224" spans="17:24" x14ac:dyDescent="0.25">
      <c r="Q224" s="195"/>
      <c r="R224" s="195"/>
      <c r="S224" s="195"/>
      <c r="T224" s="195"/>
      <c r="U224" s="1"/>
      <c r="W224" s="195"/>
      <c r="X224" s="195"/>
    </row>
    <row r="225" spans="17:24" x14ac:dyDescent="0.25">
      <c r="Q225" s="195"/>
      <c r="R225" s="195"/>
      <c r="S225" s="195"/>
      <c r="T225" s="195"/>
      <c r="U225" s="1"/>
      <c r="W225" s="195"/>
      <c r="X225" s="195"/>
    </row>
    <row r="226" spans="17:24" x14ac:dyDescent="0.25">
      <c r="Q226" s="195"/>
      <c r="R226" s="195"/>
      <c r="S226" s="195"/>
      <c r="T226" s="195"/>
      <c r="U226" s="1"/>
      <c r="W226" s="195"/>
      <c r="X226" s="195"/>
    </row>
    <row r="227" spans="17:24" x14ac:dyDescent="0.25">
      <c r="Q227" s="195"/>
      <c r="R227" s="195"/>
      <c r="S227" s="195"/>
      <c r="T227" s="195"/>
      <c r="U227" s="1"/>
      <c r="W227" s="195"/>
      <c r="X227" s="195"/>
    </row>
    <row r="228" spans="17:24" x14ac:dyDescent="0.25">
      <c r="Q228" s="195"/>
      <c r="R228" s="195"/>
      <c r="S228" s="195"/>
      <c r="T228" s="195"/>
      <c r="U228" s="1"/>
      <c r="W228" s="195"/>
      <c r="X228" s="195"/>
    </row>
    <row r="229" spans="17:24" x14ac:dyDescent="0.25">
      <c r="Q229" s="195"/>
      <c r="R229" s="195"/>
      <c r="S229" s="195"/>
      <c r="T229" s="195"/>
      <c r="U229" s="1"/>
      <c r="W229" s="195"/>
      <c r="X229" s="195"/>
    </row>
    <row r="230" spans="17:24" x14ac:dyDescent="0.25">
      <c r="Q230" s="195"/>
      <c r="R230" s="195"/>
      <c r="S230" s="195"/>
      <c r="T230" s="195"/>
      <c r="U230" s="1"/>
      <c r="W230" s="195"/>
      <c r="X230" s="195"/>
    </row>
    <row r="231" spans="17:24" x14ac:dyDescent="0.25">
      <c r="Q231" s="195"/>
      <c r="R231" s="195"/>
      <c r="S231" s="195"/>
      <c r="T231" s="195"/>
      <c r="U231" s="1"/>
      <c r="W231" s="195"/>
      <c r="X231" s="195"/>
    </row>
    <row r="232" spans="17:24" x14ac:dyDescent="0.25">
      <c r="Q232" s="195"/>
      <c r="R232" s="195"/>
      <c r="S232" s="195"/>
      <c r="T232" s="195"/>
      <c r="U232" s="1"/>
      <c r="W232" s="195"/>
      <c r="X232" s="195"/>
    </row>
    <row r="233" spans="17:24" x14ac:dyDescent="0.25">
      <c r="Q233" s="195"/>
      <c r="R233" s="195"/>
      <c r="S233" s="195"/>
      <c r="T233" s="195"/>
      <c r="U233" s="1"/>
      <c r="W233" s="195"/>
      <c r="X233" s="195"/>
    </row>
    <row r="234" spans="17:24" x14ac:dyDescent="0.25">
      <c r="Q234" s="195"/>
      <c r="R234" s="195"/>
      <c r="S234" s="195"/>
      <c r="T234" s="195"/>
      <c r="U234" s="1"/>
      <c r="W234" s="195"/>
      <c r="X234" s="195"/>
    </row>
    <row r="235" spans="17:24" x14ac:dyDescent="0.25">
      <c r="Q235" s="195"/>
      <c r="R235" s="195"/>
      <c r="S235" s="195"/>
      <c r="T235" s="195"/>
      <c r="U235" s="1"/>
      <c r="W235" s="195"/>
      <c r="X235" s="195"/>
    </row>
    <row r="236" spans="17:24" x14ac:dyDescent="0.25">
      <c r="Q236" s="195"/>
      <c r="R236" s="195"/>
      <c r="S236" s="195"/>
      <c r="T236" s="195"/>
      <c r="U236" s="1"/>
      <c r="W236" s="195"/>
      <c r="X236" s="195"/>
    </row>
    <row r="237" spans="17:24" x14ac:dyDescent="0.25">
      <c r="Q237" s="195"/>
      <c r="R237" s="195"/>
      <c r="S237" s="195"/>
      <c r="T237" s="195"/>
      <c r="U237" s="1"/>
      <c r="W237" s="195"/>
      <c r="X237" s="195"/>
    </row>
    <row r="238" spans="17:24" x14ac:dyDescent="0.25">
      <c r="Q238" s="195"/>
      <c r="R238" s="195"/>
      <c r="S238" s="195"/>
      <c r="T238" s="195"/>
      <c r="U238" s="1"/>
      <c r="W238" s="195"/>
      <c r="X238" s="195"/>
    </row>
    <row r="239" spans="17:24" x14ac:dyDescent="0.25">
      <c r="Q239" s="195"/>
      <c r="R239" s="195"/>
      <c r="S239" s="195"/>
      <c r="T239" s="195"/>
      <c r="U239" s="1"/>
      <c r="W239" s="195"/>
      <c r="X239" s="195"/>
    </row>
    <row r="240" spans="17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  <row r="1672" spans="17:24" x14ac:dyDescent="0.25">
      <c r="Q1672" s="195"/>
      <c r="R1672" s="195"/>
      <c r="S1672" s="195"/>
      <c r="T1672" s="195"/>
      <c r="U1672" s="1"/>
      <c r="W1672" s="195"/>
      <c r="X1672" s="195"/>
    </row>
    <row r="1673" spans="17:24" x14ac:dyDescent="0.25">
      <c r="Q1673" s="195"/>
      <c r="R1673" s="195"/>
      <c r="S1673" s="195"/>
      <c r="T1673" s="195"/>
      <c r="U1673" s="1"/>
      <c r="W1673" s="195"/>
      <c r="X1673" s="195"/>
    </row>
    <row r="1674" spans="17:24" x14ac:dyDescent="0.25">
      <c r="Q1674" s="195"/>
      <c r="R1674" s="195"/>
      <c r="S1674" s="195"/>
      <c r="T1674" s="195"/>
      <c r="U1674" s="1"/>
      <c r="W1674" s="195"/>
      <c r="X1674" s="195"/>
    </row>
    <row r="1675" spans="17:24" x14ac:dyDescent="0.25">
      <c r="Q1675" s="195"/>
      <c r="R1675" s="195"/>
      <c r="S1675" s="195"/>
      <c r="T1675" s="195"/>
      <c r="U1675" s="1"/>
      <c r="W1675" s="195"/>
      <c r="X1675" s="195"/>
    </row>
    <row r="1676" spans="17:24" x14ac:dyDescent="0.25">
      <c r="Q1676" s="195"/>
      <c r="R1676" s="195"/>
      <c r="S1676" s="195"/>
      <c r="T1676" s="195"/>
      <c r="U1676" s="1"/>
      <c r="W1676" s="195"/>
      <c r="X1676" s="195"/>
    </row>
    <row r="1677" spans="17:24" x14ac:dyDescent="0.25">
      <c r="Q1677" s="195"/>
      <c r="R1677" s="195"/>
      <c r="S1677" s="195"/>
      <c r="T1677" s="195"/>
      <c r="U1677" s="1"/>
      <c r="W1677" s="195"/>
      <c r="X1677" s="195"/>
    </row>
    <row r="1678" spans="17:24" x14ac:dyDescent="0.25">
      <c r="Q1678" s="195"/>
      <c r="R1678" s="195"/>
      <c r="S1678" s="195"/>
      <c r="T1678" s="195"/>
      <c r="U1678" s="1"/>
      <c r="W1678" s="195"/>
      <c r="X1678" s="195"/>
    </row>
    <row r="1679" spans="17:24" x14ac:dyDescent="0.25">
      <c r="Q1679" s="195"/>
      <c r="R1679" s="195"/>
      <c r="S1679" s="195"/>
      <c r="T1679" s="195"/>
      <c r="U1679" s="1"/>
      <c r="W1679" s="195"/>
      <c r="X1679" s="195"/>
    </row>
    <row r="1680" spans="17:24" x14ac:dyDescent="0.25">
      <c r="Q1680" s="195"/>
      <c r="R1680" s="195"/>
      <c r="S1680" s="195"/>
      <c r="T1680" s="195"/>
      <c r="U1680" s="1"/>
      <c r="W1680" s="195"/>
      <c r="X1680" s="195"/>
    </row>
    <row r="1681" spans="17:24" x14ac:dyDescent="0.25">
      <c r="Q1681" s="195"/>
      <c r="R1681" s="195"/>
      <c r="S1681" s="195"/>
      <c r="T1681" s="195"/>
      <c r="U1681" s="1"/>
      <c r="W1681" s="195"/>
      <c r="X1681" s="195"/>
    </row>
    <row r="1682" spans="17:24" x14ac:dyDescent="0.25">
      <c r="Q1682" s="195"/>
      <c r="R1682" s="195"/>
      <c r="S1682" s="195"/>
      <c r="T1682" s="195"/>
      <c r="U1682" s="1"/>
      <c r="W1682" s="195"/>
      <c r="X1682" s="195"/>
    </row>
    <row r="1683" spans="17:24" x14ac:dyDescent="0.25">
      <c r="Q1683" s="195"/>
      <c r="R1683" s="195"/>
      <c r="S1683" s="195"/>
      <c r="T1683" s="195"/>
      <c r="U1683" s="1"/>
      <c r="W1683" s="195"/>
      <c r="X1683" s="195"/>
    </row>
    <row r="1684" spans="17:24" x14ac:dyDescent="0.25">
      <c r="Q1684" s="195"/>
      <c r="R1684" s="195"/>
      <c r="S1684" s="195"/>
      <c r="T1684" s="195"/>
      <c r="U1684" s="1"/>
      <c r="W1684" s="195"/>
      <c r="X1684" s="195"/>
    </row>
    <row r="1685" spans="17:24" x14ac:dyDescent="0.25">
      <c r="Q1685" s="195"/>
      <c r="R1685" s="195"/>
      <c r="S1685" s="195"/>
      <c r="T1685" s="195"/>
      <c r="U1685" s="1"/>
      <c r="W1685" s="195"/>
      <c r="X1685" s="195"/>
    </row>
    <row r="1686" spans="17:24" x14ac:dyDescent="0.25">
      <c r="Q1686" s="195"/>
      <c r="R1686" s="195"/>
      <c r="S1686" s="195"/>
      <c r="T1686" s="195"/>
      <c r="U1686" s="1"/>
      <c r="W1686" s="195"/>
      <c r="X1686" s="195"/>
    </row>
    <row r="1687" spans="17:24" x14ac:dyDescent="0.25">
      <c r="Q1687" s="195"/>
      <c r="R1687" s="195"/>
      <c r="S1687" s="195"/>
      <c r="T1687" s="195"/>
      <c r="U1687" s="1"/>
      <c r="W1687" s="195"/>
      <c r="X1687" s="195"/>
    </row>
    <row r="1688" spans="17:24" x14ac:dyDescent="0.25">
      <c r="Q1688" s="195"/>
      <c r="R1688" s="195"/>
      <c r="S1688" s="195"/>
      <c r="T1688" s="195"/>
      <c r="U1688" s="1"/>
      <c r="W1688" s="195"/>
      <c r="X1688" s="195"/>
    </row>
    <row r="1689" spans="17:24" x14ac:dyDescent="0.25">
      <c r="Q1689" s="195"/>
      <c r="R1689" s="195"/>
      <c r="S1689" s="195"/>
      <c r="T1689" s="195"/>
      <c r="U1689" s="1"/>
      <c r="W1689" s="195"/>
      <c r="X1689" s="195"/>
    </row>
    <row r="1690" spans="17:24" x14ac:dyDescent="0.25">
      <c r="Q1690" s="195"/>
      <c r="R1690" s="195"/>
      <c r="S1690" s="195"/>
      <c r="T1690" s="195"/>
      <c r="U1690" s="1"/>
      <c r="W1690" s="195"/>
      <c r="X1690" s="195"/>
    </row>
    <row r="1691" spans="17:24" x14ac:dyDescent="0.25">
      <c r="Q1691" s="195"/>
      <c r="R1691" s="195"/>
      <c r="S1691" s="195"/>
      <c r="T1691" s="195"/>
      <c r="U1691" s="1"/>
      <c r="W1691" s="195"/>
      <c r="X1691" s="195"/>
    </row>
    <row r="1692" spans="17:24" x14ac:dyDescent="0.25">
      <c r="Q1692" s="195"/>
      <c r="R1692" s="195"/>
      <c r="S1692" s="195"/>
      <c r="T1692" s="195"/>
      <c r="U1692" s="1"/>
      <c r="W1692" s="195"/>
      <c r="X1692" s="195"/>
    </row>
    <row r="1693" spans="17:24" x14ac:dyDescent="0.25">
      <c r="Q1693" s="195"/>
      <c r="R1693" s="195"/>
      <c r="S1693" s="195"/>
      <c r="T1693" s="195"/>
      <c r="U1693" s="1"/>
      <c r="W1693" s="195"/>
      <c r="X1693" s="195"/>
    </row>
    <row r="1694" spans="17:24" x14ac:dyDescent="0.25">
      <c r="Q1694" s="195"/>
      <c r="R1694" s="195"/>
      <c r="S1694" s="195"/>
      <c r="T1694" s="195"/>
      <c r="U1694" s="1"/>
      <c r="W1694" s="195"/>
      <c r="X1694" s="195"/>
    </row>
    <row r="1695" spans="17:24" x14ac:dyDescent="0.25">
      <c r="Q1695" s="195"/>
      <c r="R1695" s="195"/>
      <c r="S1695" s="195"/>
      <c r="T1695" s="195"/>
      <c r="U1695" s="1"/>
      <c r="W1695" s="195"/>
      <c r="X1695" s="195"/>
    </row>
  </sheetData>
  <mergeCells count="52">
    <mergeCell ref="A3:U3"/>
    <mergeCell ref="A4:U4"/>
    <mergeCell ref="A5:U5"/>
    <mergeCell ref="A7:I8"/>
    <mergeCell ref="J7:K8"/>
    <mergeCell ref="L7:L8"/>
    <mergeCell ref="M7:M8"/>
    <mergeCell ref="N7:N8"/>
    <mergeCell ref="O7:P7"/>
    <mergeCell ref="Q7:S7"/>
    <mergeCell ref="B48:F48"/>
    <mergeCell ref="U7:U8"/>
    <mergeCell ref="V7:V8"/>
    <mergeCell ref="A9:I9"/>
    <mergeCell ref="J9:K9"/>
    <mergeCell ref="B18:F18"/>
    <mergeCell ref="B20:F20"/>
    <mergeCell ref="B28:G28"/>
    <mergeCell ref="B36:F36"/>
    <mergeCell ref="B38:F38"/>
    <mergeCell ref="B40:F40"/>
    <mergeCell ref="B46:F46"/>
    <mergeCell ref="A158:J158"/>
    <mergeCell ref="B50:F50"/>
    <mergeCell ref="B52:F52"/>
    <mergeCell ref="B60:F60"/>
    <mergeCell ref="B72:F72"/>
    <mergeCell ref="B84:F84"/>
    <mergeCell ref="B86:F86"/>
    <mergeCell ref="B106:F106"/>
    <mergeCell ref="B108:F108"/>
    <mergeCell ref="B114:F114"/>
    <mergeCell ref="B116:F116"/>
    <mergeCell ref="B133:G133"/>
    <mergeCell ref="D159:J159"/>
    <mergeCell ref="K159:L159"/>
    <mergeCell ref="R159:T159"/>
    <mergeCell ref="A160:J160"/>
    <mergeCell ref="N160:Q160"/>
    <mergeCell ref="R160:U160"/>
    <mergeCell ref="A167:J167"/>
    <mergeCell ref="N167:Q167"/>
    <mergeCell ref="R167:U167"/>
    <mergeCell ref="D168:H168"/>
    <mergeCell ref="A161:J161"/>
    <mergeCell ref="N161:Q161"/>
    <mergeCell ref="R161:U161"/>
    <mergeCell ref="A162:J162"/>
    <mergeCell ref="A165:J165"/>
    <mergeCell ref="A166:J166"/>
    <mergeCell ref="N166:Q166"/>
    <mergeCell ref="R166:U166"/>
  </mergeCells>
  <pageMargins left="0.7" right="0.7" top="0.75" bottom="0.75" header="0.3" footer="0.3"/>
  <pageSetup paperSize="5" scale="7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95"/>
  <sheetViews>
    <sheetView topLeftCell="A122" zoomScale="80" zoomScaleNormal="80" workbookViewId="0">
      <selection activeCell="S10" sqref="S10:S152"/>
    </sheetView>
  </sheetViews>
  <sheetFormatPr defaultRowHeight="15.75" x14ac:dyDescent="0.25"/>
  <cols>
    <col min="1" max="1" width="3.140625" style="1" customWidth="1"/>
    <col min="2" max="2" width="3.7109375" style="1" hidden="1" customWidth="1"/>
    <col min="3" max="3" width="2" style="1" hidden="1" customWidth="1"/>
    <col min="4" max="5" width="8.7109375" style="1" hidden="1" customWidth="1"/>
    <col min="6" max="7" width="8.5703125" style="1" hidden="1" customWidth="1"/>
    <col min="8" max="8" width="0.140625" style="1" hidden="1" customWidth="1"/>
    <col min="9" max="9" width="6.7109375" style="1" hidden="1" customWidth="1"/>
    <col min="10" max="10" width="7" style="1" hidden="1" customWidth="1"/>
    <col min="11" max="11" width="83.140625" style="1" customWidth="1"/>
    <col min="12" max="12" width="16.140625" style="1" hidden="1" customWidth="1"/>
    <col min="13" max="13" width="20.42578125" style="1" hidden="1" customWidth="1"/>
    <col min="14" max="14" width="23.42578125" style="1" customWidth="1"/>
    <col min="15" max="15" width="14.140625" style="1" hidden="1" customWidth="1"/>
    <col min="16" max="16" width="14.5703125" style="1" hidden="1" customWidth="1"/>
    <col min="17" max="17" width="19.7109375" style="1" customWidth="1"/>
    <col min="18" max="18" width="18.42578125" style="196" customWidth="1"/>
    <col min="19" max="19" width="20" style="1" customWidth="1"/>
    <col min="20" max="20" width="14.42578125" style="1" customWidth="1"/>
    <col min="21" max="21" width="18.5703125" style="4" customWidth="1"/>
    <col min="22" max="22" width="18.140625" style="1" hidden="1" customWidth="1"/>
    <col min="23" max="23" width="13.85546875" style="1" hidden="1" customWidth="1"/>
    <col min="24" max="24" width="13.85546875" style="1" customWidth="1"/>
    <col min="25" max="31" width="9.140625" style="1"/>
    <col min="32" max="32" width="13" style="1" bestFit="1" customWidth="1"/>
    <col min="33" max="16384" width="9.140625" style="1"/>
  </cols>
  <sheetData>
    <row r="1" spans="1:26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6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6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5"/>
    </row>
    <row r="4" spans="1:26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5"/>
    </row>
    <row r="5" spans="1:26" ht="18" x14ac:dyDescent="0.25">
      <c r="A5" s="482" t="s">
        <v>298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5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6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276</v>
      </c>
      <c r="M7" s="488" t="s">
        <v>7</v>
      </c>
      <c r="N7" s="488" t="s">
        <v>277</v>
      </c>
      <c r="O7" s="490" t="s">
        <v>9</v>
      </c>
      <c r="P7" s="490"/>
      <c r="Q7" s="491" t="s">
        <v>10</v>
      </c>
      <c r="R7" s="492"/>
      <c r="S7" s="492"/>
      <c r="T7" s="11"/>
      <c r="U7" s="493" t="s">
        <v>278</v>
      </c>
      <c r="V7" s="490" t="s">
        <v>12</v>
      </c>
      <c r="W7" s="11"/>
      <c r="X7" s="11"/>
    </row>
    <row r="8" spans="1:26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454" t="s">
        <v>14</v>
      </c>
      <c r="Q8" s="454" t="s">
        <v>13</v>
      </c>
      <c r="R8" s="14" t="s">
        <v>14</v>
      </c>
      <c r="S8" s="454" t="s">
        <v>15</v>
      </c>
      <c r="T8" s="454" t="s">
        <v>16</v>
      </c>
      <c r="U8" s="493"/>
      <c r="V8" s="490"/>
      <c r="W8" s="454" t="s">
        <v>17</v>
      </c>
      <c r="X8" s="454" t="s">
        <v>17</v>
      </c>
    </row>
    <row r="9" spans="1:26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 t="s">
        <v>19</v>
      </c>
      <c r="K9" s="494"/>
      <c r="L9" s="454" t="s">
        <v>20</v>
      </c>
      <c r="M9" s="454" t="s">
        <v>21</v>
      </c>
      <c r="N9" s="454" t="s">
        <v>22</v>
      </c>
      <c r="O9" s="454" t="s">
        <v>22</v>
      </c>
      <c r="P9" s="454" t="s">
        <v>23</v>
      </c>
      <c r="Q9" s="454" t="s">
        <v>24</v>
      </c>
      <c r="R9" s="14" t="s">
        <v>25</v>
      </c>
      <c r="S9" s="454" t="s">
        <v>26</v>
      </c>
      <c r="T9" s="454" t="s">
        <v>27</v>
      </c>
      <c r="U9" s="454" t="s">
        <v>28</v>
      </c>
      <c r="V9" s="15"/>
      <c r="W9" s="454" t="s">
        <v>27</v>
      </c>
      <c r="X9" s="454" t="s">
        <v>27</v>
      </c>
    </row>
    <row r="10" spans="1:26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f>L12+L118</f>
        <v>2184252000</v>
      </c>
      <c r="M10" s="19">
        <f>M12+M118</f>
        <v>0</v>
      </c>
      <c r="N10" s="19">
        <f>N12+N118</f>
        <v>2184252000</v>
      </c>
      <c r="O10" s="19" t="e">
        <f>O12</f>
        <v>#REF!</v>
      </c>
      <c r="P10" s="19"/>
      <c r="Q10" s="19">
        <f>Q12+Q118</f>
        <v>124180558</v>
      </c>
      <c r="R10" s="19">
        <v>1005021884</v>
      </c>
      <c r="S10" s="19">
        <f>Q10+R10</f>
        <v>1129202442</v>
      </c>
      <c r="T10" s="20">
        <f>S10/N10*100</f>
        <v>51.697443426857333</v>
      </c>
      <c r="U10" s="21">
        <f>N10-S10</f>
        <v>1055049558</v>
      </c>
      <c r="V10" s="21">
        <f>U10/2</f>
        <v>527524779</v>
      </c>
      <c r="W10" s="22">
        <f>Q10/N10*100</f>
        <v>5.6852669930026387</v>
      </c>
      <c r="X10" s="22">
        <f>Q10/N10*100</f>
        <v>5.6852669930026387</v>
      </c>
    </row>
    <row r="11" spans="1:26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</row>
    <row r="12" spans="1:26" x14ac:dyDescent="0.25">
      <c r="A12" s="34"/>
      <c r="B12" s="35" t="s">
        <v>31</v>
      </c>
      <c r="C12" s="36"/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L14+L16+L18+L20+L22+L28+L36+L38+L40+L46+L48+L50+L52+L60+L72+L84+L86+L106+L108+L114+L116</f>
        <v>1528107000</v>
      </c>
      <c r="M12" s="41">
        <f>M14+M16+M18+M20+M22+M28+M36+M38+M40+M46+M48+M50+M52+M60+M72+M84+M86+M106+M108+M114+M116</f>
        <v>0</v>
      </c>
      <c r="N12" s="41">
        <f>L12-M12</f>
        <v>1528107000</v>
      </c>
      <c r="O12" s="41" t="e">
        <f>#REF!</f>
        <v>#REF!</v>
      </c>
      <c r="P12" s="41"/>
      <c r="Q12" s="41">
        <f>Q14+Q16+Q18+Q20+Q22+Q28+Q36+Q38+Q40+Q46+Q48+Q50+Q52+Q60+Q72+Q84+Q86+Q106+Q108+Q114+Q116</f>
        <v>106250558</v>
      </c>
      <c r="R12" s="41">
        <v>834581884</v>
      </c>
      <c r="S12" s="41">
        <f>Q12+R12</f>
        <v>940832442</v>
      </c>
      <c r="T12" s="20">
        <f>S12/N12*100</f>
        <v>61.568492389603612</v>
      </c>
      <c r="U12" s="42">
        <f>N12-S12</f>
        <v>587274558</v>
      </c>
      <c r="V12" s="42">
        <f>U12/2</f>
        <v>293637279</v>
      </c>
      <c r="W12" s="22">
        <f t="shared" ref="W12:W36" si="0">Q12/N12*100</f>
        <v>6.9530836518646932</v>
      </c>
      <c r="X12" s="22">
        <f t="shared" ref="X12:X84" si="1">Q12/N12*100</f>
        <v>6.9530836518646932</v>
      </c>
    </row>
    <row r="13" spans="1:26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86" si="2">U13/2</f>
        <v>0</v>
      </c>
      <c r="W13" s="22"/>
      <c r="X13" s="22"/>
    </row>
    <row r="14" spans="1:26" ht="17.25" x14ac:dyDescent="0.3">
      <c r="A14" s="232"/>
      <c r="B14" s="313" t="s">
        <v>236</v>
      </c>
      <c r="C14" s="314"/>
      <c r="D14" s="315"/>
      <c r="E14" s="316"/>
      <c r="F14" s="316"/>
      <c r="G14" s="317"/>
      <c r="H14" s="318"/>
      <c r="I14" s="319"/>
      <c r="J14" s="318"/>
      <c r="K14" s="361" t="s">
        <v>184</v>
      </c>
      <c r="L14" s="43">
        <v>42000000</v>
      </c>
      <c r="M14" s="43">
        <v>0</v>
      </c>
      <c r="N14" s="43">
        <f>L14-M14</f>
        <v>42000000</v>
      </c>
      <c r="O14" s="337"/>
      <c r="P14" s="337"/>
      <c r="Q14" s="43">
        <v>2000000</v>
      </c>
      <c r="R14" s="43">
        <v>18000000</v>
      </c>
      <c r="S14" s="43">
        <f t="shared" ref="S14:S16" si="3">Q14+R14</f>
        <v>20000000</v>
      </c>
      <c r="T14" s="327">
        <f>S14/N14*100</f>
        <v>47.619047619047613</v>
      </c>
      <c r="U14" s="43">
        <f>N14-S14</f>
        <v>22000000</v>
      </c>
      <c r="V14" s="42">
        <f t="shared" si="2"/>
        <v>11000000</v>
      </c>
      <c r="W14" s="22">
        <f>Q14/N14*100</f>
        <v>4.7619047619047619</v>
      </c>
      <c r="X14" s="22">
        <f t="shared" si="1"/>
        <v>4.7619047619047619</v>
      </c>
      <c r="Z14" s="22">
        <f>Q14/N14*100</f>
        <v>4.7619047619047619</v>
      </c>
    </row>
    <row r="15" spans="1:26" x14ac:dyDescent="0.25">
      <c r="A15" s="240"/>
      <c r="B15" s="322"/>
      <c r="C15" s="322"/>
      <c r="D15" s="322"/>
      <c r="E15" s="323"/>
      <c r="F15" s="323"/>
      <c r="G15" s="323"/>
      <c r="H15" s="323"/>
      <c r="I15" s="323"/>
      <c r="J15" s="362"/>
      <c r="K15" s="363"/>
      <c r="L15" s="43"/>
      <c r="M15" s="43"/>
      <c r="N15" s="43"/>
      <c r="O15" s="43"/>
      <c r="P15" s="43"/>
      <c r="Q15" s="363"/>
      <c r="R15" s="364"/>
      <c r="S15" s="364"/>
      <c r="T15" s="327"/>
      <c r="U15" s="43"/>
      <c r="V15" s="42">
        <f t="shared" si="2"/>
        <v>0</v>
      </c>
      <c r="W15" s="22"/>
      <c r="X15" s="22"/>
      <c r="Z15" s="22" t="e">
        <f t="shared" ref="Z15:Z88" si="4">Q15/N15*100</f>
        <v>#DIV/0!</v>
      </c>
    </row>
    <row r="16" spans="1:26" ht="17.25" x14ac:dyDescent="0.3">
      <c r="A16" s="232"/>
      <c r="B16" s="313" t="s">
        <v>237</v>
      </c>
      <c r="C16" s="328"/>
      <c r="D16" s="315"/>
      <c r="E16" s="316"/>
      <c r="F16" s="316"/>
      <c r="G16" s="317"/>
      <c r="H16" s="318"/>
      <c r="I16" s="319"/>
      <c r="J16" s="318"/>
      <c r="K16" s="361" t="s">
        <v>185</v>
      </c>
      <c r="L16" s="43">
        <v>4740000</v>
      </c>
      <c r="M16" s="43">
        <v>0</v>
      </c>
      <c r="N16" s="43">
        <f>L16-M16</f>
        <v>4740000</v>
      </c>
      <c r="O16" s="337"/>
      <c r="P16" s="337"/>
      <c r="Q16" s="43">
        <v>370000</v>
      </c>
      <c r="R16" s="43">
        <v>2190000</v>
      </c>
      <c r="S16" s="43">
        <f t="shared" si="3"/>
        <v>2560000</v>
      </c>
      <c r="T16" s="327">
        <f>S16/N16*100</f>
        <v>54.008438818565395</v>
      </c>
      <c r="U16" s="43">
        <f t="shared" ref="U16:U36" si="5">N16-S16</f>
        <v>2180000</v>
      </c>
      <c r="V16" s="42">
        <f t="shared" si="2"/>
        <v>1090000</v>
      </c>
      <c r="W16" s="22">
        <f t="shared" si="0"/>
        <v>7.8059071729957807</v>
      </c>
      <c r="X16" s="22">
        <f t="shared" si="1"/>
        <v>7.8059071729957807</v>
      </c>
      <c r="Z16" s="65">
        <f t="shared" si="4"/>
        <v>7.8059071729957807</v>
      </c>
    </row>
    <row r="17" spans="1:26" x14ac:dyDescent="0.25">
      <c r="A17" s="240"/>
      <c r="B17" s="329"/>
      <c r="C17" s="329"/>
      <c r="D17" s="322"/>
      <c r="E17" s="323"/>
      <c r="F17" s="323"/>
      <c r="G17" s="323"/>
      <c r="H17" s="323"/>
      <c r="I17" s="323"/>
      <c r="J17" s="362"/>
      <c r="K17" s="365"/>
      <c r="L17" s="43"/>
      <c r="M17" s="43"/>
      <c r="N17" s="43"/>
      <c r="O17" s="43"/>
      <c r="P17" s="43"/>
      <c r="Q17" s="363"/>
      <c r="R17" s="364"/>
      <c r="S17" s="364"/>
      <c r="T17" s="327"/>
      <c r="U17" s="43"/>
      <c r="V17" s="42">
        <f t="shared" si="2"/>
        <v>0</v>
      </c>
      <c r="W17" s="22"/>
      <c r="X17" s="22"/>
      <c r="Z17" s="22" t="e">
        <f t="shared" si="4"/>
        <v>#DIV/0!</v>
      </c>
    </row>
    <row r="18" spans="1:26" ht="17.25" x14ac:dyDescent="0.3">
      <c r="A18" s="394"/>
      <c r="B18" s="514" t="s">
        <v>43</v>
      </c>
      <c r="C18" s="515"/>
      <c r="D18" s="515"/>
      <c r="E18" s="515"/>
      <c r="F18" s="516"/>
      <c r="G18" s="395"/>
      <c r="H18" s="395"/>
      <c r="I18" s="395"/>
      <c r="J18" s="396"/>
      <c r="K18" s="397" t="s">
        <v>186</v>
      </c>
      <c r="L18" s="398">
        <v>19754000</v>
      </c>
      <c r="M18" s="398">
        <v>0</v>
      </c>
      <c r="N18" s="398">
        <f>L18-M18</f>
        <v>19754000</v>
      </c>
      <c r="O18" s="398"/>
      <c r="P18" s="398"/>
      <c r="Q18" s="399">
        <v>0</v>
      </c>
      <c r="R18" s="399">
        <v>19693400</v>
      </c>
      <c r="S18" s="399">
        <f>Q18+R18</f>
        <v>19693400</v>
      </c>
      <c r="T18" s="400">
        <f>S18/N18*100</f>
        <v>99.693226688265668</v>
      </c>
      <c r="U18" s="398">
        <f t="shared" si="5"/>
        <v>60600</v>
      </c>
      <c r="V18" s="42">
        <f t="shared" si="2"/>
        <v>30300</v>
      </c>
      <c r="W18" s="22">
        <f t="shared" si="0"/>
        <v>0</v>
      </c>
      <c r="X18" s="22">
        <f t="shared" si="1"/>
        <v>0</v>
      </c>
      <c r="Z18" s="65">
        <f t="shared" si="4"/>
        <v>0</v>
      </c>
    </row>
    <row r="19" spans="1:26" x14ac:dyDescent="0.25">
      <c r="A19" s="240"/>
      <c r="B19" s="329"/>
      <c r="C19" s="329"/>
      <c r="D19" s="322"/>
      <c r="E19" s="323"/>
      <c r="F19" s="323"/>
      <c r="G19" s="323"/>
      <c r="H19" s="323"/>
      <c r="I19" s="323"/>
      <c r="J19" s="362"/>
      <c r="K19" s="365"/>
      <c r="L19" s="43"/>
      <c r="M19" s="43"/>
      <c r="N19" s="43"/>
      <c r="O19" s="43"/>
      <c r="P19" s="43"/>
      <c r="Q19" s="363"/>
      <c r="R19" s="364"/>
      <c r="S19" s="364"/>
      <c r="T19" s="327"/>
      <c r="U19" s="43"/>
      <c r="V19" s="42">
        <f t="shared" si="2"/>
        <v>0</v>
      </c>
      <c r="W19" s="22"/>
      <c r="X19" s="22"/>
      <c r="Z19" s="22" t="e">
        <f t="shared" si="4"/>
        <v>#DIV/0!</v>
      </c>
    </row>
    <row r="20" spans="1:26" ht="17.25" x14ac:dyDescent="0.3">
      <c r="A20" s="394"/>
      <c r="B20" s="514" t="s">
        <v>238</v>
      </c>
      <c r="C20" s="515"/>
      <c r="D20" s="515"/>
      <c r="E20" s="515"/>
      <c r="F20" s="516"/>
      <c r="G20" s="401"/>
      <c r="H20" s="401"/>
      <c r="I20" s="395"/>
      <c r="J20" s="396"/>
      <c r="K20" s="397" t="s">
        <v>92</v>
      </c>
      <c r="L20" s="398">
        <v>4468000</v>
      </c>
      <c r="M20" s="398">
        <v>0</v>
      </c>
      <c r="N20" s="398">
        <f>L20-M20</f>
        <v>4468000</v>
      </c>
      <c r="O20" s="402"/>
      <c r="P20" s="402"/>
      <c r="Q20" s="399">
        <v>0</v>
      </c>
      <c r="R20" s="399">
        <v>2067000</v>
      </c>
      <c r="S20" s="399">
        <f>Q20+R20</f>
        <v>2067000</v>
      </c>
      <c r="T20" s="400">
        <f>S20/N20*100</f>
        <v>46.262309758281113</v>
      </c>
      <c r="U20" s="398">
        <f t="shared" si="5"/>
        <v>2401000</v>
      </c>
      <c r="V20" s="42">
        <f t="shared" si="2"/>
        <v>1200500</v>
      </c>
      <c r="W20" s="22">
        <f t="shared" si="0"/>
        <v>0</v>
      </c>
      <c r="X20" s="22">
        <f t="shared" si="1"/>
        <v>0</v>
      </c>
      <c r="Z20" s="65">
        <f t="shared" si="4"/>
        <v>0</v>
      </c>
    </row>
    <row r="21" spans="1:26" x14ac:dyDescent="0.25">
      <c r="A21" s="240"/>
      <c r="B21" s="329"/>
      <c r="C21" s="331"/>
      <c r="D21" s="323"/>
      <c r="E21" s="323"/>
      <c r="F21" s="323"/>
      <c r="G21" s="322"/>
      <c r="H21" s="322"/>
      <c r="I21" s="323"/>
      <c r="J21" s="362"/>
      <c r="K21" s="366"/>
      <c r="L21" s="43"/>
      <c r="M21" s="43"/>
      <c r="N21" s="43"/>
      <c r="O21" s="337"/>
      <c r="P21" s="337"/>
      <c r="Q21" s="363"/>
      <c r="R21" s="364"/>
      <c r="S21" s="364"/>
      <c r="T21" s="327"/>
      <c r="U21" s="43"/>
      <c r="V21" s="42">
        <f t="shared" si="2"/>
        <v>0</v>
      </c>
      <c r="W21" s="22"/>
      <c r="X21" s="22"/>
      <c r="Z21" s="22" t="e">
        <f t="shared" si="4"/>
        <v>#DIV/0!</v>
      </c>
    </row>
    <row r="22" spans="1:26" ht="17.25" x14ac:dyDescent="0.3">
      <c r="A22" s="403"/>
      <c r="B22" s="404" t="s">
        <v>239</v>
      </c>
      <c r="C22" s="405"/>
      <c r="D22" s="406"/>
      <c r="E22" s="407"/>
      <c r="F22" s="407"/>
      <c r="G22" s="408"/>
      <c r="H22" s="409"/>
      <c r="I22" s="409"/>
      <c r="J22" s="410"/>
      <c r="K22" s="397" t="s">
        <v>187</v>
      </c>
      <c r="L22" s="411">
        <f>L24+L26</f>
        <v>3020000</v>
      </c>
      <c r="M22" s="411">
        <v>0</v>
      </c>
      <c r="N22" s="398">
        <f>L22-M22</f>
        <v>3020000</v>
      </c>
      <c r="O22" s="411"/>
      <c r="P22" s="411"/>
      <c r="Q22" s="411">
        <f>Q24+Q26</f>
        <v>375000</v>
      </c>
      <c r="R22" s="411">
        <v>1311500</v>
      </c>
      <c r="S22" s="411">
        <f t="shared" ref="S22" si="6">Q22+R22</f>
        <v>1686500</v>
      </c>
      <c r="T22" s="400">
        <f>S22/N22*100</f>
        <v>55.84437086092715</v>
      </c>
      <c r="U22" s="398">
        <f t="shared" si="5"/>
        <v>1333500</v>
      </c>
      <c r="V22" s="42">
        <f t="shared" si="2"/>
        <v>666750</v>
      </c>
      <c r="W22" s="22">
        <f t="shared" si="0"/>
        <v>12.417218543046356</v>
      </c>
      <c r="X22" s="22">
        <f t="shared" si="1"/>
        <v>12.417218543046356</v>
      </c>
      <c r="Z22" s="65">
        <f t="shared" si="4"/>
        <v>12.417218543046356</v>
      </c>
    </row>
    <row r="23" spans="1:26" ht="17.25" x14ac:dyDescent="0.3">
      <c r="A23" s="232"/>
      <c r="B23" s="313"/>
      <c r="C23" s="328"/>
      <c r="D23" s="315"/>
      <c r="E23" s="316"/>
      <c r="F23" s="316"/>
      <c r="G23" s="317"/>
      <c r="H23" s="319"/>
      <c r="I23" s="319"/>
      <c r="J23" s="312"/>
      <c r="K23" s="361"/>
      <c r="L23" s="367"/>
      <c r="M23" s="367"/>
      <c r="N23" s="43"/>
      <c r="O23" s="367"/>
      <c r="P23" s="367"/>
      <c r="Q23" s="367"/>
      <c r="R23" s="367"/>
      <c r="S23" s="367"/>
      <c r="T23" s="327"/>
      <c r="U23" s="43"/>
      <c r="V23" s="42"/>
      <c r="W23" s="22"/>
      <c r="X23" s="22"/>
      <c r="Z23" s="65"/>
    </row>
    <row r="24" spans="1:26" ht="17.25" x14ac:dyDescent="0.3">
      <c r="A24" s="232"/>
      <c r="B24" s="313"/>
      <c r="C24" s="328"/>
      <c r="D24" s="315"/>
      <c r="E24" s="316"/>
      <c r="F24" s="316"/>
      <c r="G24" s="317"/>
      <c r="H24" s="319"/>
      <c r="I24" s="319"/>
      <c r="J24" s="312"/>
      <c r="K24" s="361" t="s">
        <v>292</v>
      </c>
      <c r="L24" s="367">
        <v>1800000</v>
      </c>
      <c r="M24" s="367"/>
      <c r="N24" s="43">
        <f>L24-M24</f>
        <v>1800000</v>
      </c>
      <c r="O24" s="367"/>
      <c r="P24" s="367"/>
      <c r="Q24" s="367">
        <v>375000</v>
      </c>
      <c r="R24" s="367">
        <v>1050000</v>
      </c>
      <c r="S24" s="43">
        <f t="shared" ref="S24" si="7">Q24+R24</f>
        <v>1425000</v>
      </c>
      <c r="T24" s="327">
        <f>S24/N24*100</f>
        <v>79.166666666666657</v>
      </c>
      <c r="U24" s="43">
        <f t="shared" si="5"/>
        <v>375000</v>
      </c>
      <c r="V24" s="42"/>
      <c r="W24" s="22"/>
      <c r="X24" s="22"/>
      <c r="Z24" s="65"/>
    </row>
    <row r="25" spans="1:26" ht="17.25" x14ac:dyDescent="0.3">
      <c r="A25" s="232"/>
      <c r="B25" s="313"/>
      <c r="C25" s="328"/>
      <c r="D25" s="315"/>
      <c r="E25" s="316"/>
      <c r="F25" s="316"/>
      <c r="G25" s="317"/>
      <c r="H25" s="319"/>
      <c r="I25" s="319"/>
      <c r="J25" s="312"/>
      <c r="K25" s="361"/>
      <c r="L25" s="367"/>
      <c r="M25" s="367"/>
      <c r="N25" s="43"/>
      <c r="O25" s="367"/>
      <c r="P25" s="367"/>
      <c r="Q25" s="367"/>
      <c r="R25" s="367"/>
      <c r="S25" s="367"/>
      <c r="T25" s="327"/>
      <c r="U25" s="43"/>
      <c r="V25" s="42"/>
      <c r="W25" s="22"/>
      <c r="X25" s="22"/>
      <c r="Z25" s="65"/>
    </row>
    <row r="26" spans="1:26" ht="17.25" x14ac:dyDescent="0.3">
      <c r="A26" s="232"/>
      <c r="B26" s="313"/>
      <c r="C26" s="328"/>
      <c r="D26" s="315"/>
      <c r="E26" s="316"/>
      <c r="F26" s="316"/>
      <c r="G26" s="317"/>
      <c r="H26" s="319"/>
      <c r="I26" s="319"/>
      <c r="J26" s="312"/>
      <c r="K26" s="361" t="s">
        <v>293</v>
      </c>
      <c r="L26" s="367">
        <v>1220000</v>
      </c>
      <c r="M26" s="367"/>
      <c r="N26" s="43">
        <f>L26-M26</f>
        <v>1220000</v>
      </c>
      <c r="O26" s="367"/>
      <c r="P26" s="367"/>
      <c r="Q26" s="367">
        <v>0</v>
      </c>
      <c r="R26" s="367">
        <v>261000</v>
      </c>
      <c r="S26" s="43">
        <f t="shared" ref="S26" si="8">Q26+R26</f>
        <v>261000</v>
      </c>
      <c r="T26" s="327">
        <f>S26/N26*100</f>
        <v>21.393442622950822</v>
      </c>
      <c r="U26" s="43">
        <f t="shared" si="5"/>
        <v>959000</v>
      </c>
      <c r="V26" s="42"/>
      <c r="W26" s="22"/>
      <c r="X26" s="22"/>
      <c r="Z26" s="65"/>
    </row>
    <row r="27" spans="1:26" x14ac:dyDescent="0.25">
      <c r="A27" s="240"/>
      <c r="B27" s="329"/>
      <c r="C27" s="331"/>
      <c r="D27" s="323"/>
      <c r="E27" s="323"/>
      <c r="F27" s="323"/>
      <c r="G27" s="322"/>
      <c r="H27" s="322"/>
      <c r="I27" s="323"/>
      <c r="J27" s="362"/>
      <c r="K27" s="368"/>
      <c r="L27" s="337"/>
      <c r="M27" s="337"/>
      <c r="N27" s="43"/>
      <c r="O27" s="337"/>
      <c r="P27" s="337"/>
      <c r="Q27" s="363"/>
      <c r="R27" s="364"/>
      <c r="S27" s="364"/>
      <c r="T27" s="327"/>
      <c r="U27" s="43"/>
      <c r="V27" s="42">
        <f t="shared" si="2"/>
        <v>0</v>
      </c>
      <c r="W27" s="22"/>
      <c r="X27" s="22"/>
      <c r="Z27" s="22" t="e">
        <f t="shared" si="4"/>
        <v>#DIV/0!</v>
      </c>
    </row>
    <row r="28" spans="1:26" ht="17.25" x14ac:dyDescent="0.3">
      <c r="A28" s="403"/>
      <c r="B28" s="514" t="s">
        <v>240</v>
      </c>
      <c r="C28" s="515"/>
      <c r="D28" s="515"/>
      <c r="E28" s="515"/>
      <c r="F28" s="515"/>
      <c r="G28" s="516"/>
      <c r="H28" s="412"/>
      <c r="I28" s="409"/>
      <c r="J28" s="410"/>
      <c r="K28" s="397" t="s">
        <v>88</v>
      </c>
      <c r="L28" s="398">
        <v>12200000</v>
      </c>
      <c r="M28" s="398">
        <v>0</v>
      </c>
      <c r="N28" s="398">
        <f>L28-M28</f>
        <v>12200000</v>
      </c>
      <c r="O28" s="398"/>
      <c r="P28" s="398"/>
      <c r="Q28" s="398">
        <f>Q30+Q32+Q34</f>
        <v>230000</v>
      </c>
      <c r="R28" s="398">
        <v>8922000</v>
      </c>
      <c r="S28" s="398">
        <f t="shared" ref="S28" si="9">Q28+R28</f>
        <v>9152000</v>
      </c>
      <c r="T28" s="400">
        <f>S28/N28*100</f>
        <v>75.016393442622956</v>
      </c>
      <c r="U28" s="398">
        <f t="shared" si="5"/>
        <v>3048000</v>
      </c>
      <c r="V28" s="42">
        <f t="shared" si="2"/>
        <v>1524000</v>
      </c>
      <c r="W28" s="22">
        <f t="shared" si="0"/>
        <v>1.8852459016393444</v>
      </c>
      <c r="X28" s="22">
        <f>Q28/N28*100</f>
        <v>1.8852459016393444</v>
      </c>
      <c r="Z28" s="65">
        <f t="shared" si="4"/>
        <v>1.8852459016393444</v>
      </c>
    </row>
    <row r="29" spans="1:26" ht="17.25" x14ac:dyDescent="0.3">
      <c r="A29" s="232"/>
      <c r="B29" s="455"/>
      <c r="C29" s="456"/>
      <c r="D29" s="456"/>
      <c r="E29" s="456"/>
      <c r="F29" s="456"/>
      <c r="G29" s="457"/>
      <c r="H29" s="318"/>
      <c r="I29" s="319"/>
      <c r="J29" s="312"/>
      <c r="K29" s="361"/>
      <c r="L29" s="43"/>
      <c r="M29" s="43"/>
      <c r="N29" s="43"/>
      <c r="O29" s="43"/>
      <c r="P29" s="43"/>
      <c r="Q29" s="43"/>
      <c r="R29" s="43"/>
      <c r="S29" s="43"/>
      <c r="T29" s="327"/>
      <c r="U29" s="43"/>
      <c r="V29" s="42"/>
      <c r="W29" s="22"/>
      <c r="X29" s="22"/>
      <c r="Z29" s="65"/>
    </row>
    <row r="30" spans="1:26" ht="17.25" x14ac:dyDescent="0.3">
      <c r="A30" s="232"/>
      <c r="B30" s="455"/>
      <c r="C30" s="456"/>
      <c r="D30" s="456"/>
      <c r="E30" s="456"/>
      <c r="F30" s="456"/>
      <c r="G30" s="457"/>
      <c r="H30" s="318"/>
      <c r="I30" s="319"/>
      <c r="J30" s="312"/>
      <c r="K30" s="361" t="s">
        <v>294</v>
      </c>
      <c r="L30" s="43">
        <v>6000000</v>
      </c>
      <c r="M30" s="43"/>
      <c r="N30" s="43">
        <v>6000000</v>
      </c>
      <c r="O30" s="43"/>
      <c r="P30" s="43"/>
      <c r="Q30" s="43">
        <v>0</v>
      </c>
      <c r="R30" s="43">
        <v>6000000</v>
      </c>
      <c r="S30" s="43">
        <f t="shared" ref="S30" si="10">Q30+R30</f>
        <v>6000000</v>
      </c>
      <c r="T30" s="327">
        <f>S30/N30*100</f>
        <v>100</v>
      </c>
      <c r="U30" s="43">
        <f t="shared" si="5"/>
        <v>0</v>
      </c>
      <c r="V30" s="42"/>
      <c r="W30" s="22"/>
      <c r="X30" s="22"/>
      <c r="Z30" s="65"/>
    </row>
    <row r="31" spans="1:26" ht="17.25" x14ac:dyDescent="0.3">
      <c r="A31" s="232"/>
      <c r="B31" s="455"/>
      <c r="C31" s="456"/>
      <c r="D31" s="456"/>
      <c r="E31" s="456"/>
      <c r="F31" s="456"/>
      <c r="G31" s="457"/>
      <c r="H31" s="318"/>
      <c r="I31" s="319"/>
      <c r="J31" s="312"/>
      <c r="K31" s="361"/>
      <c r="L31" s="43"/>
      <c r="M31" s="43"/>
      <c r="N31" s="43"/>
      <c r="O31" s="43"/>
      <c r="P31" s="43"/>
      <c r="Q31" s="43"/>
      <c r="R31" s="43"/>
      <c r="S31" s="43"/>
      <c r="T31" s="327"/>
      <c r="U31" s="43"/>
      <c r="V31" s="42"/>
      <c r="W31" s="22"/>
      <c r="X31" s="22"/>
      <c r="Z31" s="65"/>
    </row>
    <row r="32" spans="1:26" ht="17.25" x14ac:dyDescent="0.3">
      <c r="A32" s="232"/>
      <c r="B32" s="455"/>
      <c r="C32" s="456"/>
      <c r="D32" s="456"/>
      <c r="E32" s="456"/>
      <c r="F32" s="456"/>
      <c r="G32" s="457"/>
      <c r="H32" s="318"/>
      <c r="I32" s="319"/>
      <c r="J32" s="312"/>
      <c r="K32" s="361" t="s">
        <v>295</v>
      </c>
      <c r="L32" s="43">
        <v>3200000</v>
      </c>
      <c r="M32" s="43"/>
      <c r="N32" s="43">
        <v>3200000</v>
      </c>
      <c r="O32" s="43"/>
      <c r="P32" s="43"/>
      <c r="Q32" s="43">
        <v>230000</v>
      </c>
      <c r="R32" s="43">
        <v>1250000</v>
      </c>
      <c r="S32" s="43">
        <f t="shared" ref="S32" si="11">Q32+R32</f>
        <v>1480000</v>
      </c>
      <c r="T32" s="327">
        <f>S32/N32*100</f>
        <v>46.25</v>
      </c>
      <c r="U32" s="43">
        <f t="shared" si="5"/>
        <v>1720000</v>
      </c>
      <c r="V32" s="42"/>
      <c r="W32" s="22"/>
      <c r="X32" s="22"/>
      <c r="Z32" s="65"/>
    </row>
    <row r="33" spans="1:26" ht="17.25" x14ac:dyDescent="0.3">
      <c r="A33" s="232"/>
      <c r="B33" s="455"/>
      <c r="C33" s="456"/>
      <c r="D33" s="456"/>
      <c r="E33" s="456"/>
      <c r="F33" s="456"/>
      <c r="G33" s="457"/>
      <c r="H33" s="318"/>
      <c r="I33" s="319"/>
      <c r="J33" s="312"/>
      <c r="K33" s="361"/>
      <c r="L33" s="43"/>
      <c r="M33" s="43"/>
      <c r="N33" s="43"/>
      <c r="O33" s="43"/>
      <c r="P33" s="43"/>
      <c r="Q33" s="43"/>
      <c r="R33" s="43"/>
      <c r="S33" s="43"/>
      <c r="T33" s="327"/>
      <c r="U33" s="43"/>
      <c r="V33" s="42"/>
      <c r="W33" s="22"/>
      <c r="X33" s="22"/>
      <c r="Z33" s="65"/>
    </row>
    <row r="34" spans="1:26" ht="17.25" x14ac:dyDescent="0.3">
      <c r="A34" s="232"/>
      <c r="B34" s="455"/>
      <c r="C34" s="456"/>
      <c r="D34" s="456"/>
      <c r="E34" s="456"/>
      <c r="F34" s="456"/>
      <c r="G34" s="457"/>
      <c r="H34" s="318"/>
      <c r="I34" s="319"/>
      <c r="J34" s="312"/>
      <c r="K34" s="361" t="s">
        <v>296</v>
      </c>
      <c r="L34" s="43">
        <v>3000000</v>
      </c>
      <c r="M34" s="43"/>
      <c r="N34" s="43">
        <v>3000000</v>
      </c>
      <c r="O34" s="43"/>
      <c r="P34" s="43"/>
      <c r="Q34" s="43">
        <v>0</v>
      </c>
      <c r="R34" s="43">
        <v>1672000</v>
      </c>
      <c r="S34" s="43">
        <f t="shared" ref="S34" si="12">Q34+R34</f>
        <v>1672000</v>
      </c>
      <c r="T34" s="327">
        <f>S34/N34*100</f>
        <v>55.733333333333334</v>
      </c>
      <c r="U34" s="43">
        <f t="shared" si="5"/>
        <v>1328000</v>
      </c>
      <c r="V34" s="42"/>
      <c r="W34" s="22"/>
      <c r="X34" s="22"/>
      <c r="Z34" s="65"/>
    </row>
    <row r="35" spans="1:26" x14ac:dyDescent="0.25">
      <c r="A35" s="240"/>
      <c r="B35" s="329"/>
      <c r="C35" s="331"/>
      <c r="D35" s="323"/>
      <c r="E35" s="323"/>
      <c r="F35" s="323"/>
      <c r="G35" s="322"/>
      <c r="H35" s="322"/>
      <c r="I35" s="323"/>
      <c r="J35" s="362"/>
      <c r="K35" s="368"/>
      <c r="L35" s="337"/>
      <c r="M35" s="337"/>
      <c r="N35" s="337"/>
      <c r="O35" s="337"/>
      <c r="P35" s="337"/>
      <c r="Q35" s="363"/>
      <c r="R35" s="364"/>
      <c r="S35" s="364"/>
      <c r="T35" s="327"/>
      <c r="U35" s="43"/>
      <c r="V35" s="42">
        <f t="shared" si="2"/>
        <v>0</v>
      </c>
      <c r="W35" s="22"/>
      <c r="X35" s="22"/>
      <c r="Z35" s="22" t="e">
        <f t="shared" si="4"/>
        <v>#DIV/0!</v>
      </c>
    </row>
    <row r="36" spans="1:26" ht="17.25" x14ac:dyDescent="0.3">
      <c r="A36" s="394"/>
      <c r="B36" s="514" t="s">
        <v>241</v>
      </c>
      <c r="C36" s="515"/>
      <c r="D36" s="515"/>
      <c r="E36" s="515"/>
      <c r="F36" s="516"/>
      <c r="G36" s="401"/>
      <c r="H36" s="401"/>
      <c r="I36" s="395"/>
      <c r="J36" s="396"/>
      <c r="K36" s="397" t="s">
        <v>188</v>
      </c>
      <c r="L36" s="398">
        <v>3600000</v>
      </c>
      <c r="M36" s="398">
        <v>0</v>
      </c>
      <c r="N36" s="398">
        <f t="shared" ref="N36:N106" si="13">L36-M36</f>
        <v>3600000</v>
      </c>
      <c r="O36" s="402"/>
      <c r="P36" s="402"/>
      <c r="Q36" s="399">
        <v>600000</v>
      </c>
      <c r="R36" s="399">
        <v>1500000</v>
      </c>
      <c r="S36" s="399">
        <f>Q36+R36</f>
        <v>2100000</v>
      </c>
      <c r="T36" s="400">
        <f>S36/N36*100</f>
        <v>58.333333333333336</v>
      </c>
      <c r="U36" s="398">
        <f t="shared" si="5"/>
        <v>1500000</v>
      </c>
      <c r="V36" s="42">
        <f t="shared" si="2"/>
        <v>750000</v>
      </c>
      <c r="W36" s="22">
        <f t="shared" si="0"/>
        <v>16.666666666666664</v>
      </c>
      <c r="X36" s="22">
        <f t="shared" si="1"/>
        <v>16.666666666666664</v>
      </c>
      <c r="Z36" s="65">
        <f t="shared" si="4"/>
        <v>16.666666666666664</v>
      </c>
    </row>
    <row r="37" spans="1:26" x14ac:dyDescent="0.25">
      <c r="A37" s="240"/>
      <c r="B37" s="329"/>
      <c r="C37" s="331"/>
      <c r="D37" s="323"/>
      <c r="E37" s="323"/>
      <c r="F37" s="323"/>
      <c r="G37" s="322"/>
      <c r="H37" s="322"/>
      <c r="I37" s="323"/>
      <c r="J37" s="362"/>
      <c r="K37" s="368"/>
      <c r="L37" s="337"/>
      <c r="M37" s="337"/>
      <c r="N37" s="43"/>
      <c r="O37" s="337"/>
      <c r="P37" s="337"/>
      <c r="Q37" s="364"/>
      <c r="R37" s="364"/>
      <c r="S37" s="364"/>
      <c r="T37" s="327"/>
      <c r="U37" s="43"/>
      <c r="V37" s="42">
        <f t="shared" si="2"/>
        <v>0</v>
      </c>
      <c r="W37" s="22"/>
      <c r="X37" s="22"/>
      <c r="Z37" s="22" t="e">
        <f t="shared" si="4"/>
        <v>#DIV/0!</v>
      </c>
    </row>
    <row r="38" spans="1:26" ht="17.25" x14ac:dyDescent="0.3">
      <c r="A38" s="394"/>
      <c r="B38" s="514" t="s">
        <v>242</v>
      </c>
      <c r="C38" s="515"/>
      <c r="D38" s="515"/>
      <c r="E38" s="515"/>
      <c r="F38" s="516"/>
      <c r="G38" s="401"/>
      <c r="H38" s="401"/>
      <c r="I38" s="395"/>
      <c r="J38" s="396"/>
      <c r="K38" s="397" t="s">
        <v>189</v>
      </c>
      <c r="L38" s="398">
        <v>50388000</v>
      </c>
      <c r="M38" s="398">
        <v>0</v>
      </c>
      <c r="N38" s="398">
        <f t="shared" si="13"/>
        <v>50388000</v>
      </c>
      <c r="O38" s="402"/>
      <c r="P38" s="402"/>
      <c r="Q38" s="399">
        <v>6522000</v>
      </c>
      <c r="R38" s="399">
        <v>30255004</v>
      </c>
      <c r="S38" s="399">
        <f>Q38+R38</f>
        <v>36777004</v>
      </c>
      <c r="T38" s="400">
        <f>S38/N38*100</f>
        <v>72.987624037469232</v>
      </c>
      <c r="U38" s="398">
        <f t="shared" ref="U38:U112" si="14">N38-S38</f>
        <v>13610996</v>
      </c>
      <c r="V38" s="42">
        <f t="shared" si="2"/>
        <v>6805498</v>
      </c>
      <c r="W38" s="22">
        <f t="shared" ref="W38:W106" si="15">Q38/N38*100</f>
        <v>12.943557989997617</v>
      </c>
      <c r="X38" s="22">
        <f t="shared" si="1"/>
        <v>12.943557989997617</v>
      </c>
      <c r="Z38" s="65">
        <f t="shared" si="4"/>
        <v>12.943557989997617</v>
      </c>
    </row>
    <row r="39" spans="1:26" x14ac:dyDescent="0.25">
      <c r="A39" s="240"/>
      <c r="B39" s="329"/>
      <c r="C39" s="331"/>
      <c r="D39" s="323"/>
      <c r="E39" s="323"/>
      <c r="F39" s="323"/>
      <c r="G39" s="322"/>
      <c r="H39" s="322"/>
      <c r="I39" s="323"/>
      <c r="J39" s="362"/>
      <c r="K39" s="368"/>
      <c r="L39" s="337"/>
      <c r="M39" s="337"/>
      <c r="N39" s="337"/>
      <c r="O39" s="337"/>
      <c r="P39" s="337"/>
      <c r="Q39" s="363"/>
      <c r="R39" s="364"/>
      <c r="S39" s="364"/>
      <c r="T39" s="327"/>
      <c r="U39" s="43"/>
      <c r="V39" s="42">
        <f t="shared" si="2"/>
        <v>0</v>
      </c>
      <c r="W39" s="22"/>
      <c r="X39" s="22"/>
      <c r="Z39" s="22" t="e">
        <f t="shared" si="4"/>
        <v>#DIV/0!</v>
      </c>
    </row>
    <row r="40" spans="1:26" ht="17.25" x14ac:dyDescent="0.3">
      <c r="A40" s="394"/>
      <c r="B40" s="514" t="s">
        <v>243</v>
      </c>
      <c r="C40" s="515"/>
      <c r="D40" s="515"/>
      <c r="E40" s="515"/>
      <c r="F40" s="516"/>
      <c r="G40" s="401"/>
      <c r="H40" s="401"/>
      <c r="I40" s="395"/>
      <c r="J40" s="396"/>
      <c r="K40" s="397" t="s">
        <v>190</v>
      </c>
      <c r="L40" s="398">
        <f>L44+L42</f>
        <v>33005000</v>
      </c>
      <c r="M40" s="398">
        <v>0</v>
      </c>
      <c r="N40" s="398">
        <f t="shared" si="13"/>
        <v>33005000</v>
      </c>
      <c r="O40" s="402"/>
      <c r="P40" s="402"/>
      <c r="Q40" s="398">
        <f>Q42+Q44</f>
        <v>2523000</v>
      </c>
      <c r="R40" s="399">
        <v>17937250</v>
      </c>
      <c r="S40" s="399">
        <f>Q40+R40</f>
        <v>20460250</v>
      </c>
      <c r="T40" s="400">
        <f>S40/N40*100</f>
        <v>61.991364944705353</v>
      </c>
      <c r="U40" s="398">
        <f t="shared" si="14"/>
        <v>12544750</v>
      </c>
      <c r="V40" s="42">
        <f t="shared" si="2"/>
        <v>6272375</v>
      </c>
      <c r="W40" s="22"/>
      <c r="X40" s="22">
        <f t="shared" si="1"/>
        <v>7.6442963187395847</v>
      </c>
      <c r="Z40" s="22">
        <f t="shared" si="4"/>
        <v>7.6442963187395847</v>
      </c>
    </row>
    <row r="41" spans="1:26" x14ac:dyDescent="0.25">
      <c r="A41" s="240"/>
      <c r="B41" s="329"/>
      <c r="C41" s="331"/>
      <c r="D41" s="323"/>
      <c r="E41" s="323"/>
      <c r="F41" s="323"/>
      <c r="G41" s="322"/>
      <c r="H41" s="322"/>
      <c r="I41" s="323"/>
      <c r="J41" s="362"/>
      <c r="K41" s="433"/>
      <c r="L41" s="337"/>
      <c r="M41" s="337"/>
      <c r="N41" s="337"/>
      <c r="O41" s="337"/>
      <c r="P41" s="337"/>
      <c r="Q41" s="363"/>
      <c r="R41" s="364"/>
      <c r="S41" s="364"/>
      <c r="T41" s="327"/>
      <c r="U41" s="43"/>
      <c r="V41" s="42">
        <f t="shared" si="2"/>
        <v>0</v>
      </c>
      <c r="W41" s="22"/>
      <c r="X41" s="22"/>
      <c r="Z41" s="22" t="e">
        <f t="shared" si="4"/>
        <v>#DIV/0!</v>
      </c>
    </row>
    <row r="42" spans="1:26" x14ac:dyDescent="0.25">
      <c r="A42" s="240"/>
      <c r="B42" s="329"/>
      <c r="C42" s="331"/>
      <c r="D42" s="323"/>
      <c r="E42" s="323"/>
      <c r="F42" s="323"/>
      <c r="G42" s="322"/>
      <c r="H42" s="322"/>
      <c r="I42" s="323"/>
      <c r="J42" s="430"/>
      <c r="K42" s="434" t="s">
        <v>191</v>
      </c>
      <c r="L42" s="431">
        <v>15750000</v>
      </c>
      <c r="M42" s="337">
        <v>0</v>
      </c>
      <c r="N42" s="43">
        <f t="shared" si="13"/>
        <v>15750000</v>
      </c>
      <c r="O42" s="337"/>
      <c r="P42" s="337"/>
      <c r="Q42" s="363">
        <v>954000</v>
      </c>
      <c r="R42" s="364">
        <v>9220000</v>
      </c>
      <c r="S42" s="364">
        <f>Q42+R42</f>
        <v>10174000</v>
      </c>
      <c r="T42" s="327">
        <f>S42/N42*100</f>
        <v>64.596825396825395</v>
      </c>
      <c r="U42" s="43">
        <f t="shared" si="14"/>
        <v>5576000</v>
      </c>
      <c r="V42" s="42"/>
      <c r="W42" s="22"/>
      <c r="X42" s="22">
        <f t="shared" si="1"/>
        <v>6.0571428571428578</v>
      </c>
      <c r="Z42" s="22"/>
    </row>
    <row r="43" spans="1:26" x14ac:dyDescent="0.25">
      <c r="A43" s="240"/>
      <c r="B43" s="329"/>
      <c r="C43" s="331"/>
      <c r="D43" s="323"/>
      <c r="E43" s="323"/>
      <c r="F43" s="323"/>
      <c r="G43" s="322"/>
      <c r="H43" s="322"/>
      <c r="I43" s="323"/>
      <c r="J43" s="430"/>
      <c r="K43" s="435"/>
      <c r="L43" s="431"/>
      <c r="M43" s="337"/>
      <c r="N43" s="337"/>
      <c r="O43" s="337"/>
      <c r="P43" s="337"/>
      <c r="Q43" s="363"/>
      <c r="R43" s="364"/>
      <c r="S43" s="364"/>
      <c r="T43" s="327"/>
      <c r="U43" s="43"/>
      <c r="V43" s="42"/>
      <c r="W43" s="22"/>
      <c r="X43" s="22"/>
      <c r="Z43" s="22"/>
    </row>
    <row r="44" spans="1:26" x14ac:dyDescent="0.25">
      <c r="A44" s="240"/>
      <c r="B44" s="329"/>
      <c r="C44" s="331"/>
      <c r="D44" s="323"/>
      <c r="E44" s="323"/>
      <c r="F44" s="323"/>
      <c r="G44" s="322"/>
      <c r="H44" s="322"/>
      <c r="I44" s="323"/>
      <c r="J44" s="430"/>
      <c r="K44" s="434" t="s">
        <v>192</v>
      </c>
      <c r="L44" s="432">
        <v>17255000</v>
      </c>
      <c r="M44" s="43">
        <v>0</v>
      </c>
      <c r="N44" s="43">
        <f t="shared" si="13"/>
        <v>17255000</v>
      </c>
      <c r="O44" s="337"/>
      <c r="P44" s="337"/>
      <c r="Q44" s="363">
        <v>1569000</v>
      </c>
      <c r="R44" s="364">
        <v>8717250</v>
      </c>
      <c r="S44" s="364">
        <f>Q44+R44</f>
        <v>10286250</v>
      </c>
      <c r="T44" s="327">
        <f>S44/N44*100</f>
        <v>59.613155607070411</v>
      </c>
      <c r="U44" s="43">
        <f t="shared" si="14"/>
        <v>6968750</v>
      </c>
      <c r="V44" s="42">
        <f t="shared" si="2"/>
        <v>3484375</v>
      </c>
      <c r="W44" s="22"/>
      <c r="X44" s="22">
        <f t="shared" si="1"/>
        <v>9.0930165169516091</v>
      </c>
      <c r="Z44" s="22">
        <f t="shared" si="4"/>
        <v>9.0930165169516091</v>
      </c>
    </row>
    <row r="45" spans="1:26" x14ac:dyDescent="0.25">
      <c r="A45" s="240"/>
      <c r="B45" s="329"/>
      <c r="C45" s="331"/>
      <c r="D45" s="323"/>
      <c r="E45" s="323"/>
      <c r="F45" s="323"/>
      <c r="G45" s="322"/>
      <c r="H45" s="322"/>
      <c r="I45" s="323"/>
      <c r="J45" s="430"/>
      <c r="K45" s="435"/>
      <c r="L45" s="431"/>
      <c r="M45" s="337"/>
      <c r="N45" s="337"/>
      <c r="O45" s="337"/>
      <c r="P45" s="337"/>
      <c r="Q45" s="363"/>
      <c r="R45" s="364"/>
      <c r="S45" s="364"/>
      <c r="T45" s="327"/>
      <c r="U45" s="43"/>
      <c r="V45" s="42">
        <f t="shared" si="2"/>
        <v>0</v>
      </c>
      <c r="W45" s="22"/>
      <c r="X45" s="22"/>
      <c r="Z45" s="22" t="e">
        <f t="shared" si="4"/>
        <v>#DIV/0!</v>
      </c>
    </row>
    <row r="46" spans="1:26" ht="17.25" x14ac:dyDescent="0.3">
      <c r="A46" s="394"/>
      <c r="B46" s="514" t="s">
        <v>244</v>
      </c>
      <c r="C46" s="515"/>
      <c r="D46" s="515"/>
      <c r="E46" s="515"/>
      <c r="F46" s="516"/>
      <c r="G46" s="413"/>
      <c r="H46" s="413"/>
      <c r="I46" s="414"/>
      <c r="J46" s="415"/>
      <c r="K46" s="397" t="s">
        <v>193</v>
      </c>
      <c r="L46" s="398">
        <v>136360000</v>
      </c>
      <c r="M46" s="398">
        <v>0</v>
      </c>
      <c r="N46" s="398">
        <f t="shared" si="13"/>
        <v>136360000</v>
      </c>
      <c r="O46" s="402"/>
      <c r="P46" s="402"/>
      <c r="Q46" s="399">
        <v>12467000</v>
      </c>
      <c r="R46" s="399">
        <v>82278220</v>
      </c>
      <c r="S46" s="399">
        <f>Q46+R46</f>
        <v>94745220</v>
      </c>
      <c r="T46" s="400">
        <f>S46/N46*100</f>
        <v>69.48168084482252</v>
      </c>
      <c r="U46" s="398">
        <f t="shared" si="14"/>
        <v>41614780</v>
      </c>
      <c r="V46" s="42">
        <f t="shared" si="2"/>
        <v>20807390</v>
      </c>
      <c r="W46" s="22">
        <f t="shared" si="15"/>
        <v>9.142710472279262</v>
      </c>
      <c r="X46" s="22">
        <f t="shared" si="1"/>
        <v>9.142710472279262</v>
      </c>
      <c r="Z46" s="65">
        <f t="shared" si="4"/>
        <v>9.142710472279262</v>
      </c>
    </row>
    <row r="47" spans="1:26" x14ac:dyDescent="0.25">
      <c r="A47" s="240"/>
      <c r="B47" s="329"/>
      <c r="C47" s="331"/>
      <c r="D47" s="323"/>
      <c r="E47" s="323"/>
      <c r="F47" s="323"/>
      <c r="G47" s="322"/>
      <c r="H47" s="322"/>
      <c r="I47" s="323"/>
      <c r="J47" s="362"/>
      <c r="K47" s="368"/>
      <c r="L47" s="337"/>
      <c r="M47" s="337"/>
      <c r="N47" s="337"/>
      <c r="O47" s="337"/>
      <c r="P47" s="337"/>
      <c r="Q47" s="363"/>
      <c r="R47" s="364"/>
      <c r="S47" s="364"/>
      <c r="T47" s="327"/>
      <c r="U47" s="43"/>
      <c r="V47" s="42">
        <f t="shared" si="2"/>
        <v>0</v>
      </c>
      <c r="W47" s="22"/>
      <c r="X47" s="22"/>
      <c r="Z47" s="22" t="e">
        <f t="shared" si="4"/>
        <v>#DIV/0!</v>
      </c>
    </row>
    <row r="48" spans="1:26" ht="17.25" x14ac:dyDescent="0.3">
      <c r="A48" s="394"/>
      <c r="B48" s="514" t="s">
        <v>245</v>
      </c>
      <c r="C48" s="515"/>
      <c r="D48" s="515"/>
      <c r="E48" s="515"/>
      <c r="F48" s="516"/>
      <c r="G48" s="413"/>
      <c r="H48" s="413"/>
      <c r="I48" s="414"/>
      <c r="J48" s="415"/>
      <c r="K48" s="397" t="s">
        <v>194</v>
      </c>
      <c r="L48" s="398">
        <v>1980000</v>
      </c>
      <c r="M48" s="398">
        <v>0</v>
      </c>
      <c r="N48" s="398">
        <f t="shared" si="13"/>
        <v>1980000</v>
      </c>
      <c r="O48" s="402"/>
      <c r="P48" s="402"/>
      <c r="Q48" s="399">
        <v>0</v>
      </c>
      <c r="R48" s="399">
        <v>1980000</v>
      </c>
      <c r="S48" s="399">
        <f>Q48+R48</f>
        <v>1980000</v>
      </c>
      <c r="T48" s="400">
        <f>S48/N48*100</f>
        <v>100</v>
      </c>
      <c r="U48" s="398">
        <f t="shared" si="14"/>
        <v>0</v>
      </c>
      <c r="V48" s="42">
        <f t="shared" si="2"/>
        <v>0</v>
      </c>
      <c r="W48" s="22">
        <f t="shared" si="15"/>
        <v>0</v>
      </c>
      <c r="X48" s="22">
        <f t="shared" si="1"/>
        <v>0</v>
      </c>
      <c r="Z48" s="65">
        <f t="shared" si="4"/>
        <v>0</v>
      </c>
    </row>
    <row r="49" spans="1:26" x14ac:dyDescent="0.25">
      <c r="A49" s="240"/>
      <c r="B49" s="329"/>
      <c r="C49" s="331"/>
      <c r="D49" s="323"/>
      <c r="E49" s="323"/>
      <c r="F49" s="323"/>
      <c r="G49" s="322"/>
      <c r="H49" s="322"/>
      <c r="I49" s="323"/>
      <c r="J49" s="362"/>
      <c r="K49" s="368"/>
      <c r="L49" s="337"/>
      <c r="M49" s="337"/>
      <c r="N49" s="337"/>
      <c r="O49" s="337"/>
      <c r="P49" s="337"/>
      <c r="Q49" s="363"/>
      <c r="R49" s="364"/>
      <c r="S49" s="364"/>
      <c r="T49" s="327"/>
      <c r="U49" s="43"/>
      <c r="V49" s="42">
        <f t="shared" si="2"/>
        <v>0</v>
      </c>
      <c r="W49" s="22"/>
      <c r="X49" s="22"/>
      <c r="Z49" s="22" t="e">
        <f t="shared" si="4"/>
        <v>#DIV/0!</v>
      </c>
    </row>
    <row r="50" spans="1:26" ht="17.25" x14ac:dyDescent="0.3">
      <c r="A50" s="394"/>
      <c r="B50" s="514" t="s">
        <v>246</v>
      </c>
      <c r="C50" s="515"/>
      <c r="D50" s="515"/>
      <c r="E50" s="515"/>
      <c r="F50" s="516"/>
      <c r="G50" s="413"/>
      <c r="H50" s="413"/>
      <c r="I50" s="414"/>
      <c r="J50" s="415"/>
      <c r="K50" s="397" t="s">
        <v>195</v>
      </c>
      <c r="L50" s="398">
        <v>1700000</v>
      </c>
      <c r="M50" s="398">
        <v>0</v>
      </c>
      <c r="N50" s="398">
        <f t="shared" si="13"/>
        <v>1700000</v>
      </c>
      <c r="O50" s="402"/>
      <c r="P50" s="402"/>
      <c r="Q50" s="399">
        <v>0</v>
      </c>
      <c r="R50" s="399">
        <v>1000000</v>
      </c>
      <c r="S50" s="399">
        <f>Q50+R50</f>
        <v>1000000</v>
      </c>
      <c r="T50" s="400">
        <f>S50/N50*100</f>
        <v>58.82352941176471</v>
      </c>
      <c r="U50" s="398">
        <f t="shared" si="14"/>
        <v>700000</v>
      </c>
      <c r="V50" s="42">
        <f t="shared" si="2"/>
        <v>350000</v>
      </c>
      <c r="W50" s="22">
        <f t="shared" si="15"/>
        <v>0</v>
      </c>
      <c r="X50" s="22">
        <f t="shared" si="1"/>
        <v>0</v>
      </c>
      <c r="Z50" s="65">
        <f t="shared" si="4"/>
        <v>0</v>
      </c>
    </row>
    <row r="51" spans="1:26" x14ac:dyDescent="0.25">
      <c r="A51" s="240"/>
      <c r="B51" s="329"/>
      <c r="C51" s="331"/>
      <c r="D51" s="323"/>
      <c r="E51" s="323"/>
      <c r="F51" s="323"/>
      <c r="G51" s="322"/>
      <c r="H51" s="322"/>
      <c r="I51" s="323"/>
      <c r="J51" s="362"/>
      <c r="K51" s="368"/>
      <c r="L51" s="337"/>
      <c r="M51" s="337"/>
      <c r="N51" s="337"/>
      <c r="O51" s="337"/>
      <c r="P51" s="337"/>
      <c r="Q51" s="363"/>
      <c r="R51" s="364"/>
      <c r="S51" s="364"/>
      <c r="T51" s="327"/>
      <c r="U51" s="43"/>
      <c r="V51" s="42">
        <f t="shared" si="2"/>
        <v>0</v>
      </c>
      <c r="W51" s="22"/>
      <c r="X51" s="22"/>
      <c r="Z51" s="22" t="e">
        <f t="shared" si="4"/>
        <v>#DIV/0!</v>
      </c>
    </row>
    <row r="52" spans="1:26" ht="17.25" x14ac:dyDescent="0.3">
      <c r="A52" s="394"/>
      <c r="B52" s="514" t="s">
        <v>246</v>
      </c>
      <c r="C52" s="515"/>
      <c r="D52" s="515"/>
      <c r="E52" s="515"/>
      <c r="F52" s="516"/>
      <c r="G52" s="416"/>
      <c r="H52" s="416"/>
      <c r="I52" s="416"/>
      <c r="J52" s="417"/>
      <c r="K52" s="397" t="s">
        <v>196</v>
      </c>
      <c r="L52" s="418">
        <f>L54+L56+L58</f>
        <v>231900000</v>
      </c>
      <c r="M52" s="418">
        <f>M54+M56+M58</f>
        <v>0</v>
      </c>
      <c r="N52" s="398">
        <f t="shared" si="13"/>
        <v>231900000</v>
      </c>
      <c r="O52" s="402"/>
      <c r="P52" s="402"/>
      <c r="Q52" s="399">
        <f>Q54+Q56+Q58</f>
        <v>17733377</v>
      </c>
      <c r="R52" s="399">
        <v>104961501</v>
      </c>
      <c r="S52" s="399">
        <f>Q52+R52</f>
        <v>122694878</v>
      </c>
      <c r="T52" s="400">
        <f>S52/N52*100</f>
        <v>52.908528676153509</v>
      </c>
      <c r="U52" s="398">
        <f t="shared" si="14"/>
        <v>109205122</v>
      </c>
      <c r="V52" s="42">
        <f t="shared" si="2"/>
        <v>54602561</v>
      </c>
      <c r="W52" s="22">
        <f t="shared" si="15"/>
        <v>7.6469931004743419</v>
      </c>
      <c r="X52" s="22">
        <f t="shared" si="1"/>
        <v>7.6469931004743419</v>
      </c>
      <c r="Z52" s="22">
        <f t="shared" si="4"/>
        <v>7.6469931004743419</v>
      </c>
    </row>
    <row r="53" spans="1:26" x14ac:dyDescent="0.25">
      <c r="A53" s="240"/>
      <c r="B53" s="329"/>
      <c r="C53" s="331"/>
      <c r="D53" s="323"/>
      <c r="E53" s="323"/>
      <c r="F53" s="323"/>
      <c r="G53" s="322"/>
      <c r="H53" s="322"/>
      <c r="I53" s="323"/>
      <c r="J53" s="362"/>
      <c r="K53" s="433"/>
      <c r="L53" s="337"/>
      <c r="M53" s="337"/>
      <c r="N53" s="337"/>
      <c r="O53" s="337"/>
      <c r="P53" s="337"/>
      <c r="Q53" s="363"/>
      <c r="R53" s="364"/>
      <c r="S53" s="364"/>
      <c r="T53" s="327"/>
      <c r="U53" s="43"/>
      <c r="V53" s="42">
        <f t="shared" si="2"/>
        <v>0</v>
      </c>
      <c r="W53" s="22"/>
      <c r="X53" s="22"/>
      <c r="Z53" s="22" t="e">
        <f t="shared" si="4"/>
        <v>#DIV/0!</v>
      </c>
    </row>
    <row r="54" spans="1:26" x14ac:dyDescent="0.25">
      <c r="A54" s="240"/>
      <c r="B54" s="329"/>
      <c r="C54" s="331"/>
      <c r="D54" s="323"/>
      <c r="E54" s="323"/>
      <c r="F54" s="323"/>
      <c r="G54" s="322"/>
      <c r="H54" s="322"/>
      <c r="I54" s="323"/>
      <c r="J54" s="430"/>
      <c r="K54" s="435" t="s">
        <v>197</v>
      </c>
      <c r="L54" s="431">
        <v>27000000</v>
      </c>
      <c r="M54" s="337">
        <v>0</v>
      </c>
      <c r="N54" s="43">
        <f t="shared" si="13"/>
        <v>27000000</v>
      </c>
      <c r="O54" s="337"/>
      <c r="P54" s="337"/>
      <c r="Q54" s="363">
        <v>1890860</v>
      </c>
      <c r="R54" s="364">
        <v>10565233</v>
      </c>
      <c r="S54" s="364">
        <f>Q54+R54</f>
        <v>12456093</v>
      </c>
      <c r="T54" s="327">
        <f>S54/N54*100</f>
        <v>46.133677777777777</v>
      </c>
      <c r="U54" s="43">
        <f t="shared" si="14"/>
        <v>14543907</v>
      </c>
      <c r="V54" s="42"/>
      <c r="W54" s="22"/>
      <c r="X54" s="22">
        <f t="shared" si="1"/>
        <v>7.0031851851851847</v>
      </c>
      <c r="Z54" s="22"/>
    </row>
    <row r="55" spans="1:26" x14ac:dyDescent="0.25">
      <c r="A55" s="240"/>
      <c r="B55" s="329"/>
      <c r="C55" s="331"/>
      <c r="D55" s="323"/>
      <c r="E55" s="323"/>
      <c r="F55" s="323"/>
      <c r="G55" s="322"/>
      <c r="H55" s="322"/>
      <c r="I55" s="323"/>
      <c r="J55" s="430"/>
      <c r="K55" s="435"/>
      <c r="L55" s="431"/>
      <c r="M55" s="337"/>
      <c r="N55" s="337"/>
      <c r="O55" s="337"/>
      <c r="P55" s="337"/>
      <c r="Q55" s="363"/>
      <c r="R55" s="364"/>
      <c r="S55" s="364"/>
      <c r="T55" s="327"/>
      <c r="U55" s="43"/>
      <c r="V55" s="42"/>
      <c r="W55" s="22"/>
      <c r="X55" s="22"/>
      <c r="Z55" s="22"/>
    </row>
    <row r="56" spans="1:26" x14ac:dyDescent="0.25">
      <c r="A56" s="240"/>
      <c r="B56" s="329"/>
      <c r="C56" s="331"/>
      <c r="D56" s="323"/>
      <c r="E56" s="323"/>
      <c r="F56" s="323"/>
      <c r="G56" s="322"/>
      <c r="H56" s="322"/>
      <c r="I56" s="323"/>
      <c r="J56" s="430"/>
      <c r="K56" s="435" t="s">
        <v>198</v>
      </c>
      <c r="L56" s="431">
        <v>900000</v>
      </c>
      <c r="M56" s="337">
        <v>0</v>
      </c>
      <c r="N56" s="43">
        <f t="shared" si="13"/>
        <v>900000</v>
      </c>
      <c r="O56" s="337"/>
      <c r="P56" s="337"/>
      <c r="Q56" s="363">
        <v>45950</v>
      </c>
      <c r="R56" s="364">
        <v>275700</v>
      </c>
      <c r="S56" s="364">
        <f>Q56+R56</f>
        <v>321650</v>
      </c>
      <c r="T56" s="327">
        <f>S56/N56*100</f>
        <v>35.738888888888887</v>
      </c>
      <c r="U56" s="43">
        <f t="shared" si="14"/>
        <v>578350</v>
      </c>
      <c r="V56" s="42"/>
      <c r="W56" s="22"/>
      <c r="X56" s="22">
        <f t="shared" si="1"/>
        <v>5.1055555555555552</v>
      </c>
      <c r="Z56" s="22"/>
    </row>
    <row r="57" spans="1:26" x14ac:dyDescent="0.25">
      <c r="A57" s="240"/>
      <c r="B57" s="329"/>
      <c r="C57" s="331"/>
      <c r="D57" s="323"/>
      <c r="E57" s="323"/>
      <c r="F57" s="323"/>
      <c r="G57" s="322"/>
      <c r="H57" s="322"/>
      <c r="I57" s="323"/>
      <c r="J57" s="430"/>
      <c r="K57" s="435"/>
      <c r="L57" s="431"/>
      <c r="M57" s="337"/>
      <c r="N57" s="337"/>
      <c r="O57" s="337"/>
      <c r="P57" s="337"/>
      <c r="Q57" s="363"/>
      <c r="R57" s="364"/>
      <c r="S57" s="364"/>
      <c r="T57" s="327"/>
      <c r="U57" s="43"/>
      <c r="V57" s="42"/>
      <c r="W57" s="22"/>
      <c r="X57" s="22"/>
      <c r="Z57" s="22"/>
    </row>
    <row r="58" spans="1:26" x14ac:dyDescent="0.25">
      <c r="A58" s="240"/>
      <c r="B58" s="329"/>
      <c r="C58" s="331"/>
      <c r="D58" s="323"/>
      <c r="E58" s="323"/>
      <c r="F58" s="323"/>
      <c r="G58" s="322"/>
      <c r="H58" s="322"/>
      <c r="I58" s="323"/>
      <c r="J58" s="430"/>
      <c r="K58" s="434" t="s">
        <v>199</v>
      </c>
      <c r="L58" s="432">
        <v>204000000</v>
      </c>
      <c r="M58" s="43">
        <v>0</v>
      </c>
      <c r="N58" s="43">
        <v>204000000</v>
      </c>
      <c r="O58" s="337"/>
      <c r="P58" s="337"/>
      <c r="Q58" s="226">
        <v>15796567</v>
      </c>
      <c r="R58" s="364">
        <v>94120568</v>
      </c>
      <c r="S58" s="364">
        <f>Q58+R58</f>
        <v>109917135</v>
      </c>
      <c r="T58" s="327">
        <f>S58/N58*100</f>
        <v>53.880948529411768</v>
      </c>
      <c r="U58" s="43">
        <f>N58-S58</f>
        <v>94082865</v>
      </c>
      <c r="V58" s="42">
        <f t="shared" si="2"/>
        <v>47041432.5</v>
      </c>
      <c r="W58" s="22">
        <f t="shared" si="15"/>
        <v>7.7434151960784323</v>
      </c>
      <c r="X58" s="22">
        <f t="shared" si="1"/>
        <v>7.7434151960784323</v>
      </c>
      <c r="Z58" s="22">
        <f t="shared" si="4"/>
        <v>7.7434151960784323</v>
      </c>
    </row>
    <row r="59" spans="1:26" x14ac:dyDescent="0.25">
      <c r="A59" s="240"/>
      <c r="B59" s="329"/>
      <c r="C59" s="331"/>
      <c r="D59" s="323"/>
      <c r="E59" s="323"/>
      <c r="F59" s="323"/>
      <c r="G59" s="322"/>
      <c r="H59" s="322"/>
      <c r="I59" s="323"/>
      <c r="J59" s="430"/>
      <c r="K59" s="435"/>
      <c r="L59" s="431"/>
      <c r="M59" s="337"/>
      <c r="N59" s="337"/>
      <c r="O59" s="337"/>
      <c r="P59" s="337"/>
      <c r="Q59" s="363"/>
      <c r="R59" s="364"/>
      <c r="S59" s="364"/>
      <c r="T59" s="327"/>
      <c r="U59" s="43"/>
      <c r="V59" s="42">
        <f t="shared" si="2"/>
        <v>0</v>
      </c>
      <c r="W59" s="22"/>
      <c r="X59" s="22"/>
      <c r="Z59" s="22" t="e">
        <f t="shared" si="4"/>
        <v>#DIV/0!</v>
      </c>
    </row>
    <row r="60" spans="1:26" ht="17.25" x14ac:dyDescent="0.3">
      <c r="A60" s="394"/>
      <c r="B60" s="514" t="s">
        <v>247</v>
      </c>
      <c r="C60" s="515"/>
      <c r="D60" s="515"/>
      <c r="E60" s="515"/>
      <c r="F60" s="516"/>
      <c r="G60" s="416"/>
      <c r="H60" s="416"/>
      <c r="I60" s="416"/>
      <c r="J60" s="417"/>
      <c r="K60" s="397" t="s">
        <v>200</v>
      </c>
      <c r="L60" s="418">
        <f>L62+L64+L66+L68+L70</f>
        <v>727622000</v>
      </c>
      <c r="M60" s="418">
        <f>M62+M64+M66+M68+M70</f>
        <v>0</v>
      </c>
      <c r="N60" s="398">
        <f t="shared" si="13"/>
        <v>727622000</v>
      </c>
      <c r="O60" s="402"/>
      <c r="P60" s="402"/>
      <c r="Q60" s="419">
        <f>Q62+Q64+Q66+Q68+Q70</f>
        <v>54841181</v>
      </c>
      <c r="R60" s="399">
        <v>379611596</v>
      </c>
      <c r="S60" s="399">
        <f>Q60+R60</f>
        <v>434452777</v>
      </c>
      <c r="T60" s="400">
        <f>S60/N60*100</f>
        <v>59.708581791094829</v>
      </c>
      <c r="U60" s="398">
        <f t="shared" si="14"/>
        <v>293169223</v>
      </c>
      <c r="V60" s="42">
        <f t="shared" si="2"/>
        <v>146584611.5</v>
      </c>
      <c r="W60" s="22">
        <f t="shared" si="15"/>
        <v>7.5370427227324077</v>
      </c>
      <c r="X60" s="22">
        <f t="shared" si="1"/>
        <v>7.5370427227324077</v>
      </c>
      <c r="Z60" s="65">
        <f t="shared" si="4"/>
        <v>7.5370427227324077</v>
      </c>
    </row>
    <row r="61" spans="1:26" x14ac:dyDescent="0.25">
      <c r="A61" s="240"/>
      <c r="B61" s="329"/>
      <c r="C61" s="331"/>
      <c r="D61" s="323"/>
      <c r="E61" s="323"/>
      <c r="F61" s="323"/>
      <c r="G61" s="322"/>
      <c r="H61" s="322"/>
      <c r="I61" s="323"/>
      <c r="J61" s="362"/>
      <c r="K61" s="433"/>
      <c r="L61" s="337"/>
      <c r="M61" s="43"/>
      <c r="N61" s="337"/>
      <c r="O61" s="337"/>
      <c r="P61" s="337"/>
      <c r="Q61" s="363"/>
      <c r="R61" s="364"/>
      <c r="S61" s="364"/>
      <c r="T61" s="327"/>
      <c r="U61" s="43"/>
      <c r="V61" s="42">
        <f t="shared" si="2"/>
        <v>0</v>
      </c>
      <c r="W61" s="22"/>
      <c r="X61" s="22"/>
      <c r="Z61" s="22" t="e">
        <f t="shared" si="4"/>
        <v>#DIV/0!</v>
      </c>
    </row>
    <row r="62" spans="1:26" x14ac:dyDescent="0.25">
      <c r="A62" s="240"/>
      <c r="B62" s="329"/>
      <c r="C62" s="331"/>
      <c r="D62" s="323"/>
      <c r="E62" s="323"/>
      <c r="F62" s="323"/>
      <c r="G62" s="322"/>
      <c r="H62" s="322"/>
      <c r="I62" s="323"/>
      <c r="J62" s="430"/>
      <c r="K62" s="434" t="s">
        <v>201</v>
      </c>
      <c r="L62" s="431">
        <v>3300000</v>
      </c>
      <c r="M62" s="43">
        <v>0</v>
      </c>
      <c r="N62" s="43">
        <f t="shared" si="13"/>
        <v>3300000</v>
      </c>
      <c r="O62" s="337"/>
      <c r="P62" s="337"/>
      <c r="Q62" s="363">
        <v>550000</v>
      </c>
      <c r="R62" s="364">
        <v>1100000</v>
      </c>
      <c r="S62" s="364">
        <f>Q62+R62</f>
        <v>1650000</v>
      </c>
      <c r="T62" s="327">
        <f>S62/N62*100</f>
        <v>50</v>
      </c>
      <c r="U62" s="43">
        <f t="shared" si="14"/>
        <v>1650000</v>
      </c>
      <c r="V62" s="42"/>
      <c r="W62" s="22"/>
      <c r="X62" s="22">
        <f t="shared" si="1"/>
        <v>16.666666666666664</v>
      </c>
      <c r="Z62" s="22"/>
    </row>
    <row r="63" spans="1:26" x14ac:dyDescent="0.25">
      <c r="A63" s="240"/>
      <c r="B63" s="329"/>
      <c r="C63" s="331"/>
      <c r="D63" s="323"/>
      <c r="E63" s="323"/>
      <c r="F63" s="323"/>
      <c r="G63" s="322"/>
      <c r="H63" s="322"/>
      <c r="I63" s="323"/>
      <c r="J63" s="430"/>
      <c r="K63" s="434"/>
      <c r="L63" s="431"/>
      <c r="M63" s="43"/>
      <c r="N63" s="337"/>
      <c r="O63" s="337"/>
      <c r="P63" s="337"/>
      <c r="Q63" s="363"/>
      <c r="R63" s="364"/>
      <c r="S63" s="364"/>
      <c r="T63" s="327"/>
      <c r="U63" s="43"/>
      <c r="V63" s="42"/>
      <c r="W63" s="22"/>
      <c r="X63" s="22"/>
      <c r="Z63" s="22"/>
    </row>
    <row r="64" spans="1:26" x14ac:dyDescent="0.25">
      <c r="A64" s="240"/>
      <c r="B64" s="329"/>
      <c r="C64" s="331"/>
      <c r="D64" s="323"/>
      <c r="E64" s="323"/>
      <c r="F64" s="323"/>
      <c r="G64" s="322"/>
      <c r="H64" s="322"/>
      <c r="I64" s="323"/>
      <c r="J64" s="430"/>
      <c r="K64" s="434" t="s">
        <v>202</v>
      </c>
      <c r="L64" s="431">
        <v>314472000</v>
      </c>
      <c r="M64" s="43">
        <v>0</v>
      </c>
      <c r="N64" s="43">
        <f t="shared" si="13"/>
        <v>314472000</v>
      </c>
      <c r="O64" s="337"/>
      <c r="P64" s="337"/>
      <c r="Q64" s="76">
        <v>24018733</v>
      </c>
      <c r="R64" s="364">
        <v>169365073</v>
      </c>
      <c r="S64" s="364">
        <f>Q64+R64</f>
        <v>193383806</v>
      </c>
      <c r="T64" s="327">
        <f>S64/N64*100</f>
        <v>61.494761377801524</v>
      </c>
      <c r="U64" s="43">
        <f t="shared" si="14"/>
        <v>121088194</v>
      </c>
      <c r="V64" s="42"/>
      <c r="W64" s="22"/>
      <c r="X64" s="22">
        <f t="shared" si="1"/>
        <v>7.6377970057747584</v>
      </c>
      <c r="Z64" s="22"/>
    </row>
    <row r="65" spans="1:27" x14ac:dyDescent="0.25">
      <c r="A65" s="240"/>
      <c r="B65" s="329"/>
      <c r="C65" s="331"/>
      <c r="D65" s="323"/>
      <c r="E65" s="323"/>
      <c r="F65" s="323"/>
      <c r="G65" s="322"/>
      <c r="H65" s="322"/>
      <c r="I65" s="323"/>
      <c r="J65" s="430"/>
      <c r="K65" s="434"/>
      <c r="L65" s="431"/>
      <c r="M65" s="43"/>
      <c r="N65" s="337"/>
      <c r="O65" s="337"/>
      <c r="P65" s="337"/>
      <c r="Q65" s="363"/>
      <c r="R65" s="364"/>
      <c r="S65" s="364"/>
      <c r="T65" s="327"/>
      <c r="U65" s="43"/>
      <c r="V65" s="42"/>
      <c r="W65" s="22"/>
      <c r="X65" s="22"/>
      <c r="Z65" s="22"/>
    </row>
    <row r="66" spans="1:27" x14ac:dyDescent="0.25">
      <c r="A66" s="240"/>
      <c r="B66" s="329"/>
      <c r="C66" s="331"/>
      <c r="D66" s="323"/>
      <c r="E66" s="323"/>
      <c r="F66" s="323"/>
      <c r="G66" s="322"/>
      <c r="H66" s="322"/>
      <c r="I66" s="323"/>
      <c r="J66" s="430"/>
      <c r="K66" s="434" t="s">
        <v>203</v>
      </c>
      <c r="L66" s="431">
        <v>357430000</v>
      </c>
      <c r="M66" s="43">
        <v>0</v>
      </c>
      <c r="N66" s="43">
        <f t="shared" si="13"/>
        <v>357430000</v>
      </c>
      <c r="O66" s="337"/>
      <c r="P66" s="337"/>
      <c r="Q66" s="76">
        <v>26309478</v>
      </c>
      <c r="R66" s="364">
        <v>185682480</v>
      </c>
      <c r="S66" s="364">
        <f>Q66+R66</f>
        <v>211991958</v>
      </c>
      <c r="T66" s="327">
        <f>S66/N66*100</f>
        <v>59.310062949388687</v>
      </c>
      <c r="U66" s="43">
        <f t="shared" si="14"/>
        <v>145438042</v>
      </c>
      <c r="V66" s="42"/>
      <c r="W66" s="22"/>
      <c r="X66" s="22">
        <f t="shared" si="1"/>
        <v>7.3607358084100376</v>
      </c>
      <c r="Z66" s="22"/>
    </row>
    <row r="67" spans="1:27" x14ac:dyDescent="0.25">
      <c r="A67" s="240"/>
      <c r="B67" s="329"/>
      <c r="C67" s="331"/>
      <c r="D67" s="323"/>
      <c r="E67" s="323"/>
      <c r="F67" s="323"/>
      <c r="G67" s="322"/>
      <c r="H67" s="322"/>
      <c r="I67" s="323"/>
      <c r="J67" s="430"/>
      <c r="K67" s="434"/>
      <c r="L67" s="431"/>
      <c r="M67" s="43"/>
      <c r="N67" s="337"/>
      <c r="O67" s="337"/>
      <c r="P67" s="337"/>
      <c r="Q67" s="363"/>
      <c r="R67" s="364"/>
      <c r="S67" s="364"/>
      <c r="T67" s="327"/>
      <c r="U67" s="43"/>
      <c r="V67" s="42"/>
      <c r="W67" s="22"/>
      <c r="X67" s="22"/>
      <c r="Z67" s="22"/>
    </row>
    <row r="68" spans="1:27" x14ac:dyDescent="0.25">
      <c r="A68" s="240"/>
      <c r="B68" s="329"/>
      <c r="C68" s="331"/>
      <c r="D68" s="323"/>
      <c r="E68" s="323"/>
      <c r="F68" s="323"/>
      <c r="G68" s="322"/>
      <c r="H68" s="322"/>
      <c r="I68" s="323"/>
      <c r="J68" s="430"/>
      <c r="K68" s="434" t="s">
        <v>204</v>
      </c>
      <c r="L68" s="431">
        <v>10800000</v>
      </c>
      <c r="M68" s="43">
        <v>0</v>
      </c>
      <c r="N68" s="43">
        <f t="shared" si="13"/>
        <v>10800000</v>
      </c>
      <c r="O68" s="337"/>
      <c r="P68" s="337"/>
      <c r="Q68" s="363">
        <v>900000</v>
      </c>
      <c r="R68" s="364">
        <v>5400000</v>
      </c>
      <c r="S68" s="364">
        <f>Q68+R68</f>
        <v>6300000</v>
      </c>
      <c r="T68" s="327">
        <f>S68/N68*100</f>
        <v>58.333333333333336</v>
      </c>
      <c r="U68" s="43">
        <f t="shared" si="14"/>
        <v>4500000</v>
      </c>
      <c r="V68" s="42"/>
      <c r="W68" s="22"/>
      <c r="X68" s="22">
        <f t="shared" si="1"/>
        <v>8.3333333333333321</v>
      </c>
      <c r="Z68" s="22"/>
    </row>
    <row r="69" spans="1:27" x14ac:dyDescent="0.25">
      <c r="A69" s="240"/>
      <c r="B69" s="329"/>
      <c r="C69" s="331"/>
      <c r="D69" s="323"/>
      <c r="E69" s="323"/>
      <c r="F69" s="323"/>
      <c r="G69" s="322"/>
      <c r="H69" s="322"/>
      <c r="I69" s="323"/>
      <c r="J69" s="430"/>
      <c r="K69" s="435"/>
      <c r="L69" s="431"/>
      <c r="M69" s="43"/>
      <c r="N69" s="337"/>
      <c r="O69" s="337"/>
      <c r="P69" s="337"/>
      <c r="Q69" s="363"/>
      <c r="R69" s="364"/>
      <c r="S69" s="364"/>
      <c r="T69" s="327"/>
      <c r="U69" s="43"/>
      <c r="V69" s="42"/>
      <c r="W69" s="22"/>
      <c r="X69" s="22"/>
      <c r="Z69" s="22"/>
    </row>
    <row r="70" spans="1:27" x14ac:dyDescent="0.25">
      <c r="A70" s="240"/>
      <c r="B70" s="329"/>
      <c r="C70" s="331"/>
      <c r="D70" s="323"/>
      <c r="E70" s="323"/>
      <c r="F70" s="323"/>
      <c r="G70" s="322"/>
      <c r="H70" s="322"/>
      <c r="I70" s="323"/>
      <c r="J70" s="430"/>
      <c r="K70" s="434" t="s">
        <v>205</v>
      </c>
      <c r="L70" s="432">
        <v>41620000</v>
      </c>
      <c r="M70" s="43">
        <v>0</v>
      </c>
      <c r="N70" s="43">
        <f t="shared" si="13"/>
        <v>41620000</v>
      </c>
      <c r="O70" s="337"/>
      <c r="P70" s="337"/>
      <c r="Q70" s="226">
        <v>3062970</v>
      </c>
      <c r="R70" s="364">
        <v>18064043</v>
      </c>
      <c r="S70" s="364">
        <f>Q70+R70</f>
        <v>21127013</v>
      </c>
      <c r="T70" s="327">
        <f>S70/N70*100</f>
        <v>50.761684286400765</v>
      </c>
      <c r="U70" s="43">
        <f t="shared" si="14"/>
        <v>20492987</v>
      </c>
      <c r="V70" s="42">
        <f t="shared" si="2"/>
        <v>10246493.5</v>
      </c>
      <c r="W70" s="22">
        <f t="shared" si="15"/>
        <v>7.3593704949543497</v>
      </c>
      <c r="X70" s="22">
        <f t="shared" si="1"/>
        <v>7.3593704949543497</v>
      </c>
      <c r="Z70" s="22">
        <f t="shared" si="4"/>
        <v>7.3593704949543497</v>
      </c>
    </row>
    <row r="71" spans="1:27" x14ac:dyDescent="0.25">
      <c r="A71" s="240"/>
      <c r="B71" s="329"/>
      <c r="C71" s="331"/>
      <c r="D71" s="323"/>
      <c r="E71" s="323"/>
      <c r="F71" s="323"/>
      <c r="G71" s="322"/>
      <c r="H71" s="322"/>
      <c r="I71" s="323"/>
      <c r="J71" s="362"/>
      <c r="K71" s="436"/>
      <c r="L71" s="337"/>
      <c r="M71" s="337"/>
      <c r="N71" s="337"/>
      <c r="O71" s="337"/>
      <c r="P71" s="337"/>
      <c r="Q71" s="363"/>
      <c r="R71" s="364"/>
      <c r="S71" s="364"/>
      <c r="T71" s="327"/>
      <c r="U71" s="43"/>
      <c r="V71" s="42">
        <f t="shared" si="2"/>
        <v>0</v>
      </c>
      <c r="W71" s="22"/>
      <c r="X71" s="22"/>
      <c r="Z71" s="22" t="e">
        <f t="shared" si="4"/>
        <v>#DIV/0!</v>
      </c>
    </row>
    <row r="72" spans="1:27" ht="17.25" x14ac:dyDescent="0.3">
      <c r="A72" s="394"/>
      <c r="B72" s="514" t="s">
        <v>248</v>
      </c>
      <c r="C72" s="515"/>
      <c r="D72" s="515"/>
      <c r="E72" s="515"/>
      <c r="F72" s="516"/>
      <c r="G72" s="413"/>
      <c r="H72" s="413"/>
      <c r="I72" s="414"/>
      <c r="J72" s="415"/>
      <c r="K72" s="420" t="s">
        <v>206</v>
      </c>
      <c r="L72" s="398">
        <f>L74+L76+L78+L80+L82</f>
        <v>108870000</v>
      </c>
      <c r="M72" s="398">
        <f>M80+M82</f>
        <v>0</v>
      </c>
      <c r="N72" s="398">
        <f t="shared" si="13"/>
        <v>108870000</v>
      </c>
      <c r="O72" s="402"/>
      <c r="P72" s="402"/>
      <c r="Q72" s="399">
        <f>Q73+Q76+Q78+Q80+Q82</f>
        <v>5134000</v>
      </c>
      <c r="R72" s="399">
        <v>52683083</v>
      </c>
      <c r="S72" s="399">
        <f>Q72+R72</f>
        <v>57817083</v>
      </c>
      <c r="T72" s="400">
        <f>S72/N72*100</f>
        <v>53.1065334802976</v>
      </c>
      <c r="U72" s="398">
        <f t="shared" si="14"/>
        <v>51052917</v>
      </c>
      <c r="V72" s="42">
        <f t="shared" si="2"/>
        <v>25526458.5</v>
      </c>
      <c r="W72" s="22">
        <f t="shared" si="15"/>
        <v>4.7157159915495548</v>
      </c>
      <c r="X72" s="22">
        <f t="shared" si="1"/>
        <v>4.7157159915495548</v>
      </c>
      <c r="Z72" s="65">
        <f t="shared" si="4"/>
        <v>4.7157159915495548</v>
      </c>
      <c r="AA72" s="1" t="s">
        <v>114</v>
      </c>
    </row>
    <row r="73" spans="1:27" x14ac:dyDescent="0.25">
      <c r="A73" s="240"/>
      <c r="B73" s="329"/>
      <c r="C73" s="331"/>
      <c r="D73" s="323"/>
      <c r="E73" s="323"/>
      <c r="F73" s="323"/>
      <c r="G73" s="322"/>
      <c r="H73" s="322"/>
      <c r="I73" s="323"/>
      <c r="J73" s="430"/>
      <c r="K73" s="435" t="s">
        <v>274</v>
      </c>
      <c r="L73" s="431">
        <v>60090000</v>
      </c>
      <c r="M73" s="337"/>
      <c r="N73" s="337">
        <v>60090000</v>
      </c>
      <c r="O73" s="337"/>
      <c r="P73" s="337"/>
      <c r="Q73" s="363">
        <v>5000000</v>
      </c>
      <c r="R73" s="364">
        <v>30000000</v>
      </c>
      <c r="S73" s="364">
        <f>Q73+R73</f>
        <v>35000000</v>
      </c>
      <c r="T73" s="327"/>
      <c r="U73" s="43">
        <f t="shared" si="14"/>
        <v>25090000</v>
      </c>
      <c r="V73" s="42">
        <f t="shared" si="2"/>
        <v>12545000</v>
      </c>
      <c r="W73" s="22"/>
      <c r="X73" s="22"/>
      <c r="Z73" s="22">
        <f t="shared" si="4"/>
        <v>8.320852055250457</v>
      </c>
    </row>
    <row r="74" spans="1:27" x14ac:dyDescent="0.25">
      <c r="A74" s="240"/>
      <c r="B74" s="329"/>
      <c r="C74" s="331"/>
      <c r="D74" s="323"/>
      <c r="E74" s="323"/>
      <c r="F74" s="323"/>
      <c r="G74" s="322"/>
      <c r="H74" s="322"/>
      <c r="I74" s="323"/>
      <c r="J74" s="430"/>
      <c r="K74" s="435" t="s">
        <v>207</v>
      </c>
      <c r="L74" s="431">
        <v>60090000</v>
      </c>
      <c r="M74" s="337">
        <v>0</v>
      </c>
      <c r="N74" s="43">
        <f t="shared" si="13"/>
        <v>60090000</v>
      </c>
      <c r="O74" s="337"/>
      <c r="P74" s="337"/>
      <c r="Q74" s="363">
        <v>5000000</v>
      </c>
      <c r="R74" s="364">
        <v>30000000</v>
      </c>
      <c r="S74" s="364">
        <f>Q74+R74</f>
        <v>35000000</v>
      </c>
      <c r="T74" s="327">
        <f>S74/N74*100</f>
        <v>58.245964386753201</v>
      </c>
      <c r="U74" s="43">
        <f t="shared" si="14"/>
        <v>25090000</v>
      </c>
      <c r="V74" s="42"/>
      <c r="W74" s="22"/>
      <c r="X74" s="22">
        <f t="shared" si="1"/>
        <v>8.320852055250457</v>
      </c>
      <c r="Z74" s="22"/>
    </row>
    <row r="75" spans="1:27" x14ac:dyDescent="0.25">
      <c r="A75" s="240"/>
      <c r="B75" s="329"/>
      <c r="C75" s="331"/>
      <c r="D75" s="323"/>
      <c r="E75" s="323"/>
      <c r="F75" s="323"/>
      <c r="G75" s="322"/>
      <c r="H75" s="322"/>
      <c r="I75" s="323"/>
      <c r="J75" s="430"/>
      <c r="K75" s="435"/>
      <c r="L75" s="431"/>
      <c r="M75" s="337"/>
      <c r="N75" s="337"/>
      <c r="O75" s="337"/>
      <c r="P75" s="337"/>
      <c r="Q75" s="363"/>
      <c r="R75" s="364"/>
      <c r="S75" s="364"/>
      <c r="T75" s="327"/>
      <c r="U75" s="43"/>
      <c r="V75" s="42"/>
      <c r="W75" s="22"/>
      <c r="X75" s="22"/>
      <c r="Z75" s="22"/>
    </row>
    <row r="76" spans="1:27" x14ac:dyDescent="0.25">
      <c r="A76" s="240"/>
      <c r="B76" s="329"/>
      <c r="C76" s="331"/>
      <c r="D76" s="323"/>
      <c r="E76" s="323"/>
      <c r="F76" s="323"/>
      <c r="G76" s="322"/>
      <c r="H76" s="322"/>
      <c r="I76" s="323"/>
      <c r="J76" s="430"/>
      <c r="K76" s="435" t="s">
        <v>208</v>
      </c>
      <c r="L76" s="431">
        <v>25700000</v>
      </c>
      <c r="M76" s="337">
        <v>0</v>
      </c>
      <c r="N76" s="43">
        <f t="shared" si="13"/>
        <v>25700000</v>
      </c>
      <c r="O76" s="337"/>
      <c r="P76" s="337"/>
      <c r="Q76" s="76">
        <v>65000</v>
      </c>
      <c r="R76" s="364">
        <v>12745242</v>
      </c>
      <c r="S76" s="364">
        <f>Q76+R76</f>
        <v>12810242</v>
      </c>
      <c r="T76" s="327">
        <f>S76/N76*100</f>
        <v>49.845299610894941</v>
      </c>
      <c r="U76" s="43">
        <f t="shared" si="14"/>
        <v>12889758</v>
      </c>
      <c r="V76" s="42"/>
      <c r="W76" s="22"/>
      <c r="X76" s="22">
        <f t="shared" si="1"/>
        <v>0.25291828793774318</v>
      </c>
      <c r="Z76" s="22"/>
    </row>
    <row r="77" spans="1:27" x14ac:dyDescent="0.25">
      <c r="A77" s="240"/>
      <c r="B77" s="329"/>
      <c r="C77" s="331"/>
      <c r="D77" s="323"/>
      <c r="E77" s="323"/>
      <c r="F77" s="323"/>
      <c r="G77" s="322"/>
      <c r="H77" s="322"/>
      <c r="I77" s="323"/>
      <c r="J77" s="430"/>
      <c r="K77" s="435"/>
      <c r="L77" s="431"/>
      <c r="M77" s="337"/>
      <c r="N77" s="337"/>
      <c r="O77" s="337"/>
      <c r="P77" s="337"/>
      <c r="Q77" s="363"/>
      <c r="R77" s="364"/>
      <c r="S77" s="364"/>
      <c r="T77" s="327"/>
      <c r="U77" s="43"/>
      <c r="V77" s="42"/>
      <c r="W77" s="22"/>
      <c r="X77" s="22"/>
      <c r="Z77" s="22"/>
    </row>
    <row r="78" spans="1:27" x14ac:dyDescent="0.25">
      <c r="A78" s="240"/>
      <c r="B78" s="329"/>
      <c r="C78" s="331"/>
      <c r="D78" s="323"/>
      <c r="E78" s="323"/>
      <c r="F78" s="323"/>
      <c r="G78" s="322"/>
      <c r="H78" s="322"/>
      <c r="I78" s="323"/>
      <c r="J78" s="430"/>
      <c r="K78" s="435" t="s">
        <v>209</v>
      </c>
      <c r="L78" s="431">
        <v>11180000</v>
      </c>
      <c r="M78" s="337">
        <v>0</v>
      </c>
      <c r="N78" s="43">
        <f t="shared" si="13"/>
        <v>11180000</v>
      </c>
      <c r="O78" s="337"/>
      <c r="P78" s="337"/>
      <c r="Q78" s="76">
        <v>69000</v>
      </c>
      <c r="R78" s="364">
        <v>9772841</v>
      </c>
      <c r="S78" s="364">
        <f>Q78+R78</f>
        <v>9841841</v>
      </c>
      <c r="T78" s="327">
        <f>S78/N78*100</f>
        <v>88.03077817531306</v>
      </c>
      <c r="U78" s="43">
        <f t="shared" si="14"/>
        <v>1338159</v>
      </c>
      <c r="V78" s="42"/>
      <c r="W78" s="22"/>
      <c r="X78" s="22">
        <f t="shared" si="1"/>
        <v>0.61717352415026838</v>
      </c>
      <c r="Z78" s="22"/>
    </row>
    <row r="79" spans="1:27" x14ac:dyDescent="0.25">
      <c r="A79" s="240"/>
      <c r="B79" s="329"/>
      <c r="C79" s="331"/>
      <c r="D79" s="323"/>
      <c r="E79" s="323"/>
      <c r="F79" s="323"/>
      <c r="G79" s="322"/>
      <c r="H79" s="322"/>
      <c r="I79" s="323"/>
      <c r="J79" s="430"/>
      <c r="K79" s="435"/>
      <c r="L79" s="431"/>
      <c r="M79" s="337"/>
      <c r="N79" s="337"/>
      <c r="O79" s="337"/>
      <c r="P79" s="337"/>
      <c r="Q79" s="363"/>
      <c r="R79" s="364"/>
      <c r="S79" s="364"/>
      <c r="T79" s="327"/>
      <c r="U79" s="43"/>
      <c r="V79" s="42"/>
      <c r="W79" s="22"/>
      <c r="X79" s="22"/>
      <c r="Z79" s="22"/>
    </row>
    <row r="80" spans="1:27" x14ac:dyDescent="0.25">
      <c r="A80" s="240"/>
      <c r="B80" s="329"/>
      <c r="C80" s="331"/>
      <c r="D80" s="323"/>
      <c r="E80" s="323"/>
      <c r="F80" s="323"/>
      <c r="G80" s="322"/>
      <c r="H80" s="322"/>
      <c r="I80" s="323"/>
      <c r="J80" s="430"/>
      <c r="K80" s="434" t="s">
        <v>210</v>
      </c>
      <c r="L80" s="432">
        <v>11500000</v>
      </c>
      <c r="M80" s="43">
        <v>0</v>
      </c>
      <c r="N80" s="43">
        <f t="shared" si="13"/>
        <v>11500000</v>
      </c>
      <c r="O80" s="337"/>
      <c r="P80" s="337"/>
      <c r="Q80" s="76">
        <v>0</v>
      </c>
      <c r="R80" s="364">
        <v>0</v>
      </c>
      <c r="S80" s="364">
        <f>Q80+R80</f>
        <v>0</v>
      </c>
      <c r="T80" s="327">
        <f>S80/N80*100</f>
        <v>0</v>
      </c>
      <c r="U80" s="43">
        <f t="shared" si="14"/>
        <v>11500000</v>
      </c>
      <c r="V80" s="42">
        <f t="shared" si="2"/>
        <v>5750000</v>
      </c>
      <c r="W80" s="22">
        <f t="shared" si="15"/>
        <v>0</v>
      </c>
      <c r="X80" s="22">
        <f t="shared" si="1"/>
        <v>0</v>
      </c>
      <c r="Z80" s="22">
        <f t="shared" si="4"/>
        <v>0</v>
      </c>
    </row>
    <row r="81" spans="1:26" x14ac:dyDescent="0.25">
      <c r="A81" s="240"/>
      <c r="B81" s="329"/>
      <c r="C81" s="331"/>
      <c r="D81" s="323"/>
      <c r="E81" s="323"/>
      <c r="F81" s="323"/>
      <c r="G81" s="322"/>
      <c r="H81" s="322"/>
      <c r="I81" s="323"/>
      <c r="J81" s="430"/>
      <c r="K81" s="434"/>
      <c r="L81" s="432" t="s">
        <v>212</v>
      </c>
      <c r="M81" s="43"/>
      <c r="N81" s="337"/>
      <c r="O81" s="337"/>
      <c r="P81" s="337"/>
      <c r="Q81" s="364"/>
      <c r="R81" s="364"/>
      <c r="S81" s="364"/>
      <c r="T81" s="327"/>
      <c r="U81" s="43"/>
      <c r="V81" s="42">
        <f t="shared" si="2"/>
        <v>0</v>
      </c>
      <c r="W81" s="22"/>
      <c r="X81" s="22"/>
      <c r="Z81" s="22" t="e">
        <f t="shared" si="4"/>
        <v>#DIV/0!</v>
      </c>
    </row>
    <row r="82" spans="1:26" x14ac:dyDescent="0.25">
      <c r="A82" s="240"/>
      <c r="B82" s="329"/>
      <c r="C82" s="331"/>
      <c r="D82" s="323"/>
      <c r="E82" s="323"/>
      <c r="F82" s="323"/>
      <c r="G82" s="322"/>
      <c r="H82" s="322"/>
      <c r="I82" s="323"/>
      <c r="J82" s="430"/>
      <c r="K82" s="434" t="s">
        <v>211</v>
      </c>
      <c r="L82" s="432">
        <v>400000</v>
      </c>
      <c r="M82" s="43">
        <v>0</v>
      </c>
      <c r="N82" s="43">
        <f t="shared" si="13"/>
        <v>400000</v>
      </c>
      <c r="O82" s="337"/>
      <c r="P82" s="337"/>
      <c r="Q82" s="364">
        <v>0</v>
      </c>
      <c r="R82" s="364">
        <v>165000</v>
      </c>
      <c r="S82" s="364">
        <f>Q82+R82</f>
        <v>165000</v>
      </c>
      <c r="T82" s="327">
        <f>S82/N82*100</f>
        <v>41.25</v>
      </c>
      <c r="U82" s="43">
        <f t="shared" si="14"/>
        <v>235000</v>
      </c>
      <c r="V82" s="42">
        <f t="shared" si="2"/>
        <v>117500</v>
      </c>
      <c r="W82" s="22">
        <f t="shared" si="15"/>
        <v>0</v>
      </c>
      <c r="X82" s="22">
        <f t="shared" si="1"/>
        <v>0</v>
      </c>
      <c r="Z82" s="22">
        <f t="shared" si="4"/>
        <v>0</v>
      </c>
    </row>
    <row r="83" spans="1:26" x14ac:dyDescent="0.25">
      <c r="A83" s="240"/>
      <c r="B83" s="329"/>
      <c r="C83" s="331"/>
      <c r="D83" s="323"/>
      <c r="E83" s="323"/>
      <c r="F83" s="323"/>
      <c r="G83" s="322"/>
      <c r="H83" s="322"/>
      <c r="I83" s="323"/>
      <c r="J83" s="430"/>
      <c r="K83" s="435"/>
      <c r="L83" s="431"/>
      <c r="M83" s="337"/>
      <c r="N83" s="337"/>
      <c r="O83" s="337"/>
      <c r="P83" s="337"/>
      <c r="Q83" s="363"/>
      <c r="R83" s="364"/>
      <c r="S83" s="364"/>
      <c r="T83" s="327"/>
      <c r="U83" s="43"/>
      <c r="V83" s="42">
        <f t="shared" si="2"/>
        <v>0</v>
      </c>
      <c r="W83" s="22"/>
      <c r="X83" s="22"/>
      <c r="Z83" s="22" t="e">
        <f t="shared" si="4"/>
        <v>#DIV/0!</v>
      </c>
    </row>
    <row r="84" spans="1:26" ht="17.25" x14ac:dyDescent="0.3">
      <c r="A84" s="394"/>
      <c r="B84" s="514" t="s">
        <v>249</v>
      </c>
      <c r="C84" s="515"/>
      <c r="D84" s="515"/>
      <c r="E84" s="515"/>
      <c r="F84" s="516"/>
      <c r="G84" s="413"/>
      <c r="H84" s="413"/>
      <c r="I84" s="414"/>
      <c r="J84" s="415"/>
      <c r="K84" s="397" t="s">
        <v>213</v>
      </c>
      <c r="L84" s="398">
        <v>1000000</v>
      </c>
      <c r="M84" s="398">
        <v>0</v>
      </c>
      <c r="N84" s="398">
        <f t="shared" si="13"/>
        <v>1000000</v>
      </c>
      <c r="O84" s="402"/>
      <c r="P84" s="402"/>
      <c r="Q84" s="399">
        <v>0</v>
      </c>
      <c r="R84" s="399">
        <v>500000</v>
      </c>
      <c r="S84" s="399">
        <f>Q84+R84</f>
        <v>500000</v>
      </c>
      <c r="T84" s="400">
        <f>S84/N84*100</f>
        <v>50</v>
      </c>
      <c r="U84" s="398">
        <f t="shared" si="14"/>
        <v>500000</v>
      </c>
      <c r="V84" s="42">
        <f t="shared" si="2"/>
        <v>250000</v>
      </c>
      <c r="W84" s="22">
        <f t="shared" si="15"/>
        <v>0</v>
      </c>
      <c r="X84" s="22">
        <f t="shared" si="1"/>
        <v>0</v>
      </c>
      <c r="Z84" s="65">
        <f t="shared" si="4"/>
        <v>0</v>
      </c>
    </row>
    <row r="85" spans="1:26" x14ac:dyDescent="0.25">
      <c r="A85" s="240"/>
      <c r="B85" s="329"/>
      <c r="C85" s="331"/>
      <c r="D85" s="323"/>
      <c r="E85" s="323"/>
      <c r="F85" s="323"/>
      <c r="G85" s="322"/>
      <c r="H85" s="322"/>
      <c r="I85" s="323"/>
      <c r="J85" s="362"/>
      <c r="K85" s="368"/>
      <c r="L85" s="337"/>
      <c r="M85" s="337"/>
      <c r="N85" s="337"/>
      <c r="O85" s="337"/>
      <c r="P85" s="337"/>
      <c r="Q85" s="363"/>
      <c r="R85" s="364"/>
      <c r="S85" s="364"/>
      <c r="T85" s="327"/>
      <c r="U85" s="43"/>
      <c r="V85" s="42">
        <f t="shared" si="2"/>
        <v>0</v>
      </c>
      <c r="W85" s="22"/>
      <c r="X85" s="22"/>
      <c r="Z85" s="22" t="e">
        <f t="shared" si="4"/>
        <v>#DIV/0!</v>
      </c>
    </row>
    <row r="86" spans="1:26" x14ac:dyDescent="0.25">
      <c r="A86" s="394"/>
      <c r="B86" s="514" t="s">
        <v>250</v>
      </c>
      <c r="C86" s="515"/>
      <c r="D86" s="515"/>
      <c r="E86" s="515"/>
      <c r="F86" s="516"/>
      <c r="G86" s="413"/>
      <c r="H86" s="413"/>
      <c r="I86" s="414"/>
      <c r="J86" s="415"/>
      <c r="K86" s="421" t="s">
        <v>214</v>
      </c>
      <c r="L86" s="398">
        <f>L88+L104</f>
        <v>60000000</v>
      </c>
      <c r="M86" s="398">
        <f>M88+M104</f>
        <v>0</v>
      </c>
      <c r="N86" s="398">
        <f t="shared" si="13"/>
        <v>60000000</v>
      </c>
      <c r="O86" s="402"/>
      <c r="P86" s="402"/>
      <c r="Q86" s="399">
        <f>Q88+Q104</f>
        <v>1475000</v>
      </c>
      <c r="R86" s="399">
        <v>42784130</v>
      </c>
      <c r="S86" s="399">
        <f>Q86+R86</f>
        <v>44259130</v>
      </c>
      <c r="T86" s="400">
        <f>S86/N86*100</f>
        <v>73.76521666666666</v>
      </c>
      <c r="U86" s="398">
        <f t="shared" si="14"/>
        <v>15740870</v>
      </c>
      <c r="V86" s="42">
        <f t="shared" si="2"/>
        <v>7870435</v>
      </c>
      <c r="W86" s="22">
        <f t="shared" si="15"/>
        <v>2.458333333333333</v>
      </c>
      <c r="X86" s="22">
        <f t="shared" ref="X86:X154" si="16">Q86/N86*100</f>
        <v>2.458333333333333</v>
      </c>
      <c r="Z86" s="65">
        <f t="shared" si="4"/>
        <v>2.458333333333333</v>
      </c>
    </row>
    <row r="87" spans="1:26" x14ac:dyDescent="0.25">
      <c r="A87" s="240"/>
      <c r="B87" s="329"/>
      <c r="C87" s="331"/>
      <c r="D87" s="323"/>
      <c r="E87" s="323"/>
      <c r="F87" s="323"/>
      <c r="G87" s="322"/>
      <c r="H87" s="322"/>
      <c r="I87" s="323"/>
      <c r="J87" s="362"/>
      <c r="K87" s="368"/>
      <c r="L87" s="337"/>
      <c r="M87" s="337"/>
      <c r="N87" s="337"/>
      <c r="O87" s="337"/>
      <c r="P87" s="337"/>
      <c r="Q87" s="363"/>
      <c r="R87" s="364"/>
      <c r="S87" s="364"/>
      <c r="T87" s="327"/>
      <c r="U87" s="43"/>
      <c r="V87" s="42">
        <f t="shared" ref="V87:V154" si="17">U87/2</f>
        <v>0</v>
      </c>
      <c r="W87" s="22"/>
      <c r="X87" s="22"/>
      <c r="Z87" s="22" t="e">
        <f t="shared" si="4"/>
        <v>#DIV/0!</v>
      </c>
    </row>
    <row r="88" spans="1:26" x14ac:dyDescent="0.25">
      <c r="A88" s="445"/>
      <c r="B88" s="446"/>
      <c r="C88" s="447"/>
      <c r="D88" s="448"/>
      <c r="E88" s="448"/>
      <c r="F88" s="448"/>
      <c r="G88" s="449"/>
      <c r="H88" s="449"/>
      <c r="I88" s="448"/>
      <c r="J88" s="450"/>
      <c r="K88" s="439" t="s">
        <v>128</v>
      </c>
      <c r="L88" s="440">
        <f>L90+L92+L94+L96+L98+L100+L102</f>
        <v>28000000</v>
      </c>
      <c r="M88" s="440">
        <v>0</v>
      </c>
      <c r="N88" s="440">
        <f t="shared" si="13"/>
        <v>28000000</v>
      </c>
      <c r="O88" s="441"/>
      <c r="P88" s="441"/>
      <c r="Q88" s="442">
        <f>Q90+Q92+Q94+Q96+Q98+Q100+Q102</f>
        <v>1475000</v>
      </c>
      <c r="R88" s="443">
        <v>17143130</v>
      </c>
      <c r="S88" s="443">
        <f>Q88+R88</f>
        <v>18618130</v>
      </c>
      <c r="T88" s="444">
        <f>S88/N88*100</f>
        <v>66.493321428571434</v>
      </c>
      <c r="U88" s="440">
        <f t="shared" si="14"/>
        <v>9381870</v>
      </c>
      <c r="V88" s="42">
        <f t="shared" si="17"/>
        <v>4690935</v>
      </c>
      <c r="W88" s="22">
        <f t="shared" si="15"/>
        <v>5.2678571428571432</v>
      </c>
      <c r="X88" s="22">
        <f t="shared" si="16"/>
        <v>5.2678571428571432</v>
      </c>
      <c r="Z88" s="22">
        <f t="shared" si="4"/>
        <v>5.2678571428571432</v>
      </c>
    </row>
    <row r="89" spans="1:26" x14ac:dyDescent="0.25">
      <c r="A89" s="240"/>
      <c r="B89" s="329"/>
      <c r="C89" s="331"/>
      <c r="D89" s="323"/>
      <c r="E89" s="323"/>
      <c r="F89" s="323"/>
      <c r="G89" s="322"/>
      <c r="H89" s="322"/>
      <c r="I89" s="323"/>
      <c r="J89" s="362"/>
      <c r="K89" s="437"/>
      <c r="L89" s="43"/>
      <c r="M89" s="43"/>
      <c r="N89" s="43"/>
      <c r="O89" s="337"/>
      <c r="P89" s="337"/>
      <c r="Q89" s="76"/>
      <c r="R89" s="364"/>
      <c r="S89" s="364"/>
      <c r="T89" s="327"/>
      <c r="U89" s="43"/>
      <c r="V89" s="42"/>
      <c r="W89" s="22"/>
      <c r="X89" s="22"/>
      <c r="Z89" s="22"/>
    </row>
    <row r="90" spans="1:26" x14ac:dyDescent="0.25">
      <c r="A90" s="240"/>
      <c r="B90" s="329"/>
      <c r="C90" s="331"/>
      <c r="D90" s="323"/>
      <c r="E90" s="323"/>
      <c r="F90" s="323"/>
      <c r="G90" s="322"/>
      <c r="H90" s="322"/>
      <c r="I90" s="323"/>
      <c r="J90" s="430"/>
      <c r="K90" s="434" t="s">
        <v>285</v>
      </c>
      <c r="L90" s="432">
        <v>12000000</v>
      </c>
      <c r="M90" s="43">
        <v>0</v>
      </c>
      <c r="N90" s="43">
        <f t="shared" si="13"/>
        <v>12000000</v>
      </c>
      <c r="O90" s="337"/>
      <c r="P90" s="337"/>
      <c r="Q90" s="76">
        <v>0</v>
      </c>
      <c r="R90" s="364">
        <v>8528130</v>
      </c>
      <c r="S90" s="364">
        <f>Q90+R90</f>
        <v>8528130</v>
      </c>
      <c r="T90" s="327">
        <f>S90/N90*100</f>
        <v>71.06774999999999</v>
      </c>
      <c r="U90" s="43">
        <f t="shared" si="14"/>
        <v>3471870</v>
      </c>
      <c r="V90" s="42"/>
      <c r="W90" s="22"/>
      <c r="X90" s="22"/>
      <c r="Z90" s="22"/>
    </row>
    <row r="91" spans="1:26" x14ac:dyDescent="0.25">
      <c r="A91" s="240"/>
      <c r="B91" s="329"/>
      <c r="C91" s="331"/>
      <c r="D91" s="323"/>
      <c r="E91" s="323"/>
      <c r="F91" s="323"/>
      <c r="G91" s="322"/>
      <c r="H91" s="322"/>
      <c r="I91" s="323"/>
      <c r="J91" s="430"/>
      <c r="K91" s="434"/>
      <c r="L91" s="432"/>
      <c r="M91" s="43"/>
      <c r="N91" s="43"/>
      <c r="O91" s="337"/>
      <c r="P91" s="337"/>
      <c r="Q91" s="76"/>
      <c r="R91" s="364"/>
      <c r="S91" s="364"/>
      <c r="T91" s="327"/>
      <c r="U91" s="43"/>
      <c r="V91" s="42"/>
      <c r="W91" s="22"/>
      <c r="X91" s="22"/>
      <c r="Z91" s="22"/>
    </row>
    <row r="92" spans="1:26" x14ac:dyDescent="0.25">
      <c r="A92" s="240"/>
      <c r="B92" s="329"/>
      <c r="C92" s="331"/>
      <c r="D92" s="323"/>
      <c r="E92" s="323"/>
      <c r="F92" s="323"/>
      <c r="G92" s="322"/>
      <c r="H92" s="322"/>
      <c r="I92" s="323"/>
      <c r="J92" s="430"/>
      <c r="K92" s="434" t="s">
        <v>286</v>
      </c>
      <c r="L92" s="432">
        <v>5300000</v>
      </c>
      <c r="M92" s="43"/>
      <c r="N92" s="43">
        <f t="shared" si="13"/>
        <v>5300000</v>
      </c>
      <c r="O92" s="337"/>
      <c r="P92" s="337"/>
      <c r="Q92" s="76">
        <v>0</v>
      </c>
      <c r="R92" s="364">
        <v>4665000</v>
      </c>
      <c r="S92" s="364">
        <f>Q92+R92</f>
        <v>4665000</v>
      </c>
      <c r="T92" s="327">
        <f>S92/N92*100</f>
        <v>88.018867924528294</v>
      </c>
      <c r="U92" s="43">
        <f t="shared" si="14"/>
        <v>635000</v>
      </c>
      <c r="V92" s="42"/>
      <c r="W92" s="22"/>
      <c r="X92" s="22"/>
      <c r="Z92" s="22"/>
    </row>
    <row r="93" spans="1:26" x14ac:dyDescent="0.25">
      <c r="A93" s="240"/>
      <c r="B93" s="329"/>
      <c r="C93" s="331"/>
      <c r="D93" s="323"/>
      <c r="E93" s="323"/>
      <c r="F93" s="323"/>
      <c r="G93" s="322"/>
      <c r="H93" s="322"/>
      <c r="I93" s="323"/>
      <c r="J93" s="430"/>
      <c r="K93" s="434"/>
      <c r="L93" s="432"/>
      <c r="M93" s="43"/>
      <c r="N93" s="43"/>
      <c r="O93" s="337"/>
      <c r="P93" s="337"/>
      <c r="Q93" s="76"/>
      <c r="R93" s="364"/>
      <c r="S93" s="364"/>
      <c r="T93" s="327"/>
      <c r="U93" s="43"/>
      <c r="V93" s="42"/>
      <c r="W93" s="22"/>
      <c r="X93" s="22"/>
      <c r="Z93" s="22"/>
    </row>
    <row r="94" spans="1:26" x14ac:dyDescent="0.25">
      <c r="A94" s="240"/>
      <c r="B94" s="329"/>
      <c r="C94" s="331"/>
      <c r="D94" s="323"/>
      <c r="E94" s="323"/>
      <c r="F94" s="323"/>
      <c r="G94" s="322"/>
      <c r="H94" s="322"/>
      <c r="I94" s="323"/>
      <c r="J94" s="430"/>
      <c r="K94" s="434" t="s">
        <v>287</v>
      </c>
      <c r="L94" s="432">
        <v>5000000</v>
      </c>
      <c r="M94" s="43"/>
      <c r="N94" s="43">
        <f t="shared" si="13"/>
        <v>5000000</v>
      </c>
      <c r="O94" s="337"/>
      <c r="P94" s="337"/>
      <c r="Q94" s="76">
        <v>0</v>
      </c>
      <c r="R94" s="364">
        <v>0</v>
      </c>
      <c r="S94" s="364">
        <f>Q94+R94</f>
        <v>0</v>
      </c>
      <c r="T94" s="327">
        <f>S94/N94*100</f>
        <v>0</v>
      </c>
      <c r="U94" s="43">
        <f t="shared" si="14"/>
        <v>5000000</v>
      </c>
      <c r="V94" s="42"/>
      <c r="W94" s="22"/>
      <c r="X94" s="22"/>
      <c r="Z94" s="22"/>
    </row>
    <row r="95" spans="1:26" x14ac:dyDescent="0.25">
      <c r="A95" s="240"/>
      <c r="B95" s="329"/>
      <c r="C95" s="331"/>
      <c r="D95" s="323"/>
      <c r="E95" s="323"/>
      <c r="F95" s="323"/>
      <c r="G95" s="322"/>
      <c r="H95" s="322"/>
      <c r="I95" s="323"/>
      <c r="J95" s="430"/>
      <c r="K95" s="434"/>
      <c r="L95" s="432"/>
      <c r="M95" s="43"/>
      <c r="N95" s="43"/>
      <c r="O95" s="337"/>
      <c r="P95" s="337"/>
      <c r="Q95" s="76"/>
      <c r="R95" s="364"/>
      <c r="S95" s="364"/>
      <c r="T95" s="327"/>
      <c r="U95" s="43"/>
      <c r="V95" s="42"/>
      <c r="W95" s="22"/>
      <c r="X95" s="22"/>
      <c r="Z95" s="22"/>
    </row>
    <row r="96" spans="1:26" x14ac:dyDescent="0.25">
      <c r="A96" s="240"/>
      <c r="B96" s="329"/>
      <c r="C96" s="331"/>
      <c r="D96" s="323"/>
      <c r="E96" s="323"/>
      <c r="F96" s="323"/>
      <c r="G96" s="322"/>
      <c r="H96" s="322"/>
      <c r="I96" s="323"/>
      <c r="J96" s="430"/>
      <c r="K96" s="434" t="s">
        <v>288</v>
      </c>
      <c r="L96" s="432">
        <v>200000</v>
      </c>
      <c r="M96" s="43"/>
      <c r="N96" s="43">
        <f t="shared" si="13"/>
        <v>200000</v>
      </c>
      <c r="O96" s="337"/>
      <c r="P96" s="337"/>
      <c r="Q96" s="76">
        <v>0</v>
      </c>
      <c r="R96" s="364">
        <v>0</v>
      </c>
      <c r="S96" s="364">
        <f>Q96+R96</f>
        <v>0</v>
      </c>
      <c r="T96" s="327">
        <f>S96/N96*100</f>
        <v>0</v>
      </c>
      <c r="U96" s="43">
        <f t="shared" si="14"/>
        <v>200000</v>
      </c>
      <c r="V96" s="42"/>
      <c r="W96" s="22"/>
      <c r="X96" s="22"/>
      <c r="Z96" s="22"/>
    </row>
    <row r="97" spans="1:26" x14ac:dyDescent="0.25">
      <c r="A97" s="240"/>
      <c r="B97" s="329"/>
      <c r="C97" s="331"/>
      <c r="D97" s="323"/>
      <c r="E97" s="323"/>
      <c r="F97" s="323"/>
      <c r="G97" s="322"/>
      <c r="H97" s="322"/>
      <c r="I97" s="323"/>
      <c r="J97" s="430"/>
      <c r="K97" s="434"/>
      <c r="L97" s="432"/>
      <c r="M97" s="43"/>
      <c r="N97" s="43"/>
      <c r="O97" s="337"/>
      <c r="P97" s="337"/>
      <c r="Q97" s="76"/>
      <c r="R97" s="364"/>
      <c r="S97" s="364"/>
      <c r="T97" s="327"/>
      <c r="U97" s="43"/>
      <c r="V97" s="42"/>
      <c r="W97" s="22"/>
      <c r="X97" s="22"/>
      <c r="Z97" s="22"/>
    </row>
    <row r="98" spans="1:26" x14ac:dyDescent="0.25">
      <c r="A98" s="240"/>
      <c r="B98" s="329"/>
      <c r="C98" s="331"/>
      <c r="D98" s="323"/>
      <c r="E98" s="323"/>
      <c r="F98" s="323"/>
      <c r="G98" s="322"/>
      <c r="H98" s="322"/>
      <c r="I98" s="323"/>
      <c r="J98" s="430"/>
      <c r="K98" s="434" t="s">
        <v>289</v>
      </c>
      <c r="L98" s="432">
        <v>1000000</v>
      </c>
      <c r="M98" s="43"/>
      <c r="N98" s="43">
        <f t="shared" si="13"/>
        <v>1000000</v>
      </c>
      <c r="O98" s="337"/>
      <c r="P98" s="337"/>
      <c r="Q98" s="76">
        <v>0</v>
      </c>
      <c r="R98" s="364">
        <v>950000</v>
      </c>
      <c r="S98" s="364">
        <f>Q98+R98</f>
        <v>950000</v>
      </c>
      <c r="T98" s="327">
        <f>S98/N98*100</f>
        <v>95</v>
      </c>
      <c r="U98" s="43">
        <f t="shared" si="14"/>
        <v>50000</v>
      </c>
      <c r="V98" s="42"/>
      <c r="W98" s="22"/>
      <c r="X98" s="22"/>
      <c r="Z98" s="22"/>
    </row>
    <row r="99" spans="1:26" x14ac:dyDescent="0.25">
      <c r="A99" s="240"/>
      <c r="B99" s="329"/>
      <c r="C99" s="331"/>
      <c r="D99" s="323"/>
      <c r="E99" s="323"/>
      <c r="F99" s="323"/>
      <c r="G99" s="322"/>
      <c r="H99" s="322"/>
      <c r="I99" s="323"/>
      <c r="J99" s="430"/>
      <c r="K99" s="434"/>
      <c r="L99" s="432"/>
      <c r="M99" s="43"/>
      <c r="N99" s="43"/>
      <c r="O99" s="337"/>
      <c r="P99" s="337"/>
      <c r="Q99" s="76"/>
      <c r="R99" s="364"/>
      <c r="S99" s="364"/>
      <c r="T99" s="327"/>
      <c r="U99" s="43"/>
      <c r="V99" s="42"/>
      <c r="W99" s="22"/>
      <c r="X99" s="22"/>
      <c r="Z99" s="22"/>
    </row>
    <row r="100" spans="1:26" x14ac:dyDescent="0.25">
      <c r="A100" s="240"/>
      <c r="B100" s="329"/>
      <c r="C100" s="331"/>
      <c r="D100" s="323"/>
      <c r="E100" s="323"/>
      <c r="F100" s="323"/>
      <c r="G100" s="322"/>
      <c r="H100" s="322"/>
      <c r="I100" s="323"/>
      <c r="J100" s="430"/>
      <c r="K100" s="434" t="s">
        <v>290</v>
      </c>
      <c r="L100" s="432">
        <v>1500000</v>
      </c>
      <c r="M100" s="43"/>
      <c r="N100" s="43">
        <f t="shared" si="13"/>
        <v>1500000</v>
      </c>
      <c r="O100" s="337"/>
      <c r="P100" s="337"/>
      <c r="Q100" s="76">
        <v>1475000</v>
      </c>
      <c r="R100" s="364">
        <v>0</v>
      </c>
      <c r="S100" s="364">
        <f>Q100+R100</f>
        <v>1475000</v>
      </c>
      <c r="T100" s="327">
        <f>S100/N100*100</f>
        <v>98.333333333333329</v>
      </c>
      <c r="U100" s="43">
        <f t="shared" si="14"/>
        <v>25000</v>
      </c>
      <c r="V100" s="42"/>
      <c r="W100" s="22"/>
      <c r="X100" s="22"/>
      <c r="Z100" s="22"/>
    </row>
    <row r="101" spans="1:26" x14ac:dyDescent="0.25">
      <c r="A101" s="240"/>
      <c r="B101" s="329"/>
      <c r="C101" s="331"/>
      <c r="D101" s="323"/>
      <c r="E101" s="323"/>
      <c r="F101" s="323"/>
      <c r="G101" s="322"/>
      <c r="H101" s="322"/>
      <c r="I101" s="323"/>
      <c r="J101" s="430"/>
      <c r="K101" s="434"/>
      <c r="L101" s="432"/>
      <c r="M101" s="43"/>
      <c r="N101" s="43"/>
      <c r="O101" s="337"/>
      <c r="P101" s="337"/>
      <c r="Q101" s="76"/>
      <c r="R101" s="364"/>
      <c r="S101" s="364"/>
      <c r="T101" s="327"/>
      <c r="U101" s="43"/>
      <c r="V101" s="42"/>
      <c r="W101" s="22"/>
      <c r="X101" s="22"/>
      <c r="Z101" s="22"/>
    </row>
    <row r="102" spans="1:26" x14ac:dyDescent="0.25">
      <c r="A102" s="240"/>
      <c r="B102" s="329"/>
      <c r="C102" s="331"/>
      <c r="D102" s="323"/>
      <c r="E102" s="323"/>
      <c r="F102" s="323"/>
      <c r="G102" s="322"/>
      <c r="H102" s="322"/>
      <c r="I102" s="323"/>
      <c r="J102" s="430"/>
      <c r="K102" s="434" t="s">
        <v>291</v>
      </c>
      <c r="L102" s="432">
        <v>3000000</v>
      </c>
      <c r="M102" s="43"/>
      <c r="N102" s="43">
        <f t="shared" si="13"/>
        <v>3000000</v>
      </c>
      <c r="O102" s="337"/>
      <c r="P102" s="337"/>
      <c r="Q102" s="76">
        <v>0</v>
      </c>
      <c r="R102" s="364">
        <v>3000000</v>
      </c>
      <c r="S102" s="364">
        <f>Q102+R102</f>
        <v>3000000</v>
      </c>
      <c r="T102" s="327">
        <f>S102/N102*100</f>
        <v>100</v>
      </c>
      <c r="U102" s="43">
        <f t="shared" si="14"/>
        <v>0</v>
      </c>
      <c r="V102" s="42"/>
      <c r="W102" s="22"/>
      <c r="X102" s="22"/>
      <c r="Z102" s="22"/>
    </row>
    <row r="103" spans="1:26" x14ac:dyDescent="0.25">
      <c r="A103" s="240"/>
      <c r="B103" s="329"/>
      <c r="C103" s="331"/>
      <c r="D103" s="323"/>
      <c r="E103" s="323"/>
      <c r="F103" s="323"/>
      <c r="G103" s="322"/>
      <c r="H103" s="322"/>
      <c r="I103" s="323"/>
      <c r="J103" s="362"/>
      <c r="K103" s="438"/>
      <c r="L103" s="43"/>
      <c r="M103" s="43"/>
      <c r="N103" s="43"/>
      <c r="O103" s="337"/>
      <c r="P103" s="337"/>
      <c r="Q103" s="76"/>
      <c r="R103" s="364"/>
      <c r="S103" s="364"/>
      <c r="T103" s="327"/>
      <c r="U103" s="43"/>
      <c r="V103" s="42"/>
      <c r="W103" s="22"/>
      <c r="X103" s="22"/>
      <c r="Z103" s="22"/>
    </row>
    <row r="104" spans="1:26" x14ac:dyDescent="0.25">
      <c r="A104" s="445"/>
      <c r="B104" s="446"/>
      <c r="C104" s="447"/>
      <c r="D104" s="448"/>
      <c r="E104" s="448"/>
      <c r="F104" s="448"/>
      <c r="G104" s="449"/>
      <c r="H104" s="449"/>
      <c r="I104" s="448"/>
      <c r="J104" s="450"/>
      <c r="K104" s="439" t="s">
        <v>284</v>
      </c>
      <c r="L104" s="440">
        <v>32000000</v>
      </c>
      <c r="M104" s="440">
        <v>0</v>
      </c>
      <c r="N104" s="440">
        <f t="shared" si="13"/>
        <v>32000000</v>
      </c>
      <c r="O104" s="441"/>
      <c r="P104" s="441"/>
      <c r="Q104" s="443">
        <v>0</v>
      </c>
      <c r="R104" s="443">
        <v>25641000</v>
      </c>
      <c r="S104" s="443">
        <f>Q104+R104</f>
        <v>25641000</v>
      </c>
      <c r="T104" s="444">
        <f>S104/N104*100</f>
        <v>80.128124999999997</v>
      </c>
      <c r="U104" s="440">
        <f t="shared" si="14"/>
        <v>6359000</v>
      </c>
      <c r="V104" s="42">
        <f t="shared" si="17"/>
        <v>3179500</v>
      </c>
      <c r="W104" s="22">
        <f t="shared" si="15"/>
        <v>0</v>
      </c>
      <c r="X104" s="22">
        <f t="shared" si="16"/>
        <v>0</v>
      </c>
      <c r="Z104" s="22">
        <f t="shared" ref="Z104:Z153" si="18">Q104/N104*100</f>
        <v>0</v>
      </c>
    </row>
    <row r="105" spans="1:26" x14ac:dyDescent="0.25">
      <c r="A105" s="240"/>
      <c r="B105" s="329"/>
      <c r="C105" s="331"/>
      <c r="D105" s="323"/>
      <c r="E105" s="323"/>
      <c r="F105" s="323"/>
      <c r="G105" s="322"/>
      <c r="H105" s="322"/>
      <c r="I105" s="323"/>
      <c r="J105" s="362"/>
      <c r="K105" s="368"/>
      <c r="L105" s="337"/>
      <c r="M105" s="337"/>
      <c r="N105" s="337"/>
      <c r="O105" s="337"/>
      <c r="P105" s="337"/>
      <c r="Q105" s="363"/>
      <c r="R105" s="364"/>
      <c r="S105" s="364"/>
      <c r="T105" s="327"/>
      <c r="U105" s="43"/>
      <c r="V105" s="42">
        <f t="shared" si="17"/>
        <v>0</v>
      </c>
      <c r="W105" s="22"/>
      <c r="X105" s="22"/>
      <c r="Z105" s="22" t="e">
        <f t="shared" si="18"/>
        <v>#DIV/0!</v>
      </c>
    </row>
    <row r="106" spans="1:26" x14ac:dyDescent="0.25">
      <c r="A106" s="394"/>
      <c r="B106" s="514" t="s">
        <v>251</v>
      </c>
      <c r="C106" s="515"/>
      <c r="D106" s="515"/>
      <c r="E106" s="515"/>
      <c r="F106" s="516"/>
      <c r="G106" s="413"/>
      <c r="H106" s="413"/>
      <c r="I106" s="414"/>
      <c r="J106" s="415"/>
      <c r="K106" s="421" t="s">
        <v>215</v>
      </c>
      <c r="L106" s="398">
        <v>10000000</v>
      </c>
      <c r="M106" s="398">
        <v>0</v>
      </c>
      <c r="N106" s="398">
        <f t="shared" si="13"/>
        <v>10000000</v>
      </c>
      <c r="O106" s="402"/>
      <c r="P106" s="402"/>
      <c r="Q106" s="399">
        <v>1980000</v>
      </c>
      <c r="R106" s="399">
        <v>3150000</v>
      </c>
      <c r="S106" s="399">
        <f>Q106+R106</f>
        <v>5130000</v>
      </c>
      <c r="T106" s="400">
        <f>S106/N106*100</f>
        <v>51.300000000000004</v>
      </c>
      <c r="U106" s="398">
        <f t="shared" si="14"/>
        <v>4870000</v>
      </c>
      <c r="V106" s="42">
        <f t="shared" si="17"/>
        <v>2435000</v>
      </c>
      <c r="W106" s="22">
        <f t="shared" si="15"/>
        <v>19.8</v>
      </c>
      <c r="X106" s="22">
        <f t="shared" si="16"/>
        <v>19.8</v>
      </c>
      <c r="Z106" s="65">
        <f t="shared" si="18"/>
        <v>19.8</v>
      </c>
    </row>
    <row r="107" spans="1:26" x14ac:dyDescent="0.25">
      <c r="A107" s="240"/>
      <c r="B107" s="329"/>
      <c r="C107" s="331"/>
      <c r="D107" s="323"/>
      <c r="E107" s="323"/>
      <c r="F107" s="323"/>
      <c r="G107" s="322"/>
      <c r="H107" s="322"/>
      <c r="I107" s="323"/>
      <c r="J107" s="362"/>
      <c r="K107" s="368"/>
      <c r="L107" s="337"/>
      <c r="M107" s="337"/>
      <c r="N107" s="337"/>
      <c r="O107" s="337"/>
      <c r="P107" s="337"/>
      <c r="Q107" s="363"/>
      <c r="R107" s="364"/>
      <c r="S107" s="364"/>
      <c r="T107" s="327"/>
      <c r="U107" s="43"/>
      <c r="V107" s="42">
        <f t="shared" si="17"/>
        <v>0</v>
      </c>
      <c r="W107" s="22"/>
      <c r="X107" s="22"/>
      <c r="Z107" s="22" t="e">
        <f t="shared" si="18"/>
        <v>#DIV/0!</v>
      </c>
    </row>
    <row r="108" spans="1:26" x14ac:dyDescent="0.25">
      <c r="A108" s="394"/>
      <c r="B108" s="514" t="s">
        <v>252</v>
      </c>
      <c r="C108" s="515"/>
      <c r="D108" s="515"/>
      <c r="E108" s="515"/>
      <c r="F108" s="516"/>
      <c r="G108" s="401"/>
      <c r="H108" s="401"/>
      <c r="I108" s="395"/>
      <c r="J108" s="396"/>
      <c r="K108" s="421" t="s">
        <v>216</v>
      </c>
      <c r="L108" s="402">
        <f>L110+L112</f>
        <v>48000000</v>
      </c>
      <c r="M108" s="402">
        <v>0</v>
      </c>
      <c r="N108" s="402">
        <f>L108-M108</f>
        <v>48000000</v>
      </c>
      <c r="O108" s="402"/>
      <c r="P108" s="402"/>
      <c r="Q108" s="419">
        <f>Q110+Q112</f>
        <v>0</v>
      </c>
      <c r="R108" s="399">
        <v>42590700</v>
      </c>
      <c r="S108" s="399">
        <f>Q108+R108</f>
        <v>42590700</v>
      </c>
      <c r="T108" s="400">
        <f>S108/N108*100</f>
        <v>88.730625000000003</v>
      </c>
      <c r="U108" s="398">
        <f t="shared" si="14"/>
        <v>5409300</v>
      </c>
      <c r="V108" s="42"/>
      <c r="W108" s="22"/>
      <c r="X108" s="22">
        <f t="shared" si="16"/>
        <v>0</v>
      </c>
      <c r="Z108" s="65">
        <f t="shared" si="18"/>
        <v>0</v>
      </c>
    </row>
    <row r="109" spans="1:26" x14ac:dyDescent="0.25">
      <c r="A109" s="240"/>
      <c r="B109" s="329"/>
      <c r="C109" s="331"/>
      <c r="D109" s="323"/>
      <c r="E109" s="323"/>
      <c r="F109" s="323"/>
      <c r="G109" s="322"/>
      <c r="H109" s="322"/>
      <c r="I109" s="323"/>
      <c r="J109" s="362"/>
      <c r="K109" s="368"/>
      <c r="L109" s="337"/>
      <c r="M109" s="337"/>
      <c r="N109" s="337"/>
      <c r="O109" s="337"/>
      <c r="P109" s="337"/>
      <c r="Q109" s="363"/>
      <c r="R109" s="364"/>
      <c r="S109" s="364"/>
      <c r="T109" s="327"/>
      <c r="U109" s="43"/>
      <c r="V109" s="42"/>
      <c r="W109" s="22"/>
      <c r="X109" s="22"/>
      <c r="Z109" s="22" t="e">
        <f t="shared" si="18"/>
        <v>#DIV/0!</v>
      </c>
    </row>
    <row r="110" spans="1:26" x14ac:dyDescent="0.25">
      <c r="A110" s="240"/>
      <c r="B110" s="329"/>
      <c r="C110" s="331"/>
      <c r="D110" s="323"/>
      <c r="E110" s="323"/>
      <c r="F110" s="323"/>
      <c r="G110" s="322"/>
      <c r="H110" s="322"/>
      <c r="I110" s="323"/>
      <c r="J110" s="362"/>
      <c r="K110" s="368" t="s">
        <v>217</v>
      </c>
      <c r="L110" s="337">
        <v>43000000</v>
      </c>
      <c r="M110" s="337">
        <v>0</v>
      </c>
      <c r="N110" s="43">
        <f t="shared" ref="N110" si="19">L110-M110</f>
        <v>43000000</v>
      </c>
      <c r="O110" s="337"/>
      <c r="P110" s="337"/>
      <c r="Q110" s="363">
        <v>0</v>
      </c>
      <c r="R110" s="364">
        <v>42590700</v>
      </c>
      <c r="S110" s="364">
        <f>Q110+R110</f>
        <v>42590700</v>
      </c>
      <c r="T110" s="327">
        <f>S110/N110*100</f>
        <v>99.048139534883717</v>
      </c>
      <c r="U110" s="43">
        <f t="shared" si="14"/>
        <v>409300</v>
      </c>
      <c r="V110" s="42"/>
      <c r="W110" s="22"/>
      <c r="X110" s="22">
        <f t="shared" si="16"/>
        <v>0</v>
      </c>
      <c r="Z110" s="65">
        <f t="shared" si="18"/>
        <v>0</v>
      </c>
    </row>
    <row r="111" spans="1:26" x14ac:dyDescent="0.25">
      <c r="A111" s="240"/>
      <c r="B111" s="329"/>
      <c r="C111" s="331"/>
      <c r="D111" s="323"/>
      <c r="E111" s="323"/>
      <c r="F111" s="323"/>
      <c r="G111" s="322"/>
      <c r="H111" s="322"/>
      <c r="I111" s="323"/>
      <c r="J111" s="362"/>
      <c r="K111" s="368"/>
      <c r="L111" s="337"/>
      <c r="M111" s="337"/>
      <c r="N111" s="337"/>
      <c r="O111" s="337"/>
      <c r="P111" s="337"/>
      <c r="Q111" s="363"/>
      <c r="R111" s="364"/>
      <c r="S111" s="364"/>
      <c r="T111" s="327"/>
      <c r="U111" s="43"/>
      <c r="V111" s="42"/>
      <c r="W111" s="22"/>
      <c r="X111" s="22"/>
      <c r="Z111" s="22" t="e">
        <f t="shared" si="18"/>
        <v>#DIV/0!</v>
      </c>
    </row>
    <row r="112" spans="1:26" x14ac:dyDescent="0.25">
      <c r="A112" s="240"/>
      <c r="B112" s="329"/>
      <c r="C112" s="331"/>
      <c r="D112" s="323"/>
      <c r="E112" s="323"/>
      <c r="F112" s="323"/>
      <c r="G112" s="322"/>
      <c r="H112" s="322"/>
      <c r="I112" s="323"/>
      <c r="J112" s="362"/>
      <c r="K112" s="368" t="s">
        <v>218</v>
      </c>
      <c r="L112" s="337">
        <v>5000000</v>
      </c>
      <c r="M112" s="337">
        <v>0</v>
      </c>
      <c r="N112" s="43">
        <f t="shared" ref="N112" si="20">L112-M112</f>
        <v>5000000</v>
      </c>
      <c r="O112" s="337"/>
      <c r="P112" s="337"/>
      <c r="Q112" s="363">
        <v>0</v>
      </c>
      <c r="R112" s="364">
        <v>0</v>
      </c>
      <c r="S112" s="364">
        <f>Q112+R112</f>
        <v>0</v>
      </c>
      <c r="T112" s="327">
        <f>S112/N112*100</f>
        <v>0</v>
      </c>
      <c r="U112" s="43">
        <f t="shared" si="14"/>
        <v>5000000</v>
      </c>
      <c r="V112" s="42"/>
      <c r="W112" s="22"/>
      <c r="X112" s="22">
        <f t="shared" si="16"/>
        <v>0</v>
      </c>
      <c r="Z112" s="65">
        <f t="shared" si="18"/>
        <v>0</v>
      </c>
    </row>
    <row r="113" spans="1:26" x14ac:dyDescent="0.25">
      <c r="A113" s="240"/>
      <c r="B113" s="329"/>
      <c r="C113" s="331"/>
      <c r="D113" s="323"/>
      <c r="E113" s="323"/>
      <c r="F113" s="323"/>
      <c r="G113" s="322"/>
      <c r="H113" s="322"/>
      <c r="I113" s="323"/>
      <c r="J113" s="362"/>
      <c r="K113" s="368"/>
      <c r="L113" s="337"/>
      <c r="M113" s="337"/>
      <c r="N113" s="43"/>
      <c r="O113" s="337"/>
      <c r="P113" s="337"/>
      <c r="Q113" s="363"/>
      <c r="R113" s="364"/>
      <c r="S113" s="364"/>
      <c r="T113" s="327"/>
      <c r="U113" s="43"/>
      <c r="V113" s="42"/>
      <c r="W113" s="22"/>
      <c r="X113" s="22"/>
      <c r="Z113" s="22" t="e">
        <f t="shared" si="18"/>
        <v>#DIV/0!</v>
      </c>
    </row>
    <row r="114" spans="1:26" x14ac:dyDescent="0.25">
      <c r="A114" s="394"/>
      <c r="B114" s="514" t="s">
        <v>253</v>
      </c>
      <c r="C114" s="515"/>
      <c r="D114" s="515"/>
      <c r="E114" s="515"/>
      <c r="F114" s="516"/>
      <c r="G114" s="401"/>
      <c r="H114" s="401"/>
      <c r="I114" s="395"/>
      <c r="J114" s="396"/>
      <c r="K114" s="421" t="s">
        <v>219</v>
      </c>
      <c r="L114" s="402">
        <v>12500000</v>
      </c>
      <c r="M114" s="402">
        <v>0</v>
      </c>
      <c r="N114" s="402">
        <f>L114-M114</f>
        <v>12500000</v>
      </c>
      <c r="O114" s="402"/>
      <c r="P114" s="402"/>
      <c r="Q114" s="419">
        <v>0</v>
      </c>
      <c r="R114" s="399">
        <v>6166500</v>
      </c>
      <c r="S114" s="399">
        <f>Q114+R114</f>
        <v>6166500</v>
      </c>
      <c r="T114" s="400">
        <f>S114/N114*100</f>
        <v>49.332000000000001</v>
      </c>
      <c r="U114" s="398">
        <f t="shared" ref="U114" si="21">N114-S114</f>
        <v>6333500</v>
      </c>
      <c r="V114" s="42"/>
      <c r="W114" s="22"/>
      <c r="X114" s="22">
        <f t="shared" si="16"/>
        <v>0</v>
      </c>
      <c r="Z114" s="65">
        <f t="shared" si="18"/>
        <v>0</v>
      </c>
    </row>
    <row r="115" spans="1:26" x14ac:dyDescent="0.25">
      <c r="A115" s="240"/>
      <c r="B115" s="329"/>
      <c r="C115" s="331"/>
      <c r="D115" s="323"/>
      <c r="E115" s="323"/>
      <c r="F115" s="323"/>
      <c r="G115" s="322"/>
      <c r="H115" s="322"/>
      <c r="I115" s="323"/>
      <c r="J115" s="362"/>
      <c r="K115" s="368"/>
      <c r="L115" s="337"/>
      <c r="M115" s="337"/>
      <c r="N115" s="43"/>
      <c r="O115" s="337"/>
      <c r="P115" s="337"/>
      <c r="Q115" s="363"/>
      <c r="R115" s="364"/>
      <c r="S115" s="364"/>
      <c r="T115" s="327"/>
      <c r="U115" s="43"/>
      <c r="V115" s="42"/>
      <c r="W115" s="22"/>
      <c r="X115" s="22"/>
      <c r="Z115" s="22" t="e">
        <f t="shared" si="18"/>
        <v>#DIV/0!</v>
      </c>
    </row>
    <row r="116" spans="1:26" x14ac:dyDescent="0.25">
      <c r="A116" s="394"/>
      <c r="B116" s="514" t="s">
        <v>254</v>
      </c>
      <c r="C116" s="515"/>
      <c r="D116" s="515"/>
      <c r="E116" s="515"/>
      <c r="F116" s="516"/>
      <c r="G116" s="401"/>
      <c r="H116" s="401"/>
      <c r="I116" s="395"/>
      <c r="J116" s="396"/>
      <c r="K116" s="421" t="s">
        <v>220</v>
      </c>
      <c r="L116" s="402">
        <v>15000000</v>
      </c>
      <c r="M116" s="402">
        <v>0</v>
      </c>
      <c r="N116" s="402">
        <f>L116-M116</f>
        <v>15000000</v>
      </c>
      <c r="O116" s="402"/>
      <c r="P116" s="402"/>
      <c r="Q116" s="419">
        <v>0</v>
      </c>
      <c r="R116" s="399">
        <v>15000000</v>
      </c>
      <c r="S116" s="399">
        <f>Q116+R116</f>
        <v>15000000</v>
      </c>
      <c r="T116" s="400">
        <f>S116/N116*100</f>
        <v>100</v>
      </c>
      <c r="U116" s="398">
        <f t="shared" ref="U116" si="22">N116-S116</f>
        <v>0</v>
      </c>
      <c r="V116" s="42"/>
      <c r="W116" s="22"/>
      <c r="X116" s="22">
        <f t="shared" si="16"/>
        <v>0</v>
      </c>
      <c r="Z116" s="65">
        <f t="shared" si="18"/>
        <v>0</v>
      </c>
    </row>
    <row r="117" spans="1:26" x14ac:dyDescent="0.25">
      <c r="A117" s="240"/>
      <c r="B117" s="329"/>
      <c r="C117" s="331"/>
      <c r="D117" s="323"/>
      <c r="E117" s="323"/>
      <c r="F117" s="323"/>
      <c r="G117" s="322"/>
      <c r="H117" s="322"/>
      <c r="I117" s="323"/>
      <c r="J117" s="324"/>
      <c r="K117" s="334"/>
      <c r="L117" s="332"/>
      <c r="M117" s="332"/>
      <c r="N117" s="335"/>
      <c r="O117" s="332"/>
      <c r="P117" s="332"/>
      <c r="Q117" s="325"/>
      <c r="R117" s="141"/>
      <c r="S117" s="141"/>
      <c r="T117" s="327"/>
      <c r="U117" s="43"/>
      <c r="V117" s="42"/>
      <c r="W117" s="22"/>
      <c r="X117" s="22"/>
      <c r="Z117" s="22" t="e">
        <f t="shared" si="18"/>
        <v>#DIV/0!</v>
      </c>
    </row>
    <row r="118" spans="1:26" x14ac:dyDescent="0.25">
      <c r="A118" s="39"/>
      <c r="B118" s="383">
        <v>4</v>
      </c>
      <c r="C118" s="384"/>
      <c r="D118" s="385"/>
      <c r="E118" s="385"/>
      <c r="F118" s="385"/>
      <c r="G118" s="386"/>
      <c r="H118" s="386"/>
      <c r="I118" s="385"/>
      <c r="J118" s="343"/>
      <c r="K118" s="344" t="s">
        <v>135</v>
      </c>
      <c r="L118" s="42">
        <f>L121+L133</f>
        <v>656145000</v>
      </c>
      <c r="M118" s="42">
        <f>M121+M133</f>
        <v>0</v>
      </c>
      <c r="N118" s="42">
        <f>L118-M118</f>
        <v>656145000</v>
      </c>
      <c r="O118" s="345"/>
      <c r="P118" s="345"/>
      <c r="Q118" s="42">
        <f>Q121+Q133</f>
        <v>17930000</v>
      </c>
      <c r="R118" s="42">
        <v>170440000</v>
      </c>
      <c r="S118" s="42">
        <f>Q118+R118</f>
        <v>188370000</v>
      </c>
      <c r="T118" s="291">
        <f>S118/N118*100</f>
        <v>28.708593374939991</v>
      </c>
      <c r="U118" s="42">
        <f t="shared" ref="U118:U144" si="23">N118-S118</f>
        <v>467775000</v>
      </c>
      <c r="V118" s="42">
        <f t="shared" si="17"/>
        <v>233887500</v>
      </c>
      <c r="W118" s="22">
        <f>Q118/N118*100</f>
        <v>2.7326276966219356</v>
      </c>
      <c r="X118" s="22">
        <f t="shared" si="16"/>
        <v>2.7326276966219356</v>
      </c>
      <c r="Z118" s="22">
        <f t="shared" si="18"/>
        <v>2.7326276966219356</v>
      </c>
    </row>
    <row r="119" spans="1:26" x14ac:dyDescent="0.25">
      <c r="A119" s="240"/>
      <c r="B119" s="329"/>
      <c r="C119" s="331"/>
      <c r="D119" s="323"/>
      <c r="E119" s="323"/>
      <c r="F119" s="323"/>
      <c r="G119" s="322"/>
      <c r="H119" s="322"/>
      <c r="I119" s="323"/>
      <c r="J119" s="324"/>
      <c r="K119" s="334"/>
      <c r="L119" s="332"/>
      <c r="M119" s="332"/>
      <c r="N119" s="335"/>
      <c r="O119" s="332"/>
      <c r="P119" s="332"/>
      <c r="Q119" s="325"/>
      <c r="R119" s="141"/>
      <c r="S119" s="141"/>
      <c r="T119" s="327"/>
      <c r="U119" s="43"/>
      <c r="V119" s="42">
        <f t="shared" si="17"/>
        <v>0</v>
      </c>
      <c r="W119" s="22"/>
      <c r="X119" s="22"/>
      <c r="Z119" s="22" t="e">
        <f t="shared" si="18"/>
        <v>#DIV/0!</v>
      </c>
    </row>
    <row r="120" spans="1:26" x14ac:dyDescent="0.25">
      <c r="A120" s="240"/>
      <c r="B120" s="329"/>
      <c r="C120" s="331"/>
      <c r="D120" s="323"/>
      <c r="E120" s="323"/>
      <c r="F120" s="323"/>
      <c r="G120" s="322"/>
      <c r="H120" s="322"/>
      <c r="I120" s="323"/>
      <c r="J120" s="324"/>
      <c r="K120" s="334"/>
      <c r="L120" s="332"/>
      <c r="M120" s="332"/>
      <c r="N120" s="335"/>
      <c r="O120" s="332"/>
      <c r="P120" s="332"/>
      <c r="Q120" s="325"/>
      <c r="R120" s="141"/>
      <c r="S120" s="141"/>
      <c r="T120" s="327"/>
      <c r="U120" s="43"/>
      <c r="V120" s="42">
        <f t="shared" si="17"/>
        <v>0</v>
      </c>
      <c r="W120" s="22"/>
      <c r="X120" s="22"/>
      <c r="Z120" s="22" t="e">
        <f t="shared" si="18"/>
        <v>#DIV/0!</v>
      </c>
    </row>
    <row r="121" spans="1:26" x14ac:dyDescent="0.25">
      <c r="A121" s="394"/>
      <c r="B121" s="404" t="s">
        <v>255</v>
      </c>
      <c r="C121" s="423"/>
      <c r="D121" s="416"/>
      <c r="E121" s="414"/>
      <c r="F121" s="414"/>
      <c r="G121" s="413"/>
      <c r="H121" s="413"/>
      <c r="I121" s="414"/>
      <c r="J121" s="415"/>
      <c r="K121" s="421" t="s">
        <v>256</v>
      </c>
      <c r="L121" s="398">
        <f>L123+L125+L127+L129+L131</f>
        <v>189650000</v>
      </c>
      <c r="M121" s="398">
        <f>M123+M125+M127+M129</f>
        <v>0</v>
      </c>
      <c r="N121" s="398">
        <f t="shared" ref="N121:N152" si="24">L121-M121</f>
        <v>189650000</v>
      </c>
      <c r="O121" s="402"/>
      <c r="P121" s="402"/>
      <c r="Q121" s="399">
        <f>Q123+Q125+Q126</f>
        <v>3750000</v>
      </c>
      <c r="R121" s="399">
        <v>18300000</v>
      </c>
      <c r="S121" s="399">
        <f>Q121+R121</f>
        <v>22050000</v>
      </c>
      <c r="T121" s="400">
        <f>S121/N121*100</f>
        <v>11.626680727656209</v>
      </c>
      <c r="U121" s="398">
        <f t="shared" si="23"/>
        <v>167600000</v>
      </c>
      <c r="V121" s="42">
        <f t="shared" si="17"/>
        <v>83800000</v>
      </c>
      <c r="W121" s="22">
        <f t="shared" ref="W121:W154" si="25">Q121/N121*100</f>
        <v>1.9773266543633008</v>
      </c>
      <c r="X121" s="22">
        <f t="shared" si="16"/>
        <v>1.9773266543633008</v>
      </c>
      <c r="Z121" s="65">
        <f t="shared" si="18"/>
        <v>1.9773266543633008</v>
      </c>
    </row>
    <row r="122" spans="1:26" x14ac:dyDescent="0.25">
      <c r="A122" s="240"/>
      <c r="B122" s="329"/>
      <c r="C122" s="331"/>
      <c r="D122" s="323"/>
      <c r="E122" s="323"/>
      <c r="F122" s="323"/>
      <c r="G122" s="322"/>
      <c r="H122" s="322"/>
      <c r="I122" s="323"/>
      <c r="J122" s="324"/>
      <c r="K122" s="334"/>
      <c r="L122" s="332"/>
      <c r="M122" s="332"/>
      <c r="N122" s="335">
        <f t="shared" si="24"/>
        <v>0</v>
      </c>
      <c r="O122" s="332"/>
      <c r="P122" s="332"/>
      <c r="Q122" s="325"/>
      <c r="R122" s="141"/>
      <c r="S122" s="141"/>
      <c r="T122" s="327"/>
      <c r="U122" s="43"/>
      <c r="V122" s="42">
        <f t="shared" si="17"/>
        <v>0</v>
      </c>
      <c r="W122" s="22"/>
      <c r="X122" s="22"/>
      <c r="Z122" s="22" t="e">
        <f t="shared" si="18"/>
        <v>#DIV/0!</v>
      </c>
    </row>
    <row r="123" spans="1:26" x14ac:dyDescent="0.25">
      <c r="A123" s="240"/>
      <c r="B123" s="329"/>
      <c r="C123" s="331"/>
      <c r="D123" s="323"/>
      <c r="E123" s="323"/>
      <c r="F123" s="323"/>
      <c r="G123" s="322"/>
      <c r="H123" s="322"/>
      <c r="I123" s="323"/>
      <c r="J123" s="324"/>
      <c r="K123" s="336" t="s">
        <v>221</v>
      </c>
      <c r="L123" s="326">
        <v>39000000</v>
      </c>
      <c r="M123" s="326">
        <v>0</v>
      </c>
      <c r="N123" s="43">
        <f t="shared" si="24"/>
        <v>39000000</v>
      </c>
      <c r="O123" s="332"/>
      <c r="P123" s="332"/>
      <c r="Q123" s="141">
        <v>0</v>
      </c>
      <c r="R123" s="141">
        <v>0</v>
      </c>
      <c r="S123" s="141">
        <f>Q123+R123</f>
        <v>0</v>
      </c>
      <c r="T123" s="327">
        <f>S123/N123*100</f>
        <v>0</v>
      </c>
      <c r="U123" s="43">
        <f t="shared" si="23"/>
        <v>39000000</v>
      </c>
      <c r="V123" s="42">
        <f t="shared" si="17"/>
        <v>19500000</v>
      </c>
      <c r="W123" s="22">
        <f t="shared" si="25"/>
        <v>0</v>
      </c>
      <c r="X123" s="22">
        <f t="shared" si="16"/>
        <v>0</v>
      </c>
      <c r="Z123" s="22">
        <f t="shared" si="18"/>
        <v>0</v>
      </c>
    </row>
    <row r="124" spans="1:26" x14ac:dyDescent="0.25">
      <c r="A124" s="240"/>
      <c r="B124" s="329"/>
      <c r="C124" s="331"/>
      <c r="D124" s="323"/>
      <c r="E124" s="323"/>
      <c r="F124" s="323"/>
      <c r="G124" s="322"/>
      <c r="H124" s="322"/>
      <c r="I124" s="323"/>
      <c r="J124" s="324"/>
      <c r="K124" s="336"/>
      <c r="L124" s="43">
        <f>L125+L127+L129+L131</f>
        <v>150650000</v>
      </c>
      <c r="M124" s="43"/>
      <c r="N124" s="43">
        <f>N125+N127+N129+N131</f>
        <v>150650000</v>
      </c>
      <c r="O124" s="337"/>
      <c r="P124" s="337"/>
      <c r="Q124" s="43">
        <f>Q125+Q127+Q129+Q131</f>
        <v>3750000</v>
      </c>
      <c r="R124" s="43">
        <v>18300000</v>
      </c>
      <c r="S124" s="43">
        <f>S125+S127+S129+S131</f>
        <v>22050000</v>
      </c>
      <c r="T124" s="327">
        <f>S124/N124*100</f>
        <v>14.636574842349818</v>
      </c>
      <c r="U124" s="43">
        <f t="shared" si="23"/>
        <v>128600000</v>
      </c>
      <c r="V124" s="270">
        <f t="shared" si="17"/>
        <v>64300000</v>
      </c>
      <c r="W124" s="273"/>
      <c r="X124" s="22">
        <f t="shared" si="16"/>
        <v>2.4892134085628941</v>
      </c>
      <c r="Y124" s="274"/>
      <c r="Z124" s="22">
        <f t="shared" si="18"/>
        <v>2.4892134085628941</v>
      </c>
    </row>
    <row r="125" spans="1:26" x14ac:dyDescent="0.25">
      <c r="A125" s="240"/>
      <c r="B125" s="329"/>
      <c r="C125" s="331"/>
      <c r="D125" s="323"/>
      <c r="E125" s="323"/>
      <c r="F125" s="323"/>
      <c r="G125" s="322"/>
      <c r="H125" s="322"/>
      <c r="I125" s="323"/>
      <c r="J125" s="324"/>
      <c r="K125" s="336" t="s">
        <v>222</v>
      </c>
      <c r="L125" s="326">
        <v>100000000</v>
      </c>
      <c r="M125" s="326">
        <v>0</v>
      </c>
      <c r="N125" s="335">
        <f t="shared" si="24"/>
        <v>100000000</v>
      </c>
      <c r="O125" s="332"/>
      <c r="P125" s="332"/>
      <c r="Q125" s="141">
        <v>0</v>
      </c>
      <c r="R125" s="141">
        <v>0</v>
      </c>
      <c r="S125" s="141">
        <f t="shared" ref="S125:S129" si="26">Q125+R125</f>
        <v>0</v>
      </c>
      <c r="T125" s="327"/>
      <c r="U125" s="43">
        <f t="shared" si="23"/>
        <v>100000000</v>
      </c>
      <c r="V125" s="42">
        <f t="shared" si="17"/>
        <v>50000000</v>
      </c>
      <c r="W125" s="22"/>
      <c r="X125" s="22">
        <f t="shared" si="16"/>
        <v>0</v>
      </c>
      <c r="Z125" s="22">
        <f t="shared" si="18"/>
        <v>0</v>
      </c>
    </row>
    <row r="126" spans="1:26" x14ac:dyDescent="0.25">
      <c r="A126" s="240"/>
      <c r="B126" s="329"/>
      <c r="C126" s="331"/>
      <c r="D126" s="323"/>
      <c r="E126" s="323"/>
      <c r="F126" s="323"/>
      <c r="G126" s="322"/>
      <c r="H126" s="322"/>
      <c r="I126" s="323"/>
      <c r="J126" s="324"/>
      <c r="K126" s="336" t="s">
        <v>275</v>
      </c>
      <c r="L126" s="326">
        <f>L127+L129+L131</f>
        <v>50650000</v>
      </c>
      <c r="M126" s="326"/>
      <c r="N126" s="326">
        <f>N127+N129+N131</f>
        <v>50650000</v>
      </c>
      <c r="O126" s="332"/>
      <c r="P126" s="332"/>
      <c r="Q126" s="326">
        <f>Q127+Q129+Q131</f>
        <v>3750000</v>
      </c>
      <c r="R126" s="326">
        <v>18300000</v>
      </c>
      <c r="S126" s="141">
        <f>Q126+R126</f>
        <v>22050000</v>
      </c>
      <c r="T126" s="327">
        <f>S126/N126*100</f>
        <v>43.53405725567621</v>
      </c>
      <c r="U126" s="43">
        <f t="shared" si="23"/>
        <v>28600000</v>
      </c>
      <c r="V126" s="42">
        <f t="shared" si="17"/>
        <v>14300000</v>
      </c>
      <c r="W126" s="22"/>
      <c r="X126" s="22"/>
      <c r="Z126" s="22">
        <f t="shared" si="18"/>
        <v>7.4037512339585385</v>
      </c>
    </row>
    <row r="127" spans="1:26" x14ac:dyDescent="0.25">
      <c r="A127" s="240"/>
      <c r="B127" s="329"/>
      <c r="C127" s="331"/>
      <c r="D127" s="323"/>
      <c r="E127" s="323"/>
      <c r="F127" s="323"/>
      <c r="G127" s="322"/>
      <c r="H127" s="322"/>
      <c r="I127" s="323"/>
      <c r="J127" s="324"/>
      <c r="K127" s="336" t="s">
        <v>224</v>
      </c>
      <c r="L127" s="326">
        <v>3600000</v>
      </c>
      <c r="M127" s="326">
        <v>0</v>
      </c>
      <c r="N127" s="335">
        <f t="shared" si="24"/>
        <v>3600000</v>
      </c>
      <c r="O127" s="332"/>
      <c r="P127" s="332"/>
      <c r="Q127" s="141">
        <v>0</v>
      </c>
      <c r="R127" s="141">
        <v>1200000</v>
      </c>
      <c r="S127" s="141">
        <f t="shared" si="26"/>
        <v>1200000</v>
      </c>
      <c r="T127" s="327">
        <f>S127/N127*100</f>
        <v>33.333333333333329</v>
      </c>
      <c r="U127" s="43">
        <f t="shared" si="23"/>
        <v>2400000</v>
      </c>
      <c r="V127" s="42">
        <f t="shared" si="17"/>
        <v>1200000</v>
      </c>
      <c r="W127" s="22"/>
      <c r="X127" s="22">
        <f t="shared" si="16"/>
        <v>0</v>
      </c>
      <c r="Z127" s="22">
        <f t="shared" si="18"/>
        <v>0</v>
      </c>
    </row>
    <row r="128" spans="1:26" x14ac:dyDescent="0.25">
      <c r="A128" s="240"/>
      <c r="B128" s="329"/>
      <c r="C128" s="331"/>
      <c r="D128" s="323"/>
      <c r="E128" s="323"/>
      <c r="F128" s="323"/>
      <c r="G128" s="322"/>
      <c r="H128" s="322"/>
      <c r="I128" s="323"/>
      <c r="J128" s="324"/>
      <c r="K128" s="336"/>
      <c r="L128" s="326"/>
      <c r="M128" s="326"/>
      <c r="N128" s="335"/>
      <c r="O128" s="332"/>
      <c r="P128" s="332"/>
      <c r="Q128" s="141"/>
      <c r="R128" s="141"/>
      <c r="S128" s="141"/>
      <c r="T128" s="327"/>
      <c r="U128" s="43"/>
      <c r="V128" s="42">
        <f t="shared" si="17"/>
        <v>0</v>
      </c>
      <c r="W128" s="22"/>
      <c r="X128" s="22"/>
      <c r="Z128" s="22" t="e">
        <f t="shared" si="18"/>
        <v>#DIV/0!</v>
      </c>
    </row>
    <row r="129" spans="1:32" x14ac:dyDescent="0.25">
      <c r="A129" s="240"/>
      <c r="B129" s="329"/>
      <c r="C129" s="331"/>
      <c r="D129" s="323"/>
      <c r="E129" s="323"/>
      <c r="F129" s="323"/>
      <c r="G129" s="322"/>
      <c r="H129" s="322"/>
      <c r="I129" s="323"/>
      <c r="J129" s="324"/>
      <c r="K129" s="336" t="s">
        <v>141</v>
      </c>
      <c r="L129" s="326">
        <v>43900000</v>
      </c>
      <c r="M129" s="326">
        <v>0</v>
      </c>
      <c r="N129" s="335">
        <f t="shared" si="24"/>
        <v>43900000</v>
      </c>
      <c r="O129" s="332"/>
      <c r="P129" s="332"/>
      <c r="Q129" s="141">
        <v>3750000</v>
      </c>
      <c r="R129" s="141">
        <v>17100000</v>
      </c>
      <c r="S129" s="141">
        <f t="shared" si="26"/>
        <v>20850000</v>
      </c>
      <c r="T129" s="327">
        <f>S129/N129*100</f>
        <v>47.494305239179958</v>
      </c>
      <c r="U129" s="43">
        <f t="shared" si="23"/>
        <v>23050000</v>
      </c>
      <c r="V129" s="42">
        <f t="shared" si="17"/>
        <v>11525000</v>
      </c>
      <c r="W129" s="22">
        <f t="shared" si="25"/>
        <v>8.5421412300683368</v>
      </c>
      <c r="X129" s="22">
        <f t="shared" si="16"/>
        <v>8.5421412300683368</v>
      </c>
      <c r="Z129" s="22">
        <f t="shared" si="18"/>
        <v>8.5421412300683368</v>
      </c>
    </row>
    <row r="130" spans="1:32" x14ac:dyDescent="0.25">
      <c r="A130" s="240"/>
      <c r="B130" s="329"/>
      <c r="C130" s="331"/>
      <c r="D130" s="323"/>
      <c r="E130" s="323"/>
      <c r="F130" s="323"/>
      <c r="G130" s="322"/>
      <c r="H130" s="322"/>
      <c r="I130" s="323"/>
      <c r="J130" s="324"/>
      <c r="K130" s="336"/>
      <c r="L130" s="326"/>
      <c r="M130" s="326"/>
      <c r="N130" s="335"/>
      <c r="O130" s="332"/>
      <c r="P130" s="332"/>
      <c r="Q130" s="141"/>
      <c r="R130" s="141"/>
      <c r="S130" s="141"/>
      <c r="T130" s="327" t="e">
        <f>S130/N130*100</f>
        <v>#DIV/0!</v>
      </c>
      <c r="U130" s="43"/>
      <c r="V130" s="42"/>
      <c r="W130" s="22"/>
      <c r="X130" s="22"/>
      <c r="Z130" s="22"/>
    </row>
    <row r="131" spans="1:32" x14ac:dyDescent="0.25">
      <c r="A131" s="240"/>
      <c r="B131" s="329"/>
      <c r="C131" s="331"/>
      <c r="D131" s="323"/>
      <c r="E131" s="323"/>
      <c r="F131" s="323"/>
      <c r="G131" s="322"/>
      <c r="H131" s="322"/>
      <c r="I131" s="323"/>
      <c r="J131" s="324"/>
      <c r="K131" s="336" t="s">
        <v>223</v>
      </c>
      <c r="L131" s="326">
        <v>3150000</v>
      </c>
      <c r="M131" s="326">
        <v>0</v>
      </c>
      <c r="N131" s="335">
        <f t="shared" si="24"/>
        <v>3150000</v>
      </c>
      <c r="O131" s="332"/>
      <c r="P131" s="332"/>
      <c r="Q131" s="141"/>
      <c r="R131" s="141"/>
      <c r="S131" s="141"/>
      <c r="T131" s="327">
        <f>S131/N131*100</f>
        <v>0</v>
      </c>
      <c r="U131" s="43">
        <f t="shared" si="23"/>
        <v>3150000</v>
      </c>
      <c r="V131" s="42"/>
      <c r="W131" s="22"/>
      <c r="X131" s="22">
        <f t="shared" si="16"/>
        <v>0</v>
      </c>
      <c r="Z131" s="22"/>
    </row>
    <row r="132" spans="1:32" x14ac:dyDescent="0.25">
      <c r="A132" s="240"/>
      <c r="B132" s="329"/>
      <c r="C132" s="331"/>
      <c r="D132" s="323"/>
      <c r="E132" s="323"/>
      <c r="F132" s="323"/>
      <c r="G132" s="322"/>
      <c r="H132" s="322"/>
      <c r="I132" s="323"/>
      <c r="J132" s="324"/>
      <c r="K132" s="334"/>
      <c r="L132" s="332"/>
      <c r="M132" s="332"/>
      <c r="N132" s="335"/>
      <c r="O132" s="332"/>
      <c r="P132" s="332"/>
      <c r="Q132" s="325"/>
      <c r="R132" s="141"/>
      <c r="S132" s="141"/>
      <c r="T132" s="327"/>
      <c r="U132" s="43"/>
      <c r="V132" s="42">
        <f t="shared" si="17"/>
        <v>0</v>
      </c>
      <c r="W132" s="22"/>
      <c r="X132" s="22"/>
      <c r="Z132" s="22" t="e">
        <f t="shared" si="18"/>
        <v>#DIV/0!</v>
      </c>
    </row>
    <row r="133" spans="1:32" x14ac:dyDescent="0.25">
      <c r="A133" s="403"/>
      <c r="B133" s="514" t="s">
        <v>257</v>
      </c>
      <c r="C133" s="515"/>
      <c r="D133" s="515"/>
      <c r="E133" s="515"/>
      <c r="F133" s="515"/>
      <c r="G133" s="516"/>
      <c r="H133" s="412"/>
      <c r="I133" s="409"/>
      <c r="J133" s="410"/>
      <c r="K133" s="424" t="s">
        <v>143</v>
      </c>
      <c r="L133" s="398">
        <f>L135+L137+L139+L146</f>
        <v>466495000</v>
      </c>
      <c r="M133" s="398">
        <f>M135+M137+M139+M144+M146</f>
        <v>0</v>
      </c>
      <c r="N133" s="398">
        <f t="shared" ref="N133" si="27">L133-M133</f>
        <v>466495000</v>
      </c>
      <c r="O133" s="402"/>
      <c r="P133" s="402"/>
      <c r="Q133" s="398">
        <f>Q135+Q137+Q139+Q144+Q146</f>
        <v>14180000</v>
      </c>
      <c r="R133" s="398">
        <v>152140000</v>
      </c>
      <c r="S133" s="398">
        <f t="shared" ref="S133:S144" si="28">Q133+R133</f>
        <v>166320000</v>
      </c>
      <c r="T133" s="400">
        <f>S133/N133*100</f>
        <v>35.653115253110968</v>
      </c>
      <c r="U133" s="398">
        <f t="shared" si="23"/>
        <v>300175000</v>
      </c>
      <c r="V133" s="42">
        <f t="shared" si="17"/>
        <v>150087500</v>
      </c>
      <c r="W133" s="22">
        <f t="shared" si="25"/>
        <v>3.039689600102895</v>
      </c>
      <c r="X133" s="22">
        <f t="shared" si="16"/>
        <v>3.039689600102895</v>
      </c>
      <c r="Z133" s="65">
        <f t="shared" si="18"/>
        <v>3.039689600102895</v>
      </c>
    </row>
    <row r="134" spans="1:32" x14ac:dyDescent="0.25">
      <c r="A134" s="232"/>
      <c r="B134" s="314"/>
      <c r="C134" s="314"/>
      <c r="D134" s="348"/>
      <c r="E134" s="349"/>
      <c r="F134" s="349"/>
      <c r="G134" s="349"/>
      <c r="H134" s="318"/>
      <c r="I134" s="319"/>
      <c r="J134" s="312"/>
      <c r="K134" s="377"/>
      <c r="L134" s="43"/>
      <c r="M134" s="43"/>
      <c r="N134" s="43"/>
      <c r="O134" s="337"/>
      <c r="P134" s="337"/>
      <c r="Q134" s="43"/>
      <c r="R134" s="43"/>
      <c r="S134" s="43"/>
      <c r="T134" s="327"/>
      <c r="U134" s="43"/>
      <c r="V134" s="42"/>
      <c r="W134" s="22"/>
      <c r="X134" s="22"/>
      <c r="Z134" s="65"/>
    </row>
    <row r="135" spans="1:32" x14ac:dyDescent="0.25">
      <c r="A135" s="255"/>
      <c r="B135" s="328"/>
      <c r="C135" s="328"/>
      <c r="D135" s="350"/>
      <c r="E135" s="349"/>
      <c r="F135" s="349"/>
      <c r="G135" s="349"/>
      <c r="H135" s="318"/>
      <c r="I135" s="319"/>
      <c r="J135" s="362"/>
      <c r="K135" s="468" t="s">
        <v>225</v>
      </c>
      <c r="L135" s="466">
        <v>11750000</v>
      </c>
      <c r="M135" s="466">
        <v>0</v>
      </c>
      <c r="N135" s="467">
        <f t="shared" si="24"/>
        <v>11750000</v>
      </c>
      <c r="O135" s="466"/>
      <c r="P135" s="466"/>
      <c r="Q135" s="466">
        <v>660000</v>
      </c>
      <c r="R135" s="470">
        <v>760000</v>
      </c>
      <c r="S135" s="470">
        <f t="shared" si="28"/>
        <v>1420000</v>
      </c>
      <c r="T135" s="471">
        <f t="shared" ref="T135" si="29">S135/N135*100</f>
        <v>12.085106382978724</v>
      </c>
      <c r="U135" s="466">
        <f t="shared" si="23"/>
        <v>10330000</v>
      </c>
      <c r="V135" s="42">
        <f t="shared" si="17"/>
        <v>5165000</v>
      </c>
      <c r="W135" s="22"/>
      <c r="X135" s="22">
        <f t="shared" si="16"/>
        <v>5.6170212765957448</v>
      </c>
      <c r="Z135" s="22">
        <f t="shared" si="18"/>
        <v>5.6170212765957448</v>
      </c>
    </row>
    <row r="136" spans="1:32" x14ac:dyDescent="0.25">
      <c r="A136" s="255"/>
      <c r="B136" s="328"/>
      <c r="C136" s="328"/>
      <c r="D136" s="348"/>
      <c r="E136" s="349"/>
      <c r="F136" s="349"/>
      <c r="G136" s="349"/>
      <c r="H136" s="318"/>
      <c r="I136" s="319"/>
      <c r="J136" s="362"/>
      <c r="K136" s="368"/>
      <c r="L136" s="337"/>
      <c r="M136" s="337"/>
      <c r="N136" s="337"/>
      <c r="O136" s="337"/>
      <c r="P136" s="337"/>
      <c r="Q136" s="337"/>
      <c r="R136" s="363"/>
      <c r="S136" s="363"/>
      <c r="T136" s="327"/>
      <c r="U136" s="43"/>
      <c r="V136" s="42">
        <f t="shared" si="17"/>
        <v>0</v>
      </c>
      <c r="W136" s="22"/>
      <c r="X136" s="22"/>
      <c r="Z136" s="22" t="e">
        <f t="shared" si="18"/>
        <v>#DIV/0!</v>
      </c>
    </row>
    <row r="137" spans="1:32" x14ac:dyDescent="0.25">
      <c r="A137" s="255"/>
      <c r="B137" s="328"/>
      <c r="C137" s="328"/>
      <c r="D137" s="348"/>
      <c r="E137" s="349"/>
      <c r="F137" s="349"/>
      <c r="G137" s="349"/>
      <c r="H137" s="318"/>
      <c r="I137" s="319"/>
      <c r="J137" s="362"/>
      <c r="K137" s="368" t="s">
        <v>226</v>
      </c>
      <c r="L137" s="337">
        <v>895000</v>
      </c>
      <c r="M137" s="337">
        <v>0</v>
      </c>
      <c r="N137" s="337">
        <f t="shared" si="24"/>
        <v>895000</v>
      </c>
      <c r="O137" s="337"/>
      <c r="P137" s="337"/>
      <c r="Q137" s="337">
        <v>0</v>
      </c>
      <c r="R137" s="363">
        <v>0</v>
      </c>
      <c r="S137" s="363">
        <f t="shared" si="28"/>
        <v>0</v>
      </c>
      <c r="T137" s="327"/>
      <c r="U137" s="43">
        <f t="shared" si="23"/>
        <v>895000</v>
      </c>
      <c r="V137" s="42">
        <f t="shared" si="17"/>
        <v>447500</v>
      </c>
      <c r="W137" s="22"/>
      <c r="X137" s="22">
        <f t="shared" si="16"/>
        <v>0</v>
      </c>
      <c r="Z137" s="22">
        <f t="shared" si="18"/>
        <v>0</v>
      </c>
    </row>
    <row r="138" spans="1:32" x14ac:dyDescent="0.25">
      <c r="A138" s="240"/>
      <c r="B138" s="329"/>
      <c r="C138" s="331"/>
      <c r="D138" s="323"/>
      <c r="E138" s="323"/>
      <c r="F138" s="323"/>
      <c r="G138" s="322"/>
      <c r="H138" s="322"/>
      <c r="I138" s="323"/>
      <c r="J138" s="362"/>
      <c r="K138" s="368"/>
      <c r="L138" s="337"/>
      <c r="M138" s="337"/>
      <c r="N138" s="337"/>
      <c r="O138" s="43"/>
      <c r="P138" s="43"/>
      <c r="Q138" s="363"/>
      <c r="R138" s="364"/>
      <c r="S138" s="364"/>
      <c r="T138" s="327"/>
      <c r="U138" s="43"/>
      <c r="V138" s="42">
        <f t="shared" si="17"/>
        <v>0</v>
      </c>
      <c r="W138" s="22"/>
      <c r="X138" s="22"/>
      <c r="Z138" s="22" t="e">
        <f t="shared" si="18"/>
        <v>#DIV/0!</v>
      </c>
    </row>
    <row r="139" spans="1:32" x14ac:dyDescent="0.25">
      <c r="A139" s="240"/>
      <c r="B139" s="329"/>
      <c r="C139" s="331"/>
      <c r="D139" s="350"/>
      <c r="E139" s="351"/>
      <c r="F139" s="351"/>
      <c r="G139" s="351"/>
      <c r="H139" s="318"/>
      <c r="I139" s="319"/>
      <c r="J139" s="362"/>
      <c r="K139" s="465" t="s">
        <v>227</v>
      </c>
      <c r="L139" s="466">
        <f>L140+L141+L142+L144</f>
        <v>355800000</v>
      </c>
      <c r="M139" s="466">
        <f>M140+M141</f>
        <v>0</v>
      </c>
      <c r="N139" s="467">
        <f t="shared" si="24"/>
        <v>355800000</v>
      </c>
      <c r="O139" s="467"/>
      <c r="P139" s="467"/>
      <c r="Q139" s="466">
        <f>Q140+Q141+Q142</f>
        <v>13520000</v>
      </c>
      <c r="R139" s="470">
        <v>106380000</v>
      </c>
      <c r="S139" s="470">
        <f t="shared" si="28"/>
        <v>119900000</v>
      </c>
      <c r="T139" s="471">
        <f t="shared" ref="T139:T141" si="30">S139/N139*100</f>
        <v>33.698707138842046</v>
      </c>
      <c r="U139" s="466">
        <f t="shared" si="23"/>
        <v>235900000</v>
      </c>
      <c r="V139" s="42">
        <f t="shared" si="17"/>
        <v>117950000</v>
      </c>
      <c r="W139" s="22">
        <f t="shared" si="25"/>
        <v>3.7998875772906131</v>
      </c>
      <c r="X139" s="22">
        <f t="shared" si="16"/>
        <v>3.7998875772906131</v>
      </c>
      <c r="Z139" s="65">
        <f t="shared" si="18"/>
        <v>3.7998875772906131</v>
      </c>
    </row>
    <row r="140" spans="1:32" x14ac:dyDescent="0.25">
      <c r="A140" s="240"/>
      <c r="B140" s="329"/>
      <c r="C140" s="331"/>
      <c r="D140" s="323"/>
      <c r="E140" s="323"/>
      <c r="F140" s="323"/>
      <c r="G140" s="322"/>
      <c r="H140" s="322"/>
      <c r="I140" s="323"/>
      <c r="J140" s="362"/>
      <c r="K140" s="375" t="s">
        <v>228</v>
      </c>
      <c r="L140" s="337">
        <v>192000000</v>
      </c>
      <c r="M140" s="337">
        <v>0</v>
      </c>
      <c r="N140" s="337">
        <f t="shared" si="24"/>
        <v>192000000</v>
      </c>
      <c r="O140" s="337"/>
      <c r="P140" s="337"/>
      <c r="Q140" s="376">
        <v>13000000</v>
      </c>
      <c r="R140" s="364">
        <v>87000000</v>
      </c>
      <c r="S140" s="364">
        <f t="shared" si="28"/>
        <v>100000000</v>
      </c>
      <c r="T140" s="327"/>
      <c r="U140" s="43">
        <f t="shared" si="23"/>
        <v>92000000</v>
      </c>
      <c r="V140" s="42">
        <f t="shared" si="17"/>
        <v>46000000</v>
      </c>
      <c r="W140" s="22"/>
      <c r="X140" s="22">
        <f t="shared" si="16"/>
        <v>6.770833333333333</v>
      </c>
      <c r="Z140" s="22">
        <f t="shared" si="18"/>
        <v>6.770833333333333</v>
      </c>
    </row>
    <row r="141" spans="1:32" x14ac:dyDescent="0.25">
      <c r="A141" s="240"/>
      <c r="B141" s="329"/>
      <c r="C141" s="331"/>
      <c r="D141" s="323"/>
      <c r="E141" s="323"/>
      <c r="F141" s="323"/>
      <c r="G141" s="322"/>
      <c r="H141" s="322"/>
      <c r="I141" s="323"/>
      <c r="J141" s="362"/>
      <c r="K141" s="368" t="s">
        <v>229</v>
      </c>
      <c r="L141" s="337">
        <v>56000000</v>
      </c>
      <c r="M141" s="337">
        <v>0</v>
      </c>
      <c r="N141" s="337">
        <f t="shared" si="24"/>
        <v>56000000</v>
      </c>
      <c r="O141" s="337"/>
      <c r="P141" s="337"/>
      <c r="Q141" s="363">
        <v>0</v>
      </c>
      <c r="R141" s="364">
        <v>15900000</v>
      </c>
      <c r="S141" s="364">
        <f t="shared" si="28"/>
        <v>15900000</v>
      </c>
      <c r="T141" s="327">
        <f t="shared" si="30"/>
        <v>28.392857142857142</v>
      </c>
      <c r="U141" s="43">
        <f t="shared" si="23"/>
        <v>40100000</v>
      </c>
      <c r="V141" s="42">
        <f t="shared" si="17"/>
        <v>20050000</v>
      </c>
      <c r="W141" s="22">
        <f t="shared" si="25"/>
        <v>0</v>
      </c>
      <c r="X141" s="22">
        <f t="shared" si="16"/>
        <v>0</v>
      </c>
      <c r="Z141" s="22">
        <f t="shared" si="18"/>
        <v>0</v>
      </c>
    </row>
    <row r="142" spans="1:32" x14ac:dyDescent="0.25">
      <c r="A142" s="240"/>
      <c r="B142" s="329"/>
      <c r="C142" s="331"/>
      <c r="D142" s="323"/>
      <c r="E142" s="323"/>
      <c r="F142" s="323"/>
      <c r="G142" s="322"/>
      <c r="H142" s="322"/>
      <c r="I142" s="323"/>
      <c r="J142" s="362"/>
      <c r="K142" s="368" t="s">
        <v>161</v>
      </c>
      <c r="L142" s="337">
        <v>7800000</v>
      </c>
      <c r="M142" s="337">
        <v>0</v>
      </c>
      <c r="N142" s="337">
        <f t="shared" si="24"/>
        <v>7800000</v>
      </c>
      <c r="O142" s="43"/>
      <c r="P142" s="43"/>
      <c r="Q142" s="363">
        <v>520000</v>
      </c>
      <c r="R142" s="364">
        <v>3480000</v>
      </c>
      <c r="S142" s="364">
        <f>Q142+R142</f>
        <v>4000000</v>
      </c>
      <c r="T142" s="327">
        <f>S142/N142*100</f>
        <v>51.282051282051277</v>
      </c>
      <c r="U142" s="43">
        <f t="shared" si="23"/>
        <v>3800000</v>
      </c>
      <c r="V142" s="42">
        <f t="shared" si="17"/>
        <v>1900000</v>
      </c>
      <c r="W142" s="22"/>
      <c r="X142" s="22">
        <f t="shared" si="16"/>
        <v>6.666666666666667</v>
      </c>
      <c r="Z142" s="22">
        <f t="shared" si="18"/>
        <v>6.666666666666667</v>
      </c>
      <c r="AF142" s="378">
        <f>S139+S135+S152</f>
        <v>162120000</v>
      </c>
    </row>
    <row r="143" spans="1:32" x14ac:dyDescent="0.25">
      <c r="A143" s="240"/>
      <c r="B143" s="329"/>
      <c r="C143" s="331"/>
      <c r="D143" s="323"/>
      <c r="E143" s="323"/>
      <c r="F143" s="323"/>
      <c r="G143" s="322"/>
      <c r="H143" s="322"/>
      <c r="I143" s="323"/>
      <c r="J143" s="362"/>
      <c r="K143" s="368"/>
      <c r="L143" s="337"/>
      <c r="M143" s="337"/>
      <c r="N143" s="337"/>
      <c r="O143" s="43"/>
      <c r="P143" s="43"/>
      <c r="Q143" s="363"/>
      <c r="R143" s="364"/>
      <c r="S143" s="364"/>
      <c r="T143" s="327"/>
      <c r="U143" s="43"/>
      <c r="V143" s="42"/>
      <c r="W143" s="22"/>
      <c r="X143" s="22"/>
      <c r="Z143" s="22"/>
    </row>
    <row r="144" spans="1:32" x14ac:dyDescent="0.25">
      <c r="A144" s="240"/>
      <c r="B144" s="329"/>
      <c r="C144" s="331"/>
      <c r="D144" s="350"/>
      <c r="E144" s="351"/>
      <c r="F144" s="351"/>
      <c r="G144" s="351"/>
      <c r="H144" s="318"/>
      <c r="I144" s="319"/>
      <c r="J144" s="312"/>
      <c r="K144" s="374" t="s">
        <v>230</v>
      </c>
      <c r="L144" s="43">
        <v>100000000</v>
      </c>
      <c r="M144" s="43">
        <v>0</v>
      </c>
      <c r="N144" s="337">
        <f t="shared" si="24"/>
        <v>100000000</v>
      </c>
      <c r="O144" s="337"/>
      <c r="P144" s="337"/>
      <c r="Q144" s="43">
        <v>0</v>
      </c>
      <c r="R144" s="43">
        <v>0</v>
      </c>
      <c r="S144" s="43">
        <f t="shared" si="28"/>
        <v>0</v>
      </c>
      <c r="T144" s="327">
        <f t="shared" ref="T144" si="31">S144/N144*100</f>
        <v>0</v>
      </c>
      <c r="U144" s="43">
        <f t="shared" si="23"/>
        <v>100000000</v>
      </c>
      <c r="V144" s="42">
        <f t="shared" si="17"/>
        <v>50000000</v>
      </c>
      <c r="W144" s="22">
        <f t="shared" si="25"/>
        <v>0</v>
      </c>
      <c r="X144" s="22">
        <f t="shared" si="16"/>
        <v>0</v>
      </c>
      <c r="Z144" s="65">
        <f t="shared" si="18"/>
        <v>0</v>
      </c>
    </row>
    <row r="145" spans="1:31" x14ac:dyDescent="0.25">
      <c r="A145" s="240"/>
      <c r="B145" s="329"/>
      <c r="C145" s="331"/>
      <c r="D145" s="323"/>
      <c r="E145" s="323"/>
      <c r="F145" s="323"/>
      <c r="G145" s="322"/>
      <c r="H145" s="322"/>
      <c r="I145" s="323"/>
      <c r="J145" s="362"/>
      <c r="K145" s="368"/>
      <c r="L145" s="337"/>
      <c r="M145" s="337"/>
      <c r="N145" s="337"/>
      <c r="O145" s="337"/>
      <c r="P145" s="337"/>
      <c r="Q145" s="363"/>
      <c r="R145" s="363"/>
      <c r="S145" s="363"/>
      <c r="T145" s="327"/>
      <c r="U145" s="43"/>
      <c r="V145" s="42">
        <f t="shared" si="17"/>
        <v>0</v>
      </c>
      <c r="W145" s="22"/>
      <c r="X145" s="22"/>
      <c r="Z145" s="22" t="e">
        <f t="shared" si="18"/>
        <v>#DIV/0!</v>
      </c>
    </row>
    <row r="146" spans="1:31" x14ac:dyDescent="0.25">
      <c r="A146" s="240"/>
      <c r="B146" s="329"/>
      <c r="C146" s="331"/>
      <c r="D146" s="323"/>
      <c r="E146" s="323"/>
      <c r="F146" s="323"/>
      <c r="G146" s="322"/>
      <c r="H146" s="322"/>
      <c r="I146" s="323"/>
      <c r="J146" s="362"/>
      <c r="K146" s="375" t="s">
        <v>231</v>
      </c>
      <c r="L146" s="337">
        <f>L148+L150+L152</f>
        <v>98050000</v>
      </c>
      <c r="M146" s="337">
        <f>M148+M150+M152</f>
        <v>0</v>
      </c>
      <c r="N146" s="337">
        <f t="shared" si="24"/>
        <v>98050000</v>
      </c>
      <c r="O146" s="43"/>
      <c r="P146" s="43"/>
      <c r="Q146" s="363">
        <f>Q148+Q150+Q152</f>
        <v>0</v>
      </c>
      <c r="R146" s="364">
        <v>45000000</v>
      </c>
      <c r="S146" s="364">
        <f t="shared" ref="S146" si="32">Q146+R146</f>
        <v>45000000</v>
      </c>
      <c r="T146" s="327">
        <f t="shared" ref="T146" si="33">S146/N146*100</f>
        <v>45.894951555328909</v>
      </c>
      <c r="U146" s="43">
        <f t="shared" ref="U146:U152" si="34">N146-S146</f>
        <v>53050000</v>
      </c>
      <c r="V146" s="42">
        <f t="shared" si="17"/>
        <v>26525000</v>
      </c>
      <c r="W146" s="22">
        <f t="shared" si="25"/>
        <v>0</v>
      </c>
      <c r="X146" s="22">
        <f t="shared" si="16"/>
        <v>0</v>
      </c>
      <c r="Z146" s="22">
        <f t="shared" si="18"/>
        <v>0</v>
      </c>
    </row>
    <row r="147" spans="1:31" x14ac:dyDescent="0.25">
      <c r="A147" s="240"/>
      <c r="B147" s="329"/>
      <c r="C147" s="331"/>
      <c r="D147" s="323"/>
      <c r="E147" s="323"/>
      <c r="F147" s="323"/>
      <c r="G147" s="322"/>
      <c r="H147" s="322"/>
      <c r="I147" s="323"/>
      <c r="J147" s="362"/>
      <c r="K147" s="368"/>
      <c r="L147" s="337"/>
      <c r="M147" s="337"/>
      <c r="N147" s="337"/>
      <c r="O147" s="43"/>
      <c r="P147" s="43"/>
      <c r="Q147" s="363"/>
      <c r="R147" s="364"/>
      <c r="S147" s="364"/>
      <c r="T147" s="327"/>
      <c r="U147" s="43"/>
      <c r="V147" s="42">
        <f t="shared" si="17"/>
        <v>0</v>
      </c>
      <c r="W147" s="22"/>
      <c r="X147" s="22"/>
      <c r="Z147" s="22" t="e">
        <f t="shared" si="18"/>
        <v>#DIV/0!</v>
      </c>
    </row>
    <row r="148" spans="1:31" x14ac:dyDescent="0.25">
      <c r="A148" s="240"/>
      <c r="B148" s="329"/>
      <c r="C148" s="331"/>
      <c r="D148" s="341"/>
      <c r="E148" s="339"/>
      <c r="F148" s="339"/>
      <c r="G148" s="329"/>
      <c r="H148" s="329"/>
      <c r="I148" s="339"/>
      <c r="J148" s="370"/>
      <c r="K148" s="369" t="s">
        <v>232</v>
      </c>
      <c r="L148" s="43">
        <v>5000000</v>
      </c>
      <c r="M148" s="43">
        <v>0</v>
      </c>
      <c r="N148" s="337">
        <f t="shared" si="24"/>
        <v>5000000</v>
      </c>
      <c r="O148" s="43"/>
      <c r="P148" s="43"/>
      <c r="Q148" s="364">
        <v>0</v>
      </c>
      <c r="R148" s="364">
        <v>1800000</v>
      </c>
      <c r="S148" s="364">
        <f t="shared" ref="S148:S152" si="35">Q148+R148</f>
        <v>1800000</v>
      </c>
      <c r="T148" s="327">
        <f>S148/N148*100</f>
        <v>36</v>
      </c>
      <c r="U148" s="43">
        <f t="shared" si="34"/>
        <v>3200000</v>
      </c>
      <c r="V148" s="42">
        <f t="shared" si="17"/>
        <v>1600000</v>
      </c>
      <c r="W148" s="22">
        <f t="shared" si="25"/>
        <v>0</v>
      </c>
      <c r="X148" s="22">
        <f t="shared" si="16"/>
        <v>0</v>
      </c>
      <c r="Z148" s="22">
        <f t="shared" si="18"/>
        <v>0</v>
      </c>
    </row>
    <row r="149" spans="1:31" x14ac:dyDescent="0.25">
      <c r="A149" s="240"/>
      <c r="B149" s="329"/>
      <c r="C149" s="331"/>
      <c r="D149" s="323"/>
      <c r="E149" s="323"/>
      <c r="F149" s="323"/>
      <c r="G149" s="322"/>
      <c r="H149" s="322"/>
      <c r="I149" s="323"/>
      <c r="J149" s="362"/>
      <c r="K149" s="375"/>
      <c r="L149" s="337"/>
      <c r="M149" s="337"/>
      <c r="N149" s="337"/>
      <c r="O149" s="43"/>
      <c r="P149" s="43"/>
      <c r="Q149" s="363"/>
      <c r="R149" s="364"/>
      <c r="S149" s="364"/>
      <c r="T149" s="327"/>
      <c r="U149" s="43"/>
      <c r="V149" s="42">
        <f t="shared" si="17"/>
        <v>0</v>
      </c>
      <c r="W149" s="22" t="e">
        <f t="shared" si="25"/>
        <v>#DIV/0!</v>
      </c>
      <c r="X149" s="22"/>
      <c r="Z149" s="22" t="e">
        <f t="shared" si="18"/>
        <v>#DIV/0!</v>
      </c>
    </row>
    <row r="150" spans="1:31" x14ac:dyDescent="0.25">
      <c r="A150" s="240"/>
      <c r="B150" s="329"/>
      <c r="C150" s="331"/>
      <c r="D150" s="323"/>
      <c r="E150" s="323"/>
      <c r="F150" s="323"/>
      <c r="G150" s="322"/>
      <c r="H150" s="322"/>
      <c r="I150" s="323"/>
      <c r="J150" s="362"/>
      <c r="K150" s="375" t="s">
        <v>233</v>
      </c>
      <c r="L150" s="337">
        <v>13050000</v>
      </c>
      <c r="M150" s="337">
        <v>0</v>
      </c>
      <c r="N150" s="337">
        <f t="shared" si="24"/>
        <v>13050000</v>
      </c>
      <c r="O150" s="43"/>
      <c r="P150" s="43"/>
      <c r="Q150" s="363">
        <v>0</v>
      </c>
      <c r="R150" s="364">
        <v>2400000</v>
      </c>
      <c r="S150" s="364">
        <f t="shared" si="35"/>
        <v>2400000</v>
      </c>
      <c r="T150" s="327">
        <f t="shared" ref="T150:T152" si="36">S150/N150*100</f>
        <v>18.390804597701148</v>
      </c>
      <c r="U150" s="43">
        <f t="shared" si="34"/>
        <v>10650000</v>
      </c>
      <c r="V150" s="42">
        <f t="shared" si="17"/>
        <v>5325000</v>
      </c>
      <c r="W150" s="22">
        <f t="shared" si="25"/>
        <v>0</v>
      </c>
      <c r="X150" s="22">
        <f t="shared" si="16"/>
        <v>0</v>
      </c>
      <c r="Z150" s="22">
        <f t="shared" si="18"/>
        <v>0</v>
      </c>
    </row>
    <row r="151" spans="1:31" x14ac:dyDescent="0.25">
      <c r="A151" s="240"/>
      <c r="B151" s="329"/>
      <c r="C151" s="331"/>
      <c r="D151" s="323"/>
      <c r="E151" s="323"/>
      <c r="F151" s="323"/>
      <c r="G151" s="322"/>
      <c r="H151" s="322"/>
      <c r="I151" s="323"/>
      <c r="J151" s="362"/>
      <c r="K151" s="375"/>
      <c r="L151" s="337"/>
      <c r="M151" s="337"/>
      <c r="N151" s="337"/>
      <c r="O151" s="43"/>
      <c r="P151" s="43"/>
      <c r="Q151" s="363"/>
      <c r="R151" s="363"/>
      <c r="S151" s="363"/>
      <c r="T151" s="327"/>
      <c r="U151" s="43"/>
      <c r="V151" s="42"/>
      <c r="W151" s="22"/>
      <c r="X151" s="22"/>
      <c r="Z151" s="22" t="e">
        <f t="shared" si="18"/>
        <v>#DIV/0!</v>
      </c>
    </row>
    <row r="152" spans="1:31" x14ac:dyDescent="0.25">
      <c r="A152" s="240"/>
      <c r="B152" s="329"/>
      <c r="C152" s="331"/>
      <c r="D152" s="323"/>
      <c r="E152" s="323"/>
      <c r="F152" s="323"/>
      <c r="G152" s="322"/>
      <c r="H152" s="322"/>
      <c r="I152" s="323"/>
      <c r="J152" s="362"/>
      <c r="K152" s="469" t="s">
        <v>234</v>
      </c>
      <c r="L152" s="467">
        <v>80000000</v>
      </c>
      <c r="M152" s="467">
        <v>0</v>
      </c>
      <c r="N152" s="467">
        <f t="shared" si="24"/>
        <v>80000000</v>
      </c>
      <c r="O152" s="466"/>
      <c r="P152" s="466"/>
      <c r="Q152" s="472">
        <v>0</v>
      </c>
      <c r="R152" s="472">
        <v>40800000</v>
      </c>
      <c r="S152" s="470">
        <f t="shared" si="35"/>
        <v>40800000</v>
      </c>
      <c r="T152" s="471">
        <f t="shared" si="36"/>
        <v>51</v>
      </c>
      <c r="U152" s="466">
        <f t="shared" si="34"/>
        <v>39200000</v>
      </c>
      <c r="V152" s="42"/>
      <c r="W152" s="22"/>
      <c r="X152" s="22">
        <f t="shared" si="16"/>
        <v>0</v>
      </c>
      <c r="Z152" s="22">
        <f t="shared" si="18"/>
        <v>0</v>
      </c>
    </row>
    <row r="153" spans="1:31" x14ac:dyDescent="0.25">
      <c r="A153" s="240"/>
      <c r="B153" s="329"/>
      <c r="C153" s="331"/>
      <c r="D153" s="323"/>
      <c r="E153" s="323"/>
      <c r="F153" s="323"/>
      <c r="G153" s="322"/>
      <c r="H153" s="322"/>
      <c r="I153" s="323"/>
      <c r="J153" s="324"/>
      <c r="K153" s="334"/>
      <c r="L153" s="332"/>
      <c r="M153" s="332"/>
      <c r="N153" s="335"/>
      <c r="O153" s="326"/>
      <c r="P153" s="326"/>
      <c r="Q153" s="325"/>
      <c r="R153" s="141"/>
      <c r="S153" s="141"/>
      <c r="T153" s="327"/>
      <c r="U153" s="43"/>
      <c r="V153" s="42">
        <f t="shared" si="17"/>
        <v>0</v>
      </c>
      <c r="W153" s="22"/>
      <c r="X153" s="22"/>
      <c r="Z153" s="22" t="e">
        <f t="shared" si="18"/>
        <v>#DIV/0!</v>
      </c>
    </row>
    <row r="154" spans="1:31" x14ac:dyDescent="0.25">
      <c r="A154" s="425"/>
      <c r="B154" s="426"/>
      <c r="C154" s="427"/>
      <c r="D154" s="428"/>
      <c r="E154" s="428"/>
      <c r="F154" s="428"/>
      <c r="G154" s="429"/>
      <c r="H154" s="429"/>
      <c r="I154" s="428"/>
      <c r="J154" s="356"/>
      <c r="K154" s="357"/>
      <c r="L154" s="358">
        <f>L12+L118</f>
        <v>2184252000</v>
      </c>
      <c r="M154" s="358">
        <f>M12+M118</f>
        <v>0</v>
      </c>
      <c r="N154" s="358">
        <f>N118+N12</f>
        <v>2184252000</v>
      </c>
      <c r="O154" s="359"/>
      <c r="P154" s="359"/>
      <c r="Q154" s="358">
        <f>Q12+Q118</f>
        <v>124180558</v>
      </c>
      <c r="R154" s="358">
        <f>R12+R118</f>
        <v>1005021884</v>
      </c>
      <c r="S154" s="358">
        <f>S12+S118</f>
        <v>1129202442</v>
      </c>
      <c r="T154" s="360">
        <f>S154/N154*100</f>
        <v>51.697443426857333</v>
      </c>
      <c r="U154" s="358">
        <f>N154-S154</f>
        <v>1055049558</v>
      </c>
      <c r="V154" s="42">
        <f t="shared" si="17"/>
        <v>527524779</v>
      </c>
      <c r="W154" s="22">
        <f t="shared" si="25"/>
        <v>5.6852669930026387</v>
      </c>
      <c r="X154" s="22">
        <f t="shared" si="16"/>
        <v>5.6852669930026387</v>
      </c>
    </row>
    <row r="155" spans="1:31" x14ac:dyDescent="0.25">
      <c r="A155" s="155"/>
      <c r="B155" s="156"/>
      <c r="C155" s="157"/>
      <c r="D155" s="158"/>
      <c r="E155" s="158"/>
      <c r="F155" s="158"/>
      <c r="G155" s="159"/>
      <c r="H155" s="159"/>
      <c r="I155" s="158"/>
      <c r="J155" s="160"/>
      <c r="K155" s="161"/>
      <c r="L155" s="162"/>
      <c r="M155" s="162"/>
      <c r="N155" s="162"/>
      <c r="O155" s="163"/>
      <c r="P155" s="163"/>
      <c r="Q155" s="162"/>
      <c r="R155" s="164"/>
      <c r="S155" s="165"/>
      <c r="T155" s="166"/>
      <c r="W155" s="166"/>
      <c r="X155" s="166"/>
      <c r="AE155" s="1">
        <f>816-756</f>
        <v>60</v>
      </c>
    </row>
    <row r="156" spans="1:31" x14ac:dyDescent="0.25">
      <c r="A156" s="167"/>
      <c r="B156" s="167"/>
      <c r="C156" s="168"/>
      <c r="D156" s="169"/>
      <c r="E156" s="169"/>
      <c r="F156" s="169"/>
      <c r="G156" s="170"/>
      <c r="H156" s="170"/>
      <c r="I156" s="169"/>
      <c r="J156" s="171"/>
      <c r="K156" s="171"/>
      <c r="L156" s="172"/>
      <c r="M156" s="172"/>
      <c r="N156" s="172"/>
      <c r="O156" s="162"/>
      <c r="P156" s="162"/>
      <c r="Q156" s="173"/>
      <c r="R156" s="174"/>
      <c r="S156" s="173"/>
      <c r="T156" s="175"/>
      <c r="W156" s="175"/>
      <c r="X156" s="175"/>
    </row>
    <row r="157" spans="1:31" x14ac:dyDescent="0.25">
      <c r="A157" s="167"/>
      <c r="B157" s="167"/>
      <c r="C157" s="168"/>
      <c r="D157" s="169"/>
      <c r="E157" s="169"/>
      <c r="F157" s="169"/>
      <c r="G157" s="170"/>
      <c r="H157" s="170"/>
      <c r="I157" s="169"/>
      <c r="J157" s="171"/>
      <c r="K157" s="171"/>
      <c r="L157" s="172"/>
      <c r="M157" s="172"/>
      <c r="N157" s="172"/>
      <c r="O157" s="162"/>
      <c r="P157" s="162"/>
      <c r="Q157" s="173"/>
      <c r="R157" s="174"/>
      <c r="S157" s="173"/>
      <c r="T157" s="175"/>
      <c r="W157" s="175"/>
      <c r="X157" s="175"/>
    </row>
    <row r="158" spans="1:31" x14ac:dyDescent="0.25">
      <c r="A158" s="497"/>
      <c r="B158" s="497"/>
      <c r="C158" s="497"/>
      <c r="D158" s="497"/>
      <c r="E158" s="497"/>
      <c r="F158" s="497"/>
      <c r="G158" s="497"/>
      <c r="H158" s="497"/>
      <c r="I158" s="497"/>
      <c r="J158" s="497"/>
      <c r="K158" s="176"/>
      <c r="L158" s="176"/>
      <c r="M158" s="451"/>
      <c r="N158" s="451"/>
      <c r="O158" s="162"/>
      <c r="P158" s="162"/>
      <c r="Q158" s="178"/>
      <c r="R158" s="179"/>
      <c r="S158" s="179"/>
      <c r="T158" s="180"/>
      <c r="W158" s="180"/>
      <c r="X158" s="180"/>
    </row>
    <row r="159" spans="1:31" x14ac:dyDescent="0.25">
      <c r="A159" s="495" t="s">
        <v>168</v>
      </c>
      <c r="B159" s="495"/>
      <c r="C159" s="495"/>
      <c r="D159" s="495"/>
      <c r="E159" s="495"/>
      <c r="F159" s="495"/>
      <c r="G159" s="495"/>
      <c r="H159" s="495"/>
      <c r="I159" s="495"/>
      <c r="J159" s="495"/>
      <c r="K159" s="495"/>
      <c r="L159" s="495"/>
      <c r="M159" s="451"/>
      <c r="N159" s="451"/>
      <c r="O159" s="163"/>
      <c r="P159" s="163"/>
      <c r="Q159" s="181"/>
      <c r="R159" s="498"/>
      <c r="S159" s="498"/>
      <c r="T159" s="498"/>
    </row>
    <row r="160" spans="1:31" x14ac:dyDescent="0.25">
      <c r="A160" s="495" t="s">
        <v>280</v>
      </c>
      <c r="B160" s="495"/>
      <c r="C160" s="495"/>
      <c r="D160" s="495"/>
      <c r="E160" s="495"/>
      <c r="F160" s="495"/>
      <c r="G160" s="495"/>
      <c r="H160" s="495"/>
      <c r="I160" s="495"/>
      <c r="J160" s="495"/>
      <c r="K160" s="451" t="s">
        <v>170</v>
      </c>
      <c r="L160" s="176"/>
      <c r="N160" s="496" t="s">
        <v>171</v>
      </c>
      <c r="O160" s="496"/>
      <c r="P160" s="496"/>
      <c r="Q160" s="496"/>
      <c r="R160" s="496" t="s">
        <v>172</v>
      </c>
      <c r="S160" s="496"/>
      <c r="T160" s="496"/>
      <c r="U160" s="496"/>
      <c r="W160" s="182"/>
      <c r="X160" s="182"/>
    </row>
    <row r="161" spans="1:24" x14ac:dyDescent="0.25">
      <c r="A161" s="495" t="s">
        <v>281</v>
      </c>
      <c r="B161" s="495"/>
      <c r="C161" s="495"/>
      <c r="D161" s="495"/>
      <c r="E161" s="495"/>
      <c r="F161" s="495"/>
      <c r="G161" s="495"/>
      <c r="H161" s="495"/>
      <c r="I161" s="495"/>
      <c r="J161" s="495"/>
      <c r="K161" s="451" t="s">
        <v>174</v>
      </c>
      <c r="L161" s="176"/>
      <c r="N161" s="496" t="s">
        <v>174</v>
      </c>
      <c r="O161" s="496"/>
      <c r="P161" s="496"/>
      <c r="Q161" s="496"/>
      <c r="R161" s="495" t="s">
        <v>175</v>
      </c>
      <c r="S161" s="495"/>
      <c r="T161" s="495"/>
      <c r="U161" s="495"/>
      <c r="W161" s="176"/>
      <c r="X161" s="176"/>
    </row>
    <row r="162" spans="1:24" x14ac:dyDescent="0.25">
      <c r="A162" s="495" t="s">
        <v>173</v>
      </c>
      <c r="B162" s="495"/>
      <c r="C162" s="495"/>
      <c r="D162" s="495"/>
      <c r="E162" s="495"/>
      <c r="F162" s="495"/>
      <c r="G162" s="495"/>
      <c r="H162" s="495"/>
      <c r="I162" s="495"/>
      <c r="J162" s="495"/>
      <c r="K162" s="451"/>
      <c r="L162" s="451"/>
      <c r="N162" s="183"/>
      <c r="O162" s="453"/>
      <c r="P162" s="453"/>
      <c r="Q162" s="453"/>
      <c r="R162" s="185"/>
      <c r="S162" s="185"/>
      <c r="T162" s="185"/>
      <c r="W162" s="185"/>
      <c r="X162" s="185"/>
    </row>
    <row r="163" spans="1:24" x14ac:dyDescent="0.25">
      <c r="A163" s="451"/>
      <c r="B163" s="451"/>
      <c r="C163" s="451"/>
      <c r="D163" s="451"/>
      <c r="E163" s="451"/>
      <c r="F163" s="451"/>
      <c r="G163" s="451"/>
      <c r="H163" s="451"/>
      <c r="I163" s="451"/>
      <c r="J163" s="451"/>
      <c r="K163" s="451"/>
      <c r="L163" s="451"/>
      <c r="N163" s="183"/>
      <c r="O163" s="453"/>
      <c r="P163" s="453"/>
      <c r="Q163" s="453"/>
      <c r="R163" s="185"/>
      <c r="S163" s="185"/>
      <c r="T163" s="185"/>
      <c r="W163" s="185"/>
      <c r="X163" s="185"/>
    </row>
    <row r="164" spans="1:24" x14ac:dyDescent="0.25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451"/>
      <c r="L164" s="451"/>
      <c r="N164" s="164"/>
      <c r="O164" s="186"/>
      <c r="P164" s="186"/>
      <c r="Q164" s="186"/>
      <c r="R164" s="185"/>
      <c r="S164" s="185"/>
      <c r="T164" s="185"/>
      <c r="W164" s="185"/>
      <c r="X164" s="185"/>
    </row>
    <row r="165" spans="1:24" x14ac:dyDescent="0.25">
      <c r="A165" s="499"/>
      <c r="B165" s="499"/>
      <c r="C165" s="499"/>
      <c r="D165" s="499"/>
      <c r="E165" s="499"/>
      <c r="F165" s="499"/>
      <c r="G165" s="499"/>
      <c r="H165" s="499"/>
      <c r="I165" s="499"/>
      <c r="J165" s="499"/>
      <c r="K165" s="451"/>
      <c r="L165" s="176"/>
      <c r="N165" s="183"/>
      <c r="O165" s="187"/>
      <c r="P165" s="186"/>
      <c r="Q165" s="186"/>
      <c r="R165" s="186"/>
      <c r="S165" s="186"/>
      <c r="T165" s="186"/>
      <c r="W165" s="186"/>
      <c r="X165" s="186"/>
    </row>
    <row r="166" spans="1:24" x14ac:dyDescent="0.25">
      <c r="A166" s="499" t="s">
        <v>282</v>
      </c>
      <c r="B166" s="499"/>
      <c r="C166" s="499"/>
      <c r="D166" s="499"/>
      <c r="E166" s="499"/>
      <c r="F166" s="499"/>
      <c r="G166" s="499"/>
      <c r="H166" s="499"/>
      <c r="I166" s="499"/>
      <c r="J166" s="499"/>
      <c r="K166" s="452" t="s">
        <v>177</v>
      </c>
      <c r="L166" s="189"/>
      <c r="N166" s="500" t="s">
        <v>178</v>
      </c>
      <c r="O166" s="500"/>
      <c r="P166" s="500"/>
      <c r="Q166" s="500"/>
      <c r="R166" s="501" t="s">
        <v>179</v>
      </c>
      <c r="S166" s="501"/>
      <c r="T166" s="501"/>
      <c r="U166" s="501"/>
    </row>
    <row r="167" spans="1:24" x14ac:dyDescent="0.25">
      <c r="A167" s="502" t="s">
        <v>283</v>
      </c>
      <c r="B167" s="502"/>
      <c r="C167" s="502"/>
      <c r="D167" s="502"/>
      <c r="E167" s="502"/>
      <c r="F167" s="502"/>
      <c r="G167" s="502"/>
      <c r="H167" s="502"/>
      <c r="I167" s="502"/>
      <c r="J167" s="502"/>
      <c r="K167" s="451" t="s">
        <v>181</v>
      </c>
      <c r="L167" s="176"/>
      <c r="N167" s="503" t="s">
        <v>182</v>
      </c>
      <c r="O167" s="503"/>
      <c r="P167" s="503"/>
      <c r="Q167" s="503"/>
      <c r="R167" s="504" t="s">
        <v>183</v>
      </c>
      <c r="S167" s="504"/>
      <c r="T167" s="504"/>
      <c r="U167" s="504"/>
    </row>
    <row r="168" spans="1:24" x14ac:dyDescent="0.25">
      <c r="A168" s="190"/>
      <c r="B168" s="190"/>
      <c r="C168" s="190"/>
      <c r="D168" s="495"/>
      <c r="E168" s="495"/>
      <c r="F168" s="495"/>
      <c r="G168" s="495"/>
      <c r="H168" s="495"/>
      <c r="I168" s="190"/>
      <c r="J168" s="190"/>
      <c r="K168" s="190"/>
      <c r="L168" s="190"/>
      <c r="M168" s="190"/>
      <c r="N168" s="190"/>
      <c r="O168" s="163"/>
      <c r="P168" s="163"/>
      <c r="Q168" s="191"/>
      <c r="R168" s="191"/>
      <c r="S168" s="191"/>
      <c r="T168" s="191"/>
      <c r="W168" s="191"/>
      <c r="X168" s="191"/>
    </row>
    <row r="169" spans="1:24" x14ac:dyDescent="0.25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63"/>
      <c r="P169" s="163"/>
      <c r="Q169" s="191"/>
      <c r="R169" s="191"/>
      <c r="S169" s="191"/>
      <c r="T169" s="191"/>
      <c r="W169" s="191"/>
      <c r="X169" s="191"/>
    </row>
    <row r="170" spans="1:24" x14ac:dyDescent="0.25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62"/>
      <c r="P170" s="162"/>
      <c r="Q170" s="191"/>
      <c r="R170" s="191"/>
      <c r="S170" s="191"/>
      <c r="T170" s="191"/>
      <c r="W170" s="191"/>
      <c r="X170" s="191"/>
    </row>
    <row r="171" spans="1:24" x14ac:dyDescent="0.25">
      <c r="A171" s="190"/>
      <c r="B171" s="190"/>
      <c r="C171" s="190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90"/>
      <c r="O171" s="163"/>
      <c r="P171" s="163"/>
      <c r="Q171" s="191"/>
      <c r="R171" s="191"/>
      <c r="S171" s="191"/>
      <c r="T171" s="191"/>
      <c r="W171" s="191"/>
      <c r="X171" s="191"/>
    </row>
    <row r="172" spans="1:24" x14ac:dyDescent="0.25">
      <c r="A172" s="190"/>
      <c r="B172" s="190"/>
      <c r="C172" s="190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0"/>
      <c r="O172" s="163"/>
      <c r="P172" s="163"/>
      <c r="Q172" s="191"/>
      <c r="R172" s="191"/>
      <c r="S172" s="191"/>
      <c r="T172" s="191"/>
      <c r="W172" s="191"/>
      <c r="X172" s="191"/>
    </row>
    <row r="173" spans="1:24" x14ac:dyDescent="0.25">
      <c r="A173" s="190"/>
      <c r="B173" s="190"/>
      <c r="C173" s="190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90"/>
      <c r="O173" s="163"/>
      <c r="P173" s="163"/>
      <c r="Q173" s="191"/>
      <c r="R173" s="191"/>
      <c r="S173" s="191"/>
      <c r="T173" s="191"/>
      <c r="U173" s="1"/>
      <c r="W173" s="191"/>
      <c r="X173" s="191"/>
    </row>
    <row r="174" spans="1:24" x14ac:dyDescent="0.25">
      <c r="A174" s="190"/>
      <c r="B174" s="190"/>
      <c r="C174" s="190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90"/>
      <c r="O174" s="162"/>
      <c r="P174" s="162"/>
      <c r="Q174" s="191"/>
      <c r="R174" s="191"/>
      <c r="S174" s="191"/>
      <c r="T174" s="191"/>
      <c r="U174" s="1"/>
      <c r="W174" s="191"/>
      <c r="X174" s="191"/>
    </row>
    <row r="175" spans="1:24" x14ac:dyDescent="0.25">
      <c r="A175" s="190"/>
      <c r="B175" s="190"/>
      <c r="C175" s="190"/>
      <c r="D175" s="451"/>
      <c r="E175" s="451"/>
      <c r="F175" s="451"/>
      <c r="G175" s="451"/>
      <c r="H175" s="451"/>
      <c r="I175" s="451"/>
      <c r="J175" s="451"/>
      <c r="K175" s="451"/>
      <c r="L175" s="451"/>
      <c r="M175" s="451"/>
      <c r="N175" s="190"/>
      <c r="O175" s="163"/>
      <c r="P175" s="163"/>
      <c r="Q175" s="191"/>
      <c r="R175" s="191"/>
      <c r="S175" s="191"/>
      <c r="T175" s="191"/>
      <c r="U175" s="1"/>
      <c r="W175" s="191"/>
      <c r="X175" s="191"/>
    </row>
    <row r="176" spans="1:24" x14ac:dyDescent="0.25">
      <c r="A176" s="190"/>
      <c r="B176" s="190"/>
      <c r="C176" s="190"/>
      <c r="D176" s="451"/>
      <c r="E176" s="451"/>
      <c r="F176" s="451"/>
      <c r="G176" s="451"/>
      <c r="H176" s="451"/>
      <c r="I176" s="451"/>
      <c r="J176" s="451"/>
      <c r="K176" s="451"/>
      <c r="L176" s="451"/>
      <c r="M176" s="451"/>
      <c r="N176" s="190"/>
      <c r="O176" s="163"/>
      <c r="P176" s="163"/>
      <c r="Q176" s="191"/>
      <c r="R176" s="191"/>
      <c r="S176" s="191"/>
      <c r="T176" s="191"/>
      <c r="U176" s="1"/>
      <c r="W176" s="191"/>
      <c r="X176" s="191"/>
    </row>
    <row r="177" spans="1:24" x14ac:dyDescent="0.25">
      <c r="A177" s="190"/>
      <c r="B177" s="190"/>
      <c r="C177" s="190"/>
      <c r="D177" s="451"/>
      <c r="E177" s="451"/>
      <c r="F177" s="451"/>
      <c r="G177" s="451"/>
      <c r="H177" s="451"/>
      <c r="I177" s="451"/>
      <c r="J177" s="451"/>
      <c r="K177" s="451"/>
      <c r="L177" s="451"/>
      <c r="M177" s="451"/>
      <c r="N177" s="190"/>
      <c r="O177" s="162"/>
      <c r="P177" s="162"/>
      <c r="Q177" s="191"/>
      <c r="R177" s="191"/>
      <c r="S177" s="191"/>
      <c r="T177" s="191"/>
      <c r="U177" s="1"/>
      <c r="W177" s="191"/>
      <c r="X177" s="191"/>
    </row>
    <row r="178" spans="1:24" x14ac:dyDescent="0.25">
      <c r="A178" s="190"/>
      <c r="B178" s="190"/>
      <c r="C178" s="190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90"/>
      <c r="O178" s="172"/>
      <c r="P178" s="172"/>
      <c r="Q178" s="191"/>
      <c r="R178" s="191"/>
      <c r="S178" s="191"/>
      <c r="T178" s="191"/>
      <c r="U178" s="1"/>
      <c r="W178" s="191"/>
      <c r="X178" s="191"/>
    </row>
    <row r="179" spans="1:24" x14ac:dyDescent="0.25">
      <c r="A179" s="193"/>
      <c r="B179" s="193"/>
      <c r="C179" s="193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O179" s="194"/>
      <c r="P179" s="194"/>
      <c r="Q179" s="195"/>
      <c r="R179" s="195"/>
      <c r="S179" s="195"/>
      <c r="T179" s="195"/>
      <c r="U179" s="1"/>
      <c r="W179" s="195"/>
      <c r="X179" s="195"/>
    </row>
    <row r="180" spans="1:24" x14ac:dyDescent="0.25"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O180" s="451"/>
      <c r="P180" s="451"/>
      <c r="Q180" s="195"/>
      <c r="R180" s="195"/>
      <c r="S180" s="195"/>
      <c r="T180" s="195"/>
      <c r="U180" s="1"/>
      <c r="W180" s="195"/>
      <c r="X180" s="195"/>
    </row>
    <row r="181" spans="1:24" x14ac:dyDescent="0.25">
      <c r="O181" s="451"/>
      <c r="P181" s="451"/>
      <c r="Q181" s="195"/>
      <c r="R181" s="195"/>
      <c r="S181" s="195"/>
      <c r="T181" s="195"/>
      <c r="U181" s="1"/>
      <c r="W181" s="195"/>
      <c r="X181" s="195"/>
    </row>
    <row r="182" spans="1:24" x14ac:dyDescent="0.25">
      <c r="O182" s="451"/>
      <c r="P182" s="451"/>
      <c r="Q182" s="195"/>
      <c r="R182" s="195"/>
      <c r="S182" s="195"/>
      <c r="T182" s="195"/>
      <c r="U182" s="1"/>
      <c r="W182" s="195"/>
      <c r="X182" s="195"/>
    </row>
    <row r="183" spans="1:24" x14ac:dyDescent="0.25">
      <c r="O183" s="451"/>
      <c r="P183" s="451"/>
      <c r="Q183" s="195"/>
      <c r="R183" s="195"/>
      <c r="S183" s="195"/>
      <c r="T183" s="195"/>
      <c r="U183" s="1"/>
      <c r="W183" s="195"/>
      <c r="X183" s="195"/>
    </row>
    <row r="184" spans="1:24" x14ac:dyDescent="0.25">
      <c r="O184" s="451"/>
      <c r="P184" s="451"/>
      <c r="Q184" s="195"/>
      <c r="R184" s="195"/>
      <c r="S184" s="195"/>
      <c r="T184" s="195"/>
      <c r="U184" s="1"/>
      <c r="W184" s="195"/>
      <c r="X184" s="195"/>
    </row>
    <row r="185" spans="1:24" x14ac:dyDescent="0.25">
      <c r="O185" s="451"/>
      <c r="P185" s="451"/>
      <c r="Q185" s="195"/>
      <c r="R185" s="195"/>
      <c r="S185" s="195"/>
      <c r="T185" s="195"/>
      <c r="U185" s="1"/>
      <c r="W185" s="195"/>
      <c r="X185" s="195"/>
    </row>
    <row r="186" spans="1:24" x14ac:dyDescent="0.25">
      <c r="O186" s="452"/>
      <c r="P186" s="452"/>
      <c r="Q186" s="195"/>
      <c r="R186" s="195"/>
      <c r="S186" s="195"/>
      <c r="T186" s="195"/>
      <c r="U186" s="1"/>
      <c r="W186" s="195"/>
      <c r="X186" s="195"/>
    </row>
    <row r="187" spans="1:24" x14ac:dyDescent="0.25">
      <c r="O187" s="451"/>
      <c r="P187" s="451"/>
      <c r="Q187" s="195"/>
      <c r="R187" s="195"/>
      <c r="S187" s="195"/>
      <c r="T187" s="195"/>
      <c r="U187" s="1"/>
      <c r="W187" s="195"/>
      <c r="X187" s="195"/>
    </row>
    <row r="188" spans="1:24" x14ac:dyDescent="0.25">
      <c r="O188" s="190"/>
      <c r="P188" s="190"/>
      <c r="Q188" s="195"/>
      <c r="R188" s="195"/>
      <c r="S188" s="195"/>
      <c r="T188" s="195"/>
      <c r="U188" s="1"/>
      <c r="W188" s="195"/>
      <c r="X188" s="195"/>
    </row>
    <row r="189" spans="1:24" x14ac:dyDescent="0.25">
      <c r="O189" s="190"/>
      <c r="P189" s="190"/>
      <c r="Q189" s="195"/>
      <c r="R189" s="195"/>
      <c r="S189" s="195"/>
      <c r="T189" s="195"/>
      <c r="U189" s="1"/>
      <c r="W189" s="195"/>
      <c r="X189" s="195"/>
    </row>
    <row r="190" spans="1:24" x14ac:dyDescent="0.25">
      <c r="O190" s="190"/>
      <c r="P190" s="190"/>
      <c r="Q190" s="195"/>
      <c r="R190" s="195"/>
      <c r="S190" s="195"/>
      <c r="T190" s="195"/>
      <c r="U190" s="1"/>
      <c r="W190" s="195"/>
      <c r="X190" s="195"/>
    </row>
    <row r="191" spans="1:24" x14ac:dyDescent="0.25">
      <c r="O191" s="190"/>
      <c r="P191" s="190"/>
      <c r="Q191" s="195"/>
      <c r="R191" s="195"/>
      <c r="S191" s="195"/>
      <c r="T191" s="195"/>
      <c r="U191" s="1"/>
      <c r="W191" s="195"/>
      <c r="X191" s="195"/>
    </row>
    <row r="192" spans="1:24" x14ac:dyDescent="0.25">
      <c r="O192" s="190"/>
      <c r="P192" s="190"/>
      <c r="Q192" s="195"/>
      <c r="R192" s="195"/>
      <c r="S192" s="195"/>
      <c r="T192" s="195"/>
      <c r="U192" s="1"/>
      <c r="W192" s="195"/>
      <c r="X192" s="195"/>
    </row>
    <row r="193" spans="15:24" x14ac:dyDescent="0.25">
      <c r="O193" s="190"/>
      <c r="P193" s="190"/>
      <c r="Q193" s="195"/>
      <c r="R193" s="195"/>
      <c r="S193" s="195"/>
      <c r="T193" s="195"/>
      <c r="U193" s="1"/>
      <c r="W193" s="195"/>
      <c r="X193" s="195"/>
    </row>
    <row r="194" spans="15:24" x14ac:dyDescent="0.25">
      <c r="O194" s="190"/>
      <c r="P194" s="190"/>
      <c r="Q194" s="195"/>
      <c r="R194" s="195"/>
      <c r="S194" s="195"/>
      <c r="T194" s="195"/>
      <c r="U194" s="1"/>
      <c r="W194" s="195"/>
      <c r="X194" s="195"/>
    </row>
    <row r="195" spans="15:24" x14ac:dyDescent="0.25">
      <c r="O195" s="190"/>
      <c r="P195" s="190"/>
      <c r="Q195" s="195"/>
      <c r="R195" s="195"/>
      <c r="S195" s="195"/>
      <c r="T195" s="195"/>
      <c r="U195" s="1"/>
      <c r="W195" s="195"/>
      <c r="X195" s="195"/>
    </row>
    <row r="196" spans="15:24" x14ac:dyDescent="0.25">
      <c r="O196" s="190"/>
      <c r="P196" s="190"/>
      <c r="Q196" s="195"/>
      <c r="R196" s="195"/>
      <c r="S196" s="195"/>
      <c r="T196" s="195"/>
      <c r="U196" s="1"/>
      <c r="W196" s="195"/>
      <c r="X196" s="195"/>
    </row>
    <row r="197" spans="15:24" x14ac:dyDescent="0.25">
      <c r="O197" s="190"/>
      <c r="P197" s="190"/>
      <c r="Q197" s="195"/>
      <c r="R197" s="195"/>
      <c r="S197" s="195"/>
      <c r="T197" s="195"/>
      <c r="U197" s="1"/>
      <c r="W197" s="195"/>
      <c r="X197" s="195"/>
    </row>
    <row r="198" spans="15:24" x14ac:dyDescent="0.25">
      <c r="O198" s="190"/>
      <c r="P198" s="190"/>
      <c r="Q198" s="195"/>
      <c r="R198" s="195"/>
      <c r="S198" s="195"/>
      <c r="T198" s="195"/>
      <c r="U198" s="1"/>
      <c r="W198" s="195"/>
      <c r="X198" s="195"/>
    </row>
    <row r="199" spans="15:24" x14ac:dyDescent="0.25">
      <c r="O199" s="190"/>
      <c r="P199" s="190"/>
      <c r="Q199" s="195"/>
      <c r="R199" s="195"/>
      <c r="S199" s="195"/>
      <c r="T199" s="195"/>
      <c r="U199" s="1"/>
      <c r="W199" s="195"/>
      <c r="X199" s="195"/>
    </row>
    <row r="200" spans="15:24" x14ac:dyDescent="0.25">
      <c r="Q200" s="195"/>
      <c r="R200" s="195"/>
      <c r="S200" s="195"/>
      <c r="T200" s="195"/>
      <c r="U200" s="1"/>
      <c r="W200" s="195"/>
      <c r="X200" s="195"/>
    </row>
    <row r="201" spans="15:24" x14ac:dyDescent="0.25">
      <c r="Q201" s="195"/>
      <c r="R201" s="195"/>
      <c r="S201" s="195"/>
      <c r="T201" s="195"/>
      <c r="U201" s="1"/>
      <c r="W201" s="195"/>
      <c r="X201" s="195"/>
    </row>
    <row r="202" spans="15:24" x14ac:dyDescent="0.25">
      <c r="Q202" s="195"/>
      <c r="R202" s="195"/>
      <c r="S202" s="195"/>
      <c r="T202" s="195"/>
      <c r="U202" s="1"/>
      <c r="W202" s="195"/>
      <c r="X202" s="195"/>
    </row>
    <row r="203" spans="15:24" x14ac:dyDescent="0.25">
      <c r="Q203" s="195"/>
      <c r="R203" s="195"/>
      <c r="S203" s="195"/>
      <c r="T203" s="195"/>
      <c r="U203" s="1"/>
      <c r="W203" s="195"/>
      <c r="X203" s="195"/>
    </row>
    <row r="204" spans="15:24" x14ac:dyDescent="0.25">
      <c r="Q204" s="195"/>
      <c r="R204" s="195"/>
      <c r="S204" s="195"/>
      <c r="T204" s="195"/>
      <c r="U204" s="1"/>
      <c r="W204" s="195"/>
      <c r="X204" s="195"/>
    </row>
    <row r="205" spans="15:24" x14ac:dyDescent="0.25">
      <c r="Q205" s="195"/>
      <c r="R205" s="195"/>
      <c r="S205" s="195"/>
      <c r="T205" s="195"/>
      <c r="U205" s="1"/>
      <c r="W205" s="195"/>
      <c r="X205" s="195"/>
    </row>
    <row r="206" spans="15:24" x14ac:dyDescent="0.25">
      <c r="Q206" s="195"/>
      <c r="R206" s="195"/>
      <c r="S206" s="195"/>
      <c r="T206" s="195"/>
      <c r="U206" s="1"/>
      <c r="W206" s="195"/>
      <c r="X206" s="195"/>
    </row>
    <row r="207" spans="15:24" x14ac:dyDescent="0.25">
      <c r="Q207" s="195"/>
      <c r="R207" s="195"/>
      <c r="S207" s="195"/>
      <c r="T207" s="195"/>
      <c r="U207" s="1"/>
      <c r="W207" s="195"/>
      <c r="X207" s="195"/>
    </row>
    <row r="208" spans="15:24" x14ac:dyDescent="0.25">
      <c r="Q208" s="195"/>
      <c r="R208" s="195"/>
      <c r="S208" s="195"/>
      <c r="T208" s="195"/>
      <c r="U208" s="1"/>
      <c r="W208" s="195"/>
      <c r="X208" s="195"/>
    </row>
    <row r="209" spans="17:24" x14ac:dyDescent="0.25">
      <c r="Q209" s="195"/>
      <c r="R209" s="195"/>
      <c r="S209" s="195"/>
      <c r="T209" s="195"/>
      <c r="U209" s="1"/>
      <c r="W209" s="195"/>
      <c r="X209" s="195"/>
    </row>
    <row r="210" spans="17:24" x14ac:dyDescent="0.25">
      <c r="Q210" s="195"/>
      <c r="R210" s="195"/>
      <c r="S210" s="195"/>
      <c r="T210" s="195"/>
      <c r="U210" s="1"/>
      <c r="W210" s="195"/>
      <c r="X210" s="195"/>
    </row>
    <row r="211" spans="17:24" x14ac:dyDescent="0.25">
      <c r="Q211" s="195"/>
      <c r="R211" s="195"/>
      <c r="S211" s="195"/>
      <c r="T211" s="195"/>
      <c r="U211" s="1"/>
      <c r="W211" s="195"/>
      <c r="X211" s="195"/>
    </row>
    <row r="212" spans="17:24" x14ac:dyDescent="0.25">
      <c r="Q212" s="195"/>
      <c r="R212" s="195"/>
      <c r="S212" s="195"/>
      <c r="T212" s="195"/>
      <c r="U212" s="1"/>
      <c r="W212" s="195"/>
      <c r="X212" s="195"/>
    </row>
    <row r="213" spans="17:24" x14ac:dyDescent="0.25">
      <c r="Q213" s="195"/>
      <c r="R213" s="195"/>
      <c r="S213" s="195"/>
      <c r="T213" s="195"/>
      <c r="U213" s="1"/>
      <c r="W213" s="195"/>
      <c r="X213" s="195"/>
    </row>
    <row r="214" spans="17:24" x14ac:dyDescent="0.25">
      <c r="Q214" s="195"/>
      <c r="R214" s="195"/>
      <c r="S214" s="195"/>
      <c r="T214" s="195"/>
      <c r="U214" s="1"/>
      <c r="W214" s="195"/>
      <c r="X214" s="195"/>
    </row>
    <row r="215" spans="17:24" x14ac:dyDescent="0.25">
      <c r="Q215" s="195"/>
      <c r="R215" s="195"/>
      <c r="S215" s="195"/>
      <c r="T215" s="195"/>
      <c r="U215" s="1"/>
      <c r="W215" s="195"/>
      <c r="X215" s="195"/>
    </row>
    <row r="216" spans="17:24" x14ac:dyDescent="0.25">
      <c r="Q216" s="195"/>
      <c r="R216" s="195"/>
      <c r="S216" s="195"/>
      <c r="T216" s="195"/>
      <c r="U216" s="1"/>
      <c r="W216" s="195"/>
      <c r="X216" s="195"/>
    </row>
    <row r="217" spans="17:24" x14ac:dyDescent="0.25">
      <c r="Q217" s="195"/>
      <c r="R217" s="195"/>
      <c r="S217" s="195"/>
      <c r="T217" s="195"/>
      <c r="U217" s="1"/>
      <c r="W217" s="195"/>
      <c r="X217" s="195"/>
    </row>
    <row r="218" spans="17:24" x14ac:dyDescent="0.25">
      <c r="Q218" s="195"/>
      <c r="R218" s="195"/>
      <c r="S218" s="195"/>
      <c r="T218" s="195"/>
      <c r="U218" s="1"/>
      <c r="W218" s="195"/>
      <c r="X218" s="195"/>
    </row>
    <row r="219" spans="17:24" x14ac:dyDescent="0.25">
      <c r="Q219" s="195"/>
      <c r="R219" s="195"/>
      <c r="S219" s="195"/>
      <c r="T219" s="195"/>
      <c r="U219" s="1"/>
      <c r="W219" s="195"/>
      <c r="X219" s="195"/>
    </row>
    <row r="220" spans="17:24" x14ac:dyDescent="0.25">
      <c r="Q220" s="195"/>
      <c r="R220" s="195"/>
      <c r="S220" s="195"/>
      <c r="T220" s="195"/>
      <c r="U220" s="1"/>
      <c r="W220" s="195"/>
      <c r="X220" s="195"/>
    </row>
    <row r="221" spans="17:24" x14ac:dyDescent="0.25">
      <c r="Q221" s="195"/>
      <c r="R221" s="195"/>
      <c r="S221" s="195"/>
      <c r="T221" s="195"/>
      <c r="U221" s="1"/>
      <c r="W221" s="195"/>
      <c r="X221" s="195"/>
    </row>
    <row r="222" spans="17:24" x14ac:dyDescent="0.25">
      <c r="Q222" s="195"/>
      <c r="R222" s="195"/>
      <c r="S222" s="195"/>
      <c r="T222" s="195"/>
      <c r="U222" s="1"/>
      <c r="W222" s="195"/>
      <c r="X222" s="195"/>
    </row>
    <row r="223" spans="17:24" x14ac:dyDescent="0.25">
      <c r="Q223" s="195"/>
      <c r="R223" s="195"/>
      <c r="S223" s="195"/>
      <c r="T223" s="195"/>
      <c r="U223" s="1"/>
      <c r="W223" s="195"/>
      <c r="X223" s="195"/>
    </row>
    <row r="224" spans="17:24" x14ac:dyDescent="0.25">
      <c r="Q224" s="195"/>
      <c r="R224" s="195"/>
      <c r="S224" s="195"/>
      <c r="T224" s="195"/>
      <c r="U224" s="1"/>
      <c r="W224" s="195"/>
      <c r="X224" s="195"/>
    </row>
    <row r="225" spans="17:24" x14ac:dyDescent="0.25">
      <c r="Q225" s="195"/>
      <c r="R225" s="195"/>
      <c r="S225" s="195"/>
      <c r="T225" s="195"/>
      <c r="U225" s="1"/>
      <c r="W225" s="195"/>
      <c r="X225" s="195"/>
    </row>
    <row r="226" spans="17:24" x14ac:dyDescent="0.25">
      <c r="Q226" s="195"/>
      <c r="R226" s="195"/>
      <c r="S226" s="195"/>
      <c r="T226" s="195"/>
      <c r="U226" s="1"/>
      <c r="W226" s="195"/>
      <c r="X226" s="195"/>
    </row>
    <row r="227" spans="17:24" x14ac:dyDescent="0.25">
      <c r="Q227" s="195"/>
      <c r="R227" s="195"/>
      <c r="S227" s="195"/>
      <c r="T227" s="195"/>
      <c r="U227" s="1"/>
      <c r="W227" s="195"/>
      <c r="X227" s="195"/>
    </row>
    <row r="228" spans="17:24" x14ac:dyDescent="0.25">
      <c r="Q228" s="195"/>
      <c r="R228" s="195"/>
      <c r="S228" s="195"/>
      <c r="T228" s="195"/>
      <c r="U228" s="1"/>
      <c r="W228" s="195"/>
      <c r="X228" s="195"/>
    </row>
    <row r="229" spans="17:24" x14ac:dyDescent="0.25">
      <c r="Q229" s="195"/>
      <c r="R229" s="195"/>
      <c r="S229" s="195"/>
      <c r="T229" s="195"/>
      <c r="U229" s="1"/>
      <c r="W229" s="195"/>
      <c r="X229" s="195"/>
    </row>
    <row r="230" spans="17:24" x14ac:dyDescent="0.25">
      <c r="Q230" s="195"/>
      <c r="R230" s="195"/>
      <c r="S230" s="195"/>
      <c r="T230" s="195"/>
      <c r="U230" s="1"/>
      <c r="W230" s="195"/>
      <c r="X230" s="195"/>
    </row>
    <row r="231" spans="17:24" x14ac:dyDescent="0.25">
      <c r="Q231" s="195"/>
      <c r="R231" s="195"/>
      <c r="S231" s="195"/>
      <c r="T231" s="195"/>
      <c r="U231" s="1"/>
      <c r="W231" s="195"/>
      <c r="X231" s="195"/>
    </row>
    <row r="232" spans="17:24" x14ac:dyDescent="0.25">
      <c r="Q232" s="195"/>
      <c r="R232" s="195"/>
      <c r="S232" s="195"/>
      <c r="T232" s="195"/>
      <c r="U232" s="1"/>
      <c r="W232" s="195"/>
      <c r="X232" s="195"/>
    </row>
    <row r="233" spans="17:24" x14ac:dyDescent="0.25">
      <c r="Q233" s="195"/>
      <c r="R233" s="195"/>
      <c r="S233" s="195"/>
      <c r="T233" s="195"/>
      <c r="U233" s="1"/>
      <c r="W233" s="195"/>
      <c r="X233" s="195"/>
    </row>
    <row r="234" spans="17:24" x14ac:dyDescent="0.25">
      <c r="Q234" s="195"/>
      <c r="R234" s="195"/>
      <c r="S234" s="195"/>
      <c r="T234" s="195"/>
      <c r="U234" s="1"/>
      <c r="W234" s="195"/>
      <c r="X234" s="195"/>
    </row>
    <row r="235" spans="17:24" x14ac:dyDescent="0.25">
      <c r="Q235" s="195"/>
      <c r="R235" s="195"/>
      <c r="S235" s="195"/>
      <c r="T235" s="195"/>
      <c r="U235" s="1"/>
      <c r="W235" s="195"/>
      <c r="X235" s="195"/>
    </row>
    <row r="236" spans="17:24" x14ac:dyDescent="0.25">
      <c r="Q236" s="195"/>
      <c r="R236" s="195"/>
      <c r="S236" s="195"/>
      <c r="T236" s="195"/>
      <c r="U236" s="1"/>
      <c r="W236" s="195"/>
      <c r="X236" s="195"/>
    </row>
    <row r="237" spans="17:24" x14ac:dyDescent="0.25">
      <c r="Q237" s="195"/>
      <c r="R237" s="195"/>
      <c r="S237" s="195"/>
      <c r="T237" s="195"/>
      <c r="U237" s="1"/>
      <c r="W237" s="195"/>
      <c r="X237" s="195"/>
    </row>
    <row r="238" spans="17:24" x14ac:dyDescent="0.25">
      <c r="Q238" s="195"/>
      <c r="R238" s="195"/>
      <c r="S238" s="195"/>
      <c r="T238" s="195"/>
      <c r="U238" s="1"/>
      <c r="W238" s="195"/>
      <c r="X238" s="195"/>
    </row>
    <row r="239" spans="17:24" x14ac:dyDescent="0.25">
      <c r="Q239" s="195"/>
      <c r="R239" s="195"/>
      <c r="S239" s="195"/>
      <c r="T239" s="195"/>
      <c r="U239" s="1"/>
      <c r="W239" s="195"/>
      <c r="X239" s="195"/>
    </row>
    <row r="240" spans="17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  <row r="1672" spans="17:24" x14ac:dyDescent="0.25">
      <c r="Q1672" s="195"/>
      <c r="R1672" s="195"/>
      <c r="S1672" s="195"/>
      <c r="T1672" s="195"/>
      <c r="U1672" s="1"/>
      <c r="W1672" s="195"/>
      <c r="X1672" s="195"/>
    </row>
    <row r="1673" spans="17:24" x14ac:dyDescent="0.25">
      <c r="Q1673" s="195"/>
      <c r="R1673" s="195"/>
      <c r="S1673" s="195"/>
      <c r="T1673" s="195"/>
      <c r="U1673" s="1"/>
      <c r="W1673" s="195"/>
      <c r="X1673" s="195"/>
    </row>
    <row r="1674" spans="17:24" x14ac:dyDescent="0.25">
      <c r="Q1674" s="195"/>
      <c r="R1674" s="195"/>
      <c r="S1674" s="195"/>
      <c r="T1674" s="195"/>
      <c r="U1674" s="1"/>
      <c r="W1674" s="195"/>
      <c r="X1674" s="195"/>
    </row>
    <row r="1675" spans="17:24" x14ac:dyDescent="0.25">
      <c r="Q1675" s="195"/>
      <c r="R1675" s="195"/>
      <c r="S1675" s="195"/>
      <c r="T1675" s="195"/>
      <c r="U1675" s="1"/>
      <c r="W1675" s="195"/>
      <c r="X1675" s="195"/>
    </row>
    <row r="1676" spans="17:24" x14ac:dyDescent="0.25">
      <c r="Q1676" s="195"/>
      <c r="R1676" s="195"/>
      <c r="S1676" s="195"/>
      <c r="T1676" s="195"/>
      <c r="U1676" s="1"/>
      <c r="W1676" s="195"/>
      <c r="X1676" s="195"/>
    </row>
    <row r="1677" spans="17:24" x14ac:dyDescent="0.25">
      <c r="Q1677" s="195"/>
      <c r="R1677" s="195"/>
      <c r="S1677" s="195"/>
      <c r="T1677" s="195"/>
      <c r="U1677" s="1"/>
      <c r="W1677" s="195"/>
      <c r="X1677" s="195"/>
    </row>
    <row r="1678" spans="17:24" x14ac:dyDescent="0.25">
      <c r="Q1678" s="195"/>
      <c r="R1678" s="195"/>
      <c r="S1678" s="195"/>
      <c r="T1678" s="195"/>
      <c r="U1678" s="1"/>
      <c r="W1678" s="195"/>
      <c r="X1678" s="195"/>
    </row>
    <row r="1679" spans="17:24" x14ac:dyDescent="0.25">
      <c r="Q1679" s="195"/>
      <c r="R1679" s="195"/>
      <c r="S1679" s="195"/>
      <c r="T1679" s="195"/>
      <c r="U1679" s="1"/>
      <c r="W1679" s="195"/>
      <c r="X1679" s="195"/>
    </row>
    <row r="1680" spans="17:24" x14ac:dyDescent="0.25">
      <c r="Q1680" s="195"/>
      <c r="R1680" s="195"/>
      <c r="S1680" s="195"/>
      <c r="T1680" s="195"/>
      <c r="U1680" s="1"/>
      <c r="W1680" s="195"/>
      <c r="X1680" s="195"/>
    </row>
    <row r="1681" spans="17:24" x14ac:dyDescent="0.25">
      <c r="Q1681" s="195"/>
      <c r="R1681" s="195"/>
      <c r="S1681" s="195"/>
      <c r="T1681" s="195"/>
      <c r="U1681" s="1"/>
      <c r="W1681" s="195"/>
      <c r="X1681" s="195"/>
    </row>
    <row r="1682" spans="17:24" x14ac:dyDescent="0.25">
      <c r="Q1682" s="195"/>
      <c r="R1682" s="195"/>
      <c r="S1682" s="195"/>
      <c r="T1682" s="195"/>
      <c r="U1682" s="1"/>
      <c r="W1682" s="195"/>
      <c r="X1682" s="195"/>
    </row>
    <row r="1683" spans="17:24" x14ac:dyDescent="0.25">
      <c r="Q1683" s="195"/>
      <c r="R1683" s="195"/>
      <c r="S1683" s="195"/>
      <c r="T1683" s="195"/>
      <c r="U1683" s="1"/>
      <c r="W1683" s="195"/>
      <c r="X1683" s="195"/>
    </row>
    <row r="1684" spans="17:24" x14ac:dyDescent="0.25">
      <c r="Q1684" s="195"/>
      <c r="R1684" s="195"/>
      <c r="S1684" s="195"/>
      <c r="T1684" s="195"/>
      <c r="U1684" s="1"/>
      <c r="W1684" s="195"/>
      <c r="X1684" s="195"/>
    </row>
    <row r="1685" spans="17:24" x14ac:dyDescent="0.25">
      <c r="Q1685" s="195"/>
      <c r="R1685" s="195"/>
      <c r="S1685" s="195"/>
      <c r="T1685" s="195"/>
      <c r="U1685" s="1"/>
      <c r="W1685" s="195"/>
      <c r="X1685" s="195"/>
    </row>
    <row r="1686" spans="17:24" x14ac:dyDescent="0.25">
      <c r="Q1686" s="195"/>
      <c r="R1686" s="195"/>
      <c r="S1686" s="195"/>
      <c r="T1686" s="195"/>
      <c r="U1686" s="1"/>
      <c r="W1686" s="195"/>
      <c r="X1686" s="195"/>
    </row>
    <row r="1687" spans="17:24" x14ac:dyDescent="0.25">
      <c r="Q1687" s="195"/>
      <c r="R1687" s="195"/>
      <c r="S1687" s="195"/>
      <c r="T1687" s="195"/>
      <c r="U1687" s="1"/>
      <c r="W1687" s="195"/>
      <c r="X1687" s="195"/>
    </row>
    <row r="1688" spans="17:24" x14ac:dyDescent="0.25">
      <c r="Q1688" s="195"/>
      <c r="R1688" s="195"/>
      <c r="S1688" s="195"/>
      <c r="T1688" s="195"/>
      <c r="U1688" s="1"/>
      <c r="W1688" s="195"/>
      <c r="X1688" s="195"/>
    </row>
    <row r="1689" spans="17:24" x14ac:dyDescent="0.25">
      <c r="Q1689" s="195"/>
      <c r="R1689" s="195"/>
      <c r="S1689" s="195"/>
      <c r="T1689" s="195"/>
      <c r="U1689" s="1"/>
      <c r="W1689" s="195"/>
      <c r="X1689" s="195"/>
    </row>
    <row r="1690" spans="17:24" x14ac:dyDescent="0.25">
      <c r="Q1690" s="195"/>
      <c r="R1690" s="195"/>
      <c r="S1690" s="195"/>
      <c r="T1690" s="195"/>
      <c r="U1690" s="1"/>
      <c r="W1690" s="195"/>
      <c r="X1690" s="195"/>
    </row>
    <row r="1691" spans="17:24" x14ac:dyDescent="0.25">
      <c r="Q1691" s="195"/>
      <c r="R1691" s="195"/>
      <c r="S1691" s="195"/>
      <c r="T1691" s="195"/>
      <c r="U1691" s="1"/>
      <c r="W1691" s="195"/>
      <c r="X1691" s="195"/>
    </row>
    <row r="1692" spans="17:24" x14ac:dyDescent="0.25">
      <c r="Q1692" s="195"/>
      <c r="R1692" s="195"/>
      <c r="S1692" s="195"/>
      <c r="T1692" s="195"/>
      <c r="U1692" s="1"/>
      <c r="W1692" s="195"/>
      <c r="X1692" s="195"/>
    </row>
    <row r="1693" spans="17:24" x14ac:dyDescent="0.25">
      <c r="Q1693" s="195"/>
      <c r="R1693" s="195"/>
      <c r="S1693" s="195"/>
      <c r="T1693" s="195"/>
      <c r="U1693" s="1"/>
      <c r="W1693" s="195"/>
      <c r="X1693" s="195"/>
    </row>
    <row r="1694" spans="17:24" x14ac:dyDescent="0.25">
      <c r="Q1694" s="195"/>
      <c r="R1694" s="195"/>
      <c r="S1694" s="195"/>
      <c r="T1694" s="195"/>
      <c r="U1694" s="1"/>
      <c r="W1694" s="195"/>
      <c r="X1694" s="195"/>
    </row>
    <row r="1695" spans="17:24" x14ac:dyDescent="0.25">
      <c r="Q1695" s="195"/>
      <c r="R1695" s="195"/>
      <c r="S1695" s="195"/>
      <c r="T1695" s="195"/>
      <c r="U1695" s="1"/>
      <c r="W1695" s="195"/>
      <c r="X1695" s="195"/>
    </row>
  </sheetData>
  <mergeCells count="52">
    <mergeCell ref="A167:J167"/>
    <mergeCell ref="N167:Q167"/>
    <mergeCell ref="R167:U167"/>
    <mergeCell ref="D168:H168"/>
    <mergeCell ref="A161:J161"/>
    <mergeCell ref="N161:Q161"/>
    <mergeCell ref="R161:U161"/>
    <mergeCell ref="A162:J162"/>
    <mergeCell ref="A165:J165"/>
    <mergeCell ref="A166:J166"/>
    <mergeCell ref="N166:Q166"/>
    <mergeCell ref="R166:U166"/>
    <mergeCell ref="K159:L159"/>
    <mergeCell ref="R159:T159"/>
    <mergeCell ref="A160:J160"/>
    <mergeCell ref="N160:Q160"/>
    <mergeCell ref="R160:U160"/>
    <mergeCell ref="A159:J159"/>
    <mergeCell ref="A158:J158"/>
    <mergeCell ref="B50:F50"/>
    <mergeCell ref="B52:F52"/>
    <mergeCell ref="B60:F60"/>
    <mergeCell ref="B72:F72"/>
    <mergeCell ref="B84:F84"/>
    <mergeCell ref="B86:F86"/>
    <mergeCell ref="B106:F106"/>
    <mergeCell ref="B108:F108"/>
    <mergeCell ref="B114:F114"/>
    <mergeCell ref="B116:F116"/>
    <mergeCell ref="B133:G133"/>
    <mergeCell ref="B48:F48"/>
    <mergeCell ref="U7:U8"/>
    <mergeCell ref="V7:V8"/>
    <mergeCell ref="A9:I9"/>
    <mergeCell ref="J9:K9"/>
    <mergeCell ref="B18:F18"/>
    <mergeCell ref="B20:F20"/>
    <mergeCell ref="B28:G28"/>
    <mergeCell ref="B36:F36"/>
    <mergeCell ref="B38:F38"/>
    <mergeCell ref="B40:F40"/>
    <mergeCell ref="B46:F46"/>
    <mergeCell ref="A3:U3"/>
    <mergeCell ref="A4:U4"/>
    <mergeCell ref="A5:U5"/>
    <mergeCell ref="A7:I8"/>
    <mergeCell ref="J7:K8"/>
    <mergeCell ref="L7:L8"/>
    <mergeCell ref="M7:M8"/>
    <mergeCell ref="N7:N8"/>
    <mergeCell ref="O7:P7"/>
    <mergeCell ref="Q7:S7"/>
  </mergeCells>
  <pageMargins left="0.7" right="0.7" top="0.75" bottom="0.75" header="0.3" footer="0.3"/>
  <pageSetup paperSize="5" scale="7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95"/>
  <sheetViews>
    <sheetView topLeftCell="A123" zoomScale="70" zoomScaleNormal="70" workbookViewId="0">
      <selection activeCell="S10" sqref="S10:S153"/>
    </sheetView>
  </sheetViews>
  <sheetFormatPr defaultRowHeight="15.75" x14ac:dyDescent="0.25"/>
  <cols>
    <col min="1" max="1" width="3.140625" style="1" customWidth="1"/>
    <col min="2" max="2" width="3.7109375" style="1" customWidth="1"/>
    <col min="3" max="3" width="2" style="1" customWidth="1"/>
    <col min="4" max="5" width="8.7109375" style="1" customWidth="1"/>
    <col min="6" max="6" width="8.5703125" style="1" customWidth="1"/>
    <col min="7" max="7" width="8.5703125" style="1" hidden="1" customWidth="1"/>
    <col min="8" max="8" width="0.140625" style="1" hidden="1" customWidth="1"/>
    <col min="9" max="9" width="6.5703125" style="1" customWidth="1"/>
    <col min="10" max="10" width="7" style="1" hidden="1" customWidth="1"/>
    <col min="11" max="11" width="81.140625" style="1" customWidth="1"/>
    <col min="12" max="12" width="16.140625" style="1" hidden="1" customWidth="1"/>
    <col min="13" max="13" width="20.42578125" style="1" hidden="1" customWidth="1"/>
    <col min="14" max="14" width="23.42578125" style="1" customWidth="1"/>
    <col min="15" max="15" width="14.140625" style="1" hidden="1" customWidth="1"/>
    <col min="16" max="16" width="14.5703125" style="1" hidden="1" customWidth="1"/>
    <col min="17" max="17" width="19.7109375" style="1" customWidth="1"/>
    <col min="18" max="18" width="18.42578125" style="196" customWidth="1"/>
    <col min="19" max="19" width="20" style="1" customWidth="1"/>
    <col min="20" max="20" width="14.42578125" style="1" customWidth="1"/>
    <col min="21" max="21" width="18.5703125" style="4" customWidth="1"/>
    <col min="22" max="22" width="18.140625" style="1" hidden="1" customWidth="1"/>
    <col min="23" max="24" width="13.85546875" style="1" hidden="1" customWidth="1"/>
    <col min="25" max="31" width="9.140625" style="1"/>
    <col min="32" max="32" width="13" style="1" bestFit="1" customWidth="1"/>
    <col min="33" max="16384" width="9.140625" style="1"/>
  </cols>
  <sheetData>
    <row r="1" spans="1:26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6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6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5"/>
    </row>
    <row r="4" spans="1:26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5"/>
    </row>
    <row r="5" spans="1:26" ht="18" x14ac:dyDescent="0.25">
      <c r="A5" s="482" t="s">
        <v>299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5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6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276</v>
      </c>
      <c r="M7" s="488" t="s">
        <v>7</v>
      </c>
      <c r="N7" s="488" t="s">
        <v>277</v>
      </c>
      <c r="O7" s="490" t="s">
        <v>9</v>
      </c>
      <c r="P7" s="490"/>
      <c r="Q7" s="491" t="s">
        <v>10</v>
      </c>
      <c r="R7" s="492"/>
      <c r="S7" s="492"/>
      <c r="T7" s="11"/>
      <c r="U7" s="493" t="s">
        <v>278</v>
      </c>
      <c r="V7" s="490" t="s">
        <v>12</v>
      </c>
      <c r="W7" s="11"/>
      <c r="X7" s="11"/>
    </row>
    <row r="8" spans="1:26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461" t="s">
        <v>14</v>
      </c>
      <c r="Q8" s="461" t="s">
        <v>13</v>
      </c>
      <c r="R8" s="14" t="s">
        <v>14</v>
      </c>
      <c r="S8" s="461" t="s">
        <v>15</v>
      </c>
      <c r="T8" s="461" t="s">
        <v>16</v>
      </c>
      <c r="U8" s="493"/>
      <c r="V8" s="490"/>
      <c r="W8" s="461" t="s">
        <v>17</v>
      </c>
      <c r="X8" s="461" t="s">
        <v>17</v>
      </c>
    </row>
    <row r="9" spans="1:26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 t="s">
        <v>19</v>
      </c>
      <c r="K9" s="494"/>
      <c r="L9" s="461" t="s">
        <v>20</v>
      </c>
      <c r="M9" s="461" t="s">
        <v>21</v>
      </c>
      <c r="N9" s="461" t="s">
        <v>22</v>
      </c>
      <c r="O9" s="461" t="s">
        <v>22</v>
      </c>
      <c r="P9" s="461" t="s">
        <v>23</v>
      </c>
      <c r="Q9" s="461" t="s">
        <v>24</v>
      </c>
      <c r="R9" s="14" t="s">
        <v>25</v>
      </c>
      <c r="S9" s="461" t="s">
        <v>26</v>
      </c>
      <c r="T9" s="461" t="s">
        <v>27</v>
      </c>
      <c r="U9" s="461" t="s">
        <v>28</v>
      </c>
      <c r="V9" s="15"/>
      <c r="W9" s="461" t="s">
        <v>27</v>
      </c>
      <c r="X9" s="461" t="s">
        <v>27</v>
      </c>
    </row>
    <row r="10" spans="1:26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f>L12+L118</f>
        <v>2184252000</v>
      </c>
      <c r="M10" s="19">
        <f>M12+M118</f>
        <v>0</v>
      </c>
      <c r="N10" s="19">
        <f>N12+N118</f>
        <v>2184252000</v>
      </c>
      <c r="O10" s="19" t="e">
        <f>O12</f>
        <v>#REF!</v>
      </c>
      <c r="P10" s="19"/>
      <c r="Q10" s="19">
        <f>Q12+Q118</f>
        <v>200338119</v>
      </c>
      <c r="R10" s="19">
        <v>1129202442</v>
      </c>
      <c r="S10" s="19">
        <f>Q10+R10</f>
        <v>1329540561</v>
      </c>
      <c r="T10" s="20">
        <f>S10/N10*100</f>
        <v>60.869375923657167</v>
      </c>
      <c r="U10" s="21">
        <f>N10-S10</f>
        <v>854711439</v>
      </c>
      <c r="V10" s="21">
        <f>U10/2</f>
        <v>427355719.5</v>
      </c>
      <c r="W10" s="22">
        <f>Q10/N10*100</f>
        <v>9.1719324967998208</v>
      </c>
      <c r="X10" s="22">
        <f>Q10/N10*100</f>
        <v>9.1719324967998208</v>
      </c>
    </row>
    <row r="11" spans="1:26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</row>
    <row r="12" spans="1:26" x14ac:dyDescent="0.25">
      <c r="A12" s="34"/>
      <c r="B12" s="35" t="s">
        <v>31</v>
      </c>
      <c r="C12" s="36"/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L14+L16+L18+L20+L22+L28+L36+L38+L40+L46+L48+L50+L52+L60+L72+L84+L86+L106+L108+L114+L116</f>
        <v>1528107000</v>
      </c>
      <c r="M12" s="41">
        <f>M14+M16+M18+M20+M22+M28+M36+M38+M40+M46+M48+M50+M52+M60+M72+M84+M86+M106+M108+M114+M116</f>
        <v>0</v>
      </c>
      <c r="N12" s="41">
        <f>L12-M12</f>
        <v>1528107000</v>
      </c>
      <c r="O12" s="41" t="e">
        <f>#REF!</f>
        <v>#REF!</v>
      </c>
      <c r="P12" s="41"/>
      <c r="Q12" s="41">
        <f>Q14+Q16+Q18+Q20+Q22+Q28+Q36+Q38+Q40+Q46+Q48+Q50+Q52+Q60+Q72+Q84+Q86+Q106+Q108+Q114+Q116</f>
        <v>132088119</v>
      </c>
      <c r="R12" s="41">
        <v>940832442</v>
      </c>
      <c r="S12" s="41">
        <f>Q12+R12</f>
        <v>1072920561</v>
      </c>
      <c r="T12" s="20">
        <f>S12/N12*100</f>
        <v>70.212397495725099</v>
      </c>
      <c r="U12" s="42">
        <f>N12-S12</f>
        <v>455186439</v>
      </c>
      <c r="V12" s="42">
        <f>U12/2</f>
        <v>227593219.5</v>
      </c>
      <c r="W12" s="22">
        <f t="shared" ref="W12:W36" si="0">Q12/N12*100</f>
        <v>8.6439051061214958</v>
      </c>
      <c r="X12" s="22">
        <f t="shared" ref="X12:X84" si="1">Q12/N12*100</f>
        <v>8.6439051061214958</v>
      </c>
    </row>
    <row r="13" spans="1:26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86" si="2">U13/2</f>
        <v>0</v>
      </c>
      <c r="W13" s="22"/>
      <c r="X13" s="22"/>
    </row>
    <row r="14" spans="1:26" ht="17.25" x14ac:dyDescent="0.3">
      <c r="A14" s="232"/>
      <c r="B14" s="313" t="s">
        <v>236</v>
      </c>
      <c r="C14" s="314"/>
      <c r="D14" s="315"/>
      <c r="E14" s="316"/>
      <c r="F14" s="316"/>
      <c r="G14" s="317"/>
      <c r="H14" s="318"/>
      <c r="I14" s="319"/>
      <c r="J14" s="318"/>
      <c r="K14" s="361" t="s">
        <v>184</v>
      </c>
      <c r="L14" s="43">
        <v>42000000</v>
      </c>
      <c r="M14" s="43">
        <v>0</v>
      </c>
      <c r="N14" s="43">
        <f>L14-M14</f>
        <v>42000000</v>
      </c>
      <c r="O14" s="337"/>
      <c r="P14" s="337"/>
      <c r="Q14" s="43">
        <v>2000000</v>
      </c>
      <c r="R14" s="43">
        <v>20000000</v>
      </c>
      <c r="S14" s="43">
        <f t="shared" ref="S14:S16" si="3">Q14+R14</f>
        <v>22000000</v>
      </c>
      <c r="T14" s="327">
        <f>S14/N14*100</f>
        <v>52.380952380952387</v>
      </c>
      <c r="U14" s="43">
        <f>N14-S14</f>
        <v>20000000</v>
      </c>
      <c r="V14" s="42">
        <f t="shared" si="2"/>
        <v>10000000</v>
      </c>
      <c r="W14" s="22">
        <f>Q14/N14*100</f>
        <v>4.7619047619047619</v>
      </c>
      <c r="X14" s="22">
        <f t="shared" si="1"/>
        <v>4.7619047619047619</v>
      </c>
      <c r="Z14" s="22">
        <f>Q14/N14*100</f>
        <v>4.7619047619047619</v>
      </c>
    </row>
    <row r="15" spans="1:26" x14ac:dyDescent="0.25">
      <c r="A15" s="240"/>
      <c r="B15" s="322"/>
      <c r="C15" s="322"/>
      <c r="D15" s="322"/>
      <c r="E15" s="323"/>
      <c r="F15" s="323"/>
      <c r="G15" s="323"/>
      <c r="H15" s="323"/>
      <c r="I15" s="323"/>
      <c r="J15" s="362"/>
      <c r="K15" s="363"/>
      <c r="L15" s="43"/>
      <c r="M15" s="43"/>
      <c r="N15" s="43"/>
      <c r="O15" s="43"/>
      <c r="P15" s="43"/>
      <c r="Q15" s="363"/>
      <c r="R15" s="364"/>
      <c r="S15" s="364"/>
      <c r="T15" s="327"/>
      <c r="U15" s="43"/>
      <c r="V15" s="42">
        <f t="shared" si="2"/>
        <v>0</v>
      </c>
      <c r="W15" s="22"/>
      <c r="X15" s="22"/>
      <c r="Z15" s="22" t="e">
        <f t="shared" ref="Z15:Z88" si="4">Q15/N15*100</f>
        <v>#DIV/0!</v>
      </c>
    </row>
    <row r="16" spans="1:26" ht="17.25" x14ac:dyDescent="0.3">
      <c r="A16" s="232"/>
      <c r="B16" s="313" t="s">
        <v>237</v>
      </c>
      <c r="C16" s="328"/>
      <c r="D16" s="315"/>
      <c r="E16" s="316"/>
      <c r="F16" s="316"/>
      <c r="G16" s="317"/>
      <c r="H16" s="318"/>
      <c r="I16" s="319"/>
      <c r="J16" s="318"/>
      <c r="K16" s="361" t="s">
        <v>185</v>
      </c>
      <c r="L16" s="43">
        <v>4740000</v>
      </c>
      <c r="M16" s="43">
        <v>0</v>
      </c>
      <c r="N16" s="43">
        <f>L16-M16</f>
        <v>4740000</v>
      </c>
      <c r="O16" s="337"/>
      <c r="P16" s="337"/>
      <c r="Q16" s="43">
        <v>570000</v>
      </c>
      <c r="R16" s="43">
        <v>2560000</v>
      </c>
      <c r="S16" s="43">
        <f t="shared" si="3"/>
        <v>3130000</v>
      </c>
      <c r="T16" s="327">
        <f>S16/N16*100</f>
        <v>66.033755274261608</v>
      </c>
      <c r="U16" s="43">
        <f t="shared" ref="U16:U36" si="5">N16-S16</f>
        <v>1610000</v>
      </c>
      <c r="V16" s="42">
        <f t="shared" si="2"/>
        <v>805000</v>
      </c>
      <c r="W16" s="22">
        <f t="shared" si="0"/>
        <v>12.025316455696203</v>
      </c>
      <c r="X16" s="22">
        <f t="shared" si="1"/>
        <v>12.025316455696203</v>
      </c>
      <c r="Z16" s="65">
        <f t="shared" si="4"/>
        <v>12.025316455696203</v>
      </c>
    </row>
    <row r="17" spans="1:26" x14ac:dyDescent="0.25">
      <c r="A17" s="240"/>
      <c r="B17" s="329"/>
      <c r="C17" s="329"/>
      <c r="D17" s="322"/>
      <c r="E17" s="323"/>
      <c r="F17" s="323"/>
      <c r="G17" s="323"/>
      <c r="H17" s="323"/>
      <c r="I17" s="323"/>
      <c r="J17" s="362"/>
      <c r="K17" s="365"/>
      <c r="L17" s="43"/>
      <c r="M17" s="43"/>
      <c r="N17" s="43"/>
      <c r="O17" s="43"/>
      <c r="P17" s="43"/>
      <c r="Q17" s="363"/>
      <c r="R17" s="364"/>
      <c r="S17" s="364"/>
      <c r="T17" s="327"/>
      <c r="U17" s="43"/>
      <c r="V17" s="42">
        <f t="shared" si="2"/>
        <v>0</v>
      </c>
      <c r="W17" s="22"/>
      <c r="X17" s="22"/>
      <c r="Z17" s="22" t="e">
        <f t="shared" si="4"/>
        <v>#DIV/0!</v>
      </c>
    </row>
    <row r="18" spans="1:26" ht="17.25" x14ac:dyDescent="0.3">
      <c r="A18" s="394"/>
      <c r="B18" s="514" t="s">
        <v>43</v>
      </c>
      <c r="C18" s="515"/>
      <c r="D18" s="515"/>
      <c r="E18" s="515"/>
      <c r="F18" s="516"/>
      <c r="G18" s="395"/>
      <c r="H18" s="395"/>
      <c r="I18" s="395"/>
      <c r="J18" s="396"/>
      <c r="K18" s="397" t="s">
        <v>186</v>
      </c>
      <c r="L18" s="398">
        <v>19754000</v>
      </c>
      <c r="M18" s="398">
        <v>0</v>
      </c>
      <c r="N18" s="398">
        <f>L18-M18</f>
        <v>19754000</v>
      </c>
      <c r="O18" s="398"/>
      <c r="P18" s="398"/>
      <c r="Q18" s="399">
        <v>0</v>
      </c>
      <c r="R18" s="399">
        <v>19693400</v>
      </c>
      <c r="S18" s="399">
        <f>Q18+R18</f>
        <v>19693400</v>
      </c>
      <c r="T18" s="400">
        <f>S18/N18*100</f>
        <v>99.693226688265668</v>
      </c>
      <c r="U18" s="398">
        <f t="shared" si="5"/>
        <v>60600</v>
      </c>
      <c r="V18" s="42">
        <f t="shared" si="2"/>
        <v>30300</v>
      </c>
      <c r="W18" s="22">
        <f t="shared" si="0"/>
        <v>0</v>
      </c>
      <c r="X18" s="22">
        <f t="shared" si="1"/>
        <v>0</v>
      </c>
      <c r="Z18" s="65">
        <f t="shared" si="4"/>
        <v>0</v>
      </c>
    </row>
    <row r="19" spans="1:26" x14ac:dyDescent="0.25">
      <c r="A19" s="240"/>
      <c r="B19" s="329"/>
      <c r="C19" s="329"/>
      <c r="D19" s="322"/>
      <c r="E19" s="323"/>
      <c r="F19" s="323"/>
      <c r="G19" s="323"/>
      <c r="H19" s="323"/>
      <c r="I19" s="323"/>
      <c r="J19" s="362"/>
      <c r="K19" s="365"/>
      <c r="L19" s="43"/>
      <c r="M19" s="43"/>
      <c r="N19" s="43"/>
      <c r="O19" s="43"/>
      <c r="P19" s="43"/>
      <c r="Q19" s="363"/>
      <c r="R19" s="364"/>
      <c r="S19" s="364"/>
      <c r="T19" s="327"/>
      <c r="U19" s="43"/>
      <c r="V19" s="42">
        <f t="shared" si="2"/>
        <v>0</v>
      </c>
      <c r="W19" s="22"/>
      <c r="X19" s="22"/>
      <c r="Z19" s="22" t="e">
        <f t="shared" si="4"/>
        <v>#DIV/0!</v>
      </c>
    </row>
    <row r="20" spans="1:26" ht="17.25" x14ac:dyDescent="0.3">
      <c r="A20" s="394"/>
      <c r="B20" s="514" t="s">
        <v>238</v>
      </c>
      <c r="C20" s="515"/>
      <c r="D20" s="515"/>
      <c r="E20" s="515"/>
      <c r="F20" s="516"/>
      <c r="G20" s="401"/>
      <c r="H20" s="401"/>
      <c r="I20" s="395"/>
      <c r="J20" s="396"/>
      <c r="K20" s="397" t="s">
        <v>92</v>
      </c>
      <c r="L20" s="398">
        <v>4468000</v>
      </c>
      <c r="M20" s="398">
        <v>0</v>
      </c>
      <c r="N20" s="398">
        <f>L20-M20</f>
        <v>4468000</v>
      </c>
      <c r="O20" s="402"/>
      <c r="P20" s="402"/>
      <c r="Q20" s="399">
        <v>222000</v>
      </c>
      <c r="R20" s="399">
        <v>2067000</v>
      </c>
      <c r="S20" s="399">
        <f>Q20+R20</f>
        <v>2289000</v>
      </c>
      <c r="T20" s="400">
        <f>S20/N20*100</f>
        <v>51.230975828111013</v>
      </c>
      <c r="U20" s="398">
        <f t="shared" si="5"/>
        <v>2179000</v>
      </c>
      <c r="V20" s="42">
        <f t="shared" si="2"/>
        <v>1089500</v>
      </c>
      <c r="W20" s="22">
        <f t="shared" si="0"/>
        <v>4.9686660698299017</v>
      </c>
      <c r="X20" s="22">
        <f t="shared" si="1"/>
        <v>4.9686660698299017</v>
      </c>
      <c r="Z20" s="65">
        <f t="shared" si="4"/>
        <v>4.9686660698299017</v>
      </c>
    </row>
    <row r="21" spans="1:26" x14ac:dyDescent="0.25">
      <c r="A21" s="240"/>
      <c r="B21" s="329"/>
      <c r="C21" s="331"/>
      <c r="D21" s="323"/>
      <c r="E21" s="323"/>
      <c r="F21" s="323"/>
      <c r="G21" s="322"/>
      <c r="H21" s="322"/>
      <c r="I21" s="323"/>
      <c r="J21" s="362"/>
      <c r="K21" s="366"/>
      <c r="L21" s="43"/>
      <c r="M21" s="43"/>
      <c r="N21" s="43"/>
      <c r="O21" s="337"/>
      <c r="P21" s="337"/>
      <c r="Q21" s="363"/>
      <c r="R21" s="364"/>
      <c r="S21" s="364"/>
      <c r="T21" s="327"/>
      <c r="U21" s="43"/>
      <c r="V21" s="42">
        <f t="shared" si="2"/>
        <v>0</v>
      </c>
      <c r="W21" s="22"/>
      <c r="X21" s="22"/>
      <c r="Z21" s="22" t="e">
        <f t="shared" si="4"/>
        <v>#DIV/0!</v>
      </c>
    </row>
    <row r="22" spans="1:26" ht="17.25" x14ac:dyDescent="0.3">
      <c r="A22" s="403"/>
      <c r="B22" s="404" t="s">
        <v>239</v>
      </c>
      <c r="C22" s="405"/>
      <c r="D22" s="406"/>
      <c r="E22" s="407"/>
      <c r="F22" s="407"/>
      <c r="G22" s="408"/>
      <c r="H22" s="409"/>
      <c r="I22" s="409"/>
      <c r="J22" s="410"/>
      <c r="K22" s="397" t="s">
        <v>187</v>
      </c>
      <c r="L22" s="411">
        <f>L24+L26</f>
        <v>3020000</v>
      </c>
      <c r="M22" s="411">
        <v>0</v>
      </c>
      <c r="N22" s="398">
        <f>L22-M22</f>
        <v>3020000</v>
      </c>
      <c r="O22" s="411"/>
      <c r="P22" s="411"/>
      <c r="Q22" s="411">
        <f>Q24+Q26</f>
        <v>261500</v>
      </c>
      <c r="R22" s="411">
        <v>1686500</v>
      </c>
      <c r="S22" s="411">
        <f t="shared" ref="S22" si="6">Q22+R22</f>
        <v>1948000</v>
      </c>
      <c r="T22" s="400">
        <f>S22/N22*100</f>
        <v>64.503311258278146</v>
      </c>
      <c r="U22" s="398">
        <f t="shared" si="5"/>
        <v>1072000</v>
      </c>
      <c r="V22" s="42">
        <f t="shared" si="2"/>
        <v>536000</v>
      </c>
      <c r="W22" s="22">
        <f t="shared" si="0"/>
        <v>8.6589403973509942</v>
      </c>
      <c r="X22" s="22">
        <f t="shared" si="1"/>
        <v>8.6589403973509942</v>
      </c>
      <c r="Z22" s="65">
        <f t="shared" si="4"/>
        <v>8.6589403973509942</v>
      </c>
    </row>
    <row r="23" spans="1:26" ht="17.25" x14ac:dyDescent="0.3">
      <c r="A23" s="232"/>
      <c r="B23" s="313"/>
      <c r="C23" s="328"/>
      <c r="D23" s="315"/>
      <c r="E23" s="316"/>
      <c r="F23" s="316"/>
      <c r="G23" s="317"/>
      <c r="H23" s="319"/>
      <c r="I23" s="319"/>
      <c r="J23" s="312"/>
      <c r="K23" s="361"/>
      <c r="L23" s="367"/>
      <c r="M23" s="367"/>
      <c r="N23" s="43"/>
      <c r="O23" s="367"/>
      <c r="P23" s="367"/>
      <c r="Q23" s="367"/>
      <c r="R23" s="367"/>
      <c r="S23" s="367"/>
      <c r="T23" s="327"/>
      <c r="U23" s="43"/>
      <c r="V23" s="42"/>
      <c r="W23" s="22"/>
      <c r="X23" s="22"/>
      <c r="Z23" s="65"/>
    </row>
    <row r="24" spans="1:26" ht="17.25" x14ac:dyDescent="0.3">
      <c r="A24" s="232"/>
      <c r="B24" s="313"/>
      <c r="C24" s="328"/>
      <c r="D24" s="315"/>
      <c r="E24" s="316"/>
      <c r="F24" s="316"/>
      <c r="G24" s="317"/>
      <c r="H24" s="319"/>
      <c r="I24" s="319"/>
      <c r="J24" s="312"/>
      <c r="K24" s="361" t="s">
        <v>292</v>
      </c>
      <c r="L24" s="367">
        <v>1800000</v>
      </c>
      <c r="M24" s="367"/>
      <c r="N24" s="43">
        <f>L24-M24</f>
        <v>1800000</v>
      </c>
      <c r="O24" s="367"/>
      <c r="P24" s="367"/>
      <c r="Q24" s="367">
        <v>0</v>
      </c>
      <c r="R24" s="367">
        <v>1425000</v>
      </c>
      <c r="S24" s="43">
        <f t="shared" ref="S24" si="7">Q24+R24</f>
        <v>1425000</v>
      </c>
      <c r="T24" s="327">
        <f>S24/N24*100</f>
        <v>79.166666666666657</v>
      </c>
      <c r="U24" s="43">
        <f t="shared" si="5"/>
        <v>375000</v>
      </c>
      <c r="V24" s="42"/>
      <c r="W24" s="22"/>
      <c r="X24" s="22"/>
      <c r="Z24" s="65"/>
    </row>
    <row r="25" spans="1:26" ht="17.25" x14ac:dyDescent="0.3">
      <c r="A25" s="232"/>
      <c r="B25" s="313"/>
      <c r="C25" s="328"/>
      <c r="D25" s="315"/>
      <c r="E25" s="316"/>
      <c r="F25" s="316"/>
      <c r="G25" s="317"/>
      <c r="H25" s="319"/>
      <c r="I25" s="319"/>
      <c r="J25" s="312"/>
      <c r="K25" s="361"/>
      <c r="L25" s="367"/>
      <c r="M25" s="367"/>
      <c r="N25" s="43"/>
      <c r="O25" s="367"/>
      <c r="P25" s="367"/>
      <c r="Q25" s="367"/>
      <c r="R25" s="367"/>
      <c r="S25" s="367"/>
      <c r="T25" s="327"/>
      <c r="U25" s="43"/>
      <c r="V25" s="42"/>
      <c r="W25" s="22"/>
      <c r="X25" s="22"/>
      <c r="Z25" s="65"/>
    </row>
    <row r="26" spans="1:26" ht="17.25" x14ac:dyDescent="0.3">
      <c r="A26" s="232"/>
      <c r="B26" s="313"/>
      <c r="C26" s="328"/>
      <c r="D26" s="315"/>
      <c r="E26" s="316"/>
      <c r="F26" s="316"/>
      <c r="G26" s="317"/>
      <c r="H26" s="319"/>
      <c r="I26" s="319"/>
      <c r="J26" s="312"/>
      <c r="K26" s="361" t="s">
        <v>293</v>
      </c>
      <c r="L26" s="367">
        <v>1220000</v>
      </c>
      <c r="M26" s="367"/>
      <c r="N26" s="43">
        <f>L26-M26</f>
        <v>1220000</v>
      </c>
      <c r="O26" s="367"/>
      <c r="P26" s="367"/>
      <c r="Q26" s="367">
        <v>261500</v>
      </c>
      <c r="R26" s="367">
        <v>261000</v>
      </c>
      <c r="S26" s="43">
        <f t="shared" ref="S26" si="8">Q26+R26</f>
        <v>522500</v>
      </c>
      <c r="T26" s="327">
        <f>S26/N26*100</f>
        <v>42.827868852459019</v>
      </c>
      <c r="U26" s="43">
        <f t="shared" si="5"/>
        <v>697500</v>
      </c>
      <c r="V26" s="42"/>
      <c r="W26" s="22"/>
      <c r="X26" s="22"/>
      <c r="Z26" s="65"/>
    </row>
    <row r="27" spans="1:26" x14ac:dyDescent="0.25">
      <c r="A27" s="240"/>
      <c r="B27" s="329"/>
      <c r="C27" s="331"/>
      <c r="D27" s="323"/>
      <c r="E27" s="323"/>
      <c r="F27" s="323"/>
      <c r="G27" s="322"/>
      <c r="H27" s="322"/>
      <c r="I27" s="323"/>
      <c r="J27" s="362"/>
      <c r="K27" s="368"/>
      <c r="L27" s="337"/>
      <c r="M27" s="337"/>
      <c r="N27" s="43"/>
      <c r="O27" s="337"/>
      <c r="P27" s="337"/>
      <c r="Q27" s="363"/>
      <c r="R27" s="364"/>
      <c r="S27" s="364"/>
      <c r="T27" s="327"/>
      <c r="U27" s="43"/>
      <c r="V27" s="42">
        <f t="shared" si="2"/>
        <v>0</v>
      </c>
      <c r="W27" s="22"/>
      <c r="X27" s="22"/>
      <c r="Z27" s="22" t="e">
        <f t="shared" si="4"/>
        <v>#DIV/0!</v>
      </c>
    </row>
    <row r="28" spans="1:26" ht="17.25" x14ac:dyDescent="0.3">
      <c r="A28" s="403"/>
      <c r="B28" s="514" t="s">
        <v>240</v>
      </c>
      <c r="C28" s="515"/>
      <c r="D28" s="515"/>
      <c r="E28" s="515"/>
      <c r="F28" s="515"/>
      <c r="G28" s="516"/>
      <c r="H28" s="412"/>
      <c r="I28" s="409"/>
      <c r="J28" s="410"/>
      <c r="K28" s="397" t="s">
        <v>88</v>
      </c>
      <c r="L28" s="398">
        <v>12200000</v>
      </c>
      <c r="M28" s="398">
        <v>0</v>
      </c>
      <c r="N28" s="398">
        <f>L28-M28</f>
        <v>12200000</v>
      </c>
      <c r="O28" s="398"/>
      <c r="P28" s="398"/>
      <c r="Q28" s="398">
        <f>Q30+Q32+Q34</f>
        <v>660000</v>
      </c>
      <c r="R28" s="398">
        <v>9152000</v>
      </c>
      <c r="S28" s="398">
        <f t="shared" ref="S28" si="9">Q28+R28</f>
        <v>9812000</v>
      </c>
      <c r="T28" s="400">
        <f>S28/N28*100</f>
        <v>80.426229508196727</v>
      </c>
      <c r="U28" s="398">
        <f t="shared" si="5"/>
        <v>2388000</v>
      </c>
      <c r="V28" s="42">
        <f t="shared" si="2"/>
        <v>1194000</v>
      </c>
      <c r="W28" s="22">
        <f t="shared" si="0"/>
        <v>5.4098360655737707</v>
      </c>
      <c r="X28" s="22">
        <f>Q28/N28*100</f>
        <v>5.4098360655737707</v>
      </c>
      <c r="Z28" s="65">
        <f t="shared" si="4"/>
        <v>5.4098360655737707</v>
      </c>
    </row>
    <row r="29" spans="1:26" ht="17.25" x14ac:dyDescent="0.3">
      <c r="A29" s="232"/>
      <c r="B29" s="462"/>
      <c r="C29" s="463"/>
      <c r="D29" s="463"/>
      <c r="E29" s="463"/>
      <c r="F29" s="463"/>
      <c r="G29" s="464"/>
      <c r="H29" s="318"/>
      <c r="I29" s="319"/>
      <c r="J29" s="312"/>
      <c r="K29" s="361"/>
      <c r="L29" s="43"/>
      <c r="M29" s="43"/>
      <c r="N29" s="43"/>
      <c r="O29" s="43"/>
      <c r="P29" s="43"/>
      <c r="Q29" s="43"/>
      <c r="R29" s="43"/>
      <c r="S29" s="43"/>
      <c r="T29" s="327"/>
      <c r="U29" s="43"/>
      <c r="V29" s="42"/>
      <c r="W29" s="22"/>
      <c r="X29" s="22"/>
      <c r="Z29" s="65"/>
    </row>
    <row r="30" spans="1:26" ht="17.25" x14ac:dyDescent="0.3">
      <c r="A30" s="232"/>
      <c r="B30" s="462"/>
      <c r="C30" s="463"/>
      <c r="D30" s="463"/>
      <c r="E30" s="463"/>
      <c r="F30" s="463"/>
      <c r="G30" s="464"/>
      <c r="H30" s="318"/>
      <c r="I30" s="319"/>
      <c r="J30" s="312"/>
      <c r="K30" s="361" t="s">
        <v>294</v>
      </c>
      <c r="L30" s="43">
        <v>6000000</v>
      </c>
      <c r="M30" s="43"/>
      <c r="N30" s="43">
        <v>6000000</v>
      </c>
      <c r="O30" s="43"/>
      <c r="P30" s="43"/>
      <c r="Q30" s="43">
        <v>0</v>
      </c>
      <c r="R30" s="43">
        <v>6000000</v>
      </c>
      <c r="S30" s="43">
        <f t="shared" ref="S30" si="10">Q30+R30</f>
        <v>6000000</v>
      </c>
      <c r="T30" s="327">
        <f>S30/N30*100</f>
        <v>100</v>
      </c>
      <c r="U30" s="43">
        <f t="shared" si="5"/>
        <v>0</v>
      </c>
      <c r="V30" s="42"/>
      <c r="W30" s="22"/>
      <c r="X30" s="22"/>
      <c r="Z30" s="65"/>
    </row>
    <row r="31" spans="1:26" ht="17.25" x14ac:dyDescent="0.3">
      <c r="A31" s="232"/>
      <c r="B31" s="462"/>
      <c r="C31" s="463"/>
      <c r="D31" s="463"/>
      <c r="E31" s="463"/>
      <c r="F31" s="463"/>
      <c r="G31" s="464"/>
      <c r="H31" s="318"/>
      <c r="I31" s="319"/>
      <c r="J31" s="312"/>
      <c r="K31" s="361"/>
      <c r="L31" s="43"/>
      <c r="M31" s="43"/>
      <c r="N31" s="43"/>
      <c r="O31" s="43"/>
      <c r="P31" s="43"/>
      <c r="Q31" s="43"/>
      <c r="R31" s="43"/>
      <c r="S31" s="43"/>
      <c r="T31" s="327"/>
      <c r="U31" s="43"/>
      <c r="V31" s="42"/>
      <c r="W31" s="22"/>
      <c r="X31" s="22"/>
      <c r="Z31" s="65"/>
    </row>
    <row r="32" spans="1:26" ht="17.25" x14ac:dyDescent="0.3">
      <c r="A32" s="232"/>
      <c r="B32" s="462"/>
      <c r="C32" s="463"/>
      <c r="D32" s="463"/>
      <c r="E32" s="463"/>
      <c r="F32" s="463"/>
      <c r="G32" s="464"/>
      <c r="H32" s="318"/>
      <c r="I32" s="319"/>
      <c r="J32" s="312"/>
      <c r="K32" s="361" t="s">
        <v>295</v>
      </c>
      <c r="L32" s="43">
        <v>3200000</v>
      </c>
      <c r="M32" s="43"/>
      <c r="N32" s="43">
        <v>3200000</v>
      </c>
      <c r="O32" s="43"/>
      <c r="P32" s="43"/>
      <c r="Q32" s="43">
        <v>0</v>
      </c>
      <c r="R32" s="43">
        <v>1480000</v>
      </c>
      <c r="S32" s="43">
        <f t="shared" ref="S32" si="11">Q32+R32</f>
        <v>1480000</v>
      </c>
      <c r="T32" s="327">
        <f>S32/N32*100</f>
        <v>46.25</v>
      </c>
      <c r="U32" s="43">
        <f t="shared" si="5"/>
        <v>1720000</v>
      </c>
      <c r="V32" s="42"/>
      <c r="W32" s="22"/>
      <c r="X32" s="22"/>
      <c r="Z32" s="65"/>
    </row>
    <row r="33" spans="1:26" ht="17.25" x14ac:dyDescent="0.3">
      <c r="A33" s="232"/>
      <c r="B33" s="462"/>
      <c r="C33" s="463"/>
      <c r="D33" s="463"/>
      <c r="E33" s="463"/>
      <c r="F33" s="463"/>
      <c r="G33" s="464"/>
      <c r="H33" s="318"/>
      <c r="I33" s="319"/>
      <c r="J33" s="312"/>
      <c r="K33" s="361"/>
      <c r="L33" s="43"/>
      <c r="M33" s="43"/>
      <c r="N33" s="43"/>
      <c r="O33" s="43"/>
      <c r="P33" s="43"/>
      <c r="Q33" s="43"/>
      <c r="R33" s="43"/>
      <c r="S33" s="43"/>
      <c r="T33" s="327"/>
      <c r="U33" s="43"/>
      <c r="V33" s="42"/>
      <c r="W33" s="22"/>
      <c r="X33" s="22"/>
      <c r="Z33" s="65"/>
    </row>
    <row r="34" spans="1:26" ht="17.25" x14ac:dyDescent="0.3">
      <c r="A34" s="232"/>
      <c r="B34" s="462"/>
      <c r="C34" s="463"/>
      <c r="D34" s="463"/>
      <c r="E34" s="463"/>
      <c r="F34" s="463"/>
      <c r="G34" s="464"/>
      <c r="H34" s="318"/>
      <c r="I34" s="319"/>
      <c r="J34" s="312"/>
      <c r="K34" s="361" t="s">
        <v>296</v>
      </c>
      <c r="L34" s="43">
        <v>3000000</v>
      </c>
      <c r="M34" s="43"/>
      <c r="N34" s="43">
        <v>3000000</v>
      </c>
      <c r="O34" s="43"/>
      <c r="P34" s="43"/>
      <c r="Q34" s="43">
        <v>660000</v>
      </c>
      <c r="R34" s="43">
        <v>1672000</v>
      </c>
      <c r="S34" s="43">
        <f t="shared" ref="S34" si="12">Q34+R34</f>
        <v>2332000</v>
      </c>
      <c r="T34" s="327">
        <f>S34/N34*100</f>
        <v>77.733333333333334</v>
      </c>
      <c r="U34" s="43">
        <f t="shared" si="5"/>
        <v>668000</v>
      </c>
      <c r="V34" s="42"/>
      <c r="W34" s="22"/>
      <c r="X34" s="22"/>
      <c r="Z34" s="65"/>
    </row>
    <row r="35" spans="1:26" x14ac:dyDescent="0.25">
      <c r="A35" s="240"/>
      <c r="B35" s="329"/>
      <c r="C35" s="331"/>
      <c r="D35" s="323"/>
      <c r="E35" s="323"/>
      <c r="F35" s="323"/>
      <c r="G35" s="322"/>
      <c r="H35" s="322"/>
      <c r="I35" s="323"/>
      <c r="J35" s="362"/>
      <c r="K35" s="368"/>
      <c r="L35" s="337"/>
      <c r="M35" s="337"/>
      <c r="N35" s="337"/>
      <c r="O35" s="337"/>
      <c r="P35" s="337"/>
      <c r="Q35" s="363"/>
      <c r="R35" s="364"/>
      <c r="S35" s="364"/>
      <c r="T35" s="327"/>
      <c r="U35" s="43"/>
      <c r="V35" s="42">
        <f t="shared" si="2"/>
        <v>0</v>
      </c>
      <c r="W35" s="22"/>
      <c r="X35" s="22"/>
      <c r="Z35" s="22" t="e">
        <f t="shared" si="4"/>
        <v>#DIV/0!</v>
      </c>
    </row>
    <row r="36" spans="1:26" ht="17.25" x14ac:dyDescent="0.3">
      <c r="A36" s="394"/>
      <c r="B36" s="514" t="s">
        <v>241</v>
      </c>
      <c r="C36" s="515"/>
      <c r="D36" s="515"/>
      <c r="E36" s="515"/>
      <c r="F36" s="516"/>
      <c r="G36" s="401"/>
      <c r="H36" s="401"/>
      <c r="I36" s="395"/>
      <c r="J36" s="396"/>
      <c r="K36" s="397" t="s">
        <v>188</v>
      </c>
      <c r="L36" s="398">
        <v>3600000</v>
      </c>
      <c r="M36" s="398">
        <v>0</v>
      </c>
      <c r="N36" s="398">
        <f t="shared" ref="N36:N106" si="13">L36-M36</f>
        <v>3600000</v>
      </c>
      <c r="O36" s="402"/>
      <c r="P36" s="402"/>
      <c r="Q36" s="399">
        <v>300000</v>
      </c>
      <c r="R36" s="399">
        <v>2100000</v>
      </c>
      <c r="S36" s="399">
        <f>Q36+R36</f>
        <v>2400000</v>
      </c>
      <c r="T36" s="400">
        <f>S36/N36*100</f>
        <v>66.666666666666657</v>
      </c>
      <c r="U36" s="398">
        <f t="shared" si="5"/>
        <v>1200000</v>
      </c>
      <c r="V36" s="42">
        <f t="shared" si="2"/>
        <v>600000</v>
      </c>
      <c r="W36" s="22">
        <f t="shared" si="0"/>
        <v>8.3333333333333321</v>
      </c>
      <c r="X36" s="22">
        <f t="shared" si="1"/>
        <v>8.3333333333333321</v>
      </c>
      <c r="Z36" s="65">
        <f t="shared" si="4"/>
        <v>8.3333333333333321</v>
      </c>
    </row>
    <row r="37" spans="1:26" x14ac:dyDescent="0.25">
      <c r="A37" s="240"/>
      <c r="B37" s="329"/>
      <c r="C37" s="331"/>
      <c r="D37" s="323"/>
      <c r="E37" s="323"/>
      <c r="F37" s="323"/>
      <c r="G37" s="322"/>
      <c r="H37" s="322"/>
      <c r="I37" s="323"/>
      <c r="J37" s="362"/>
      <c r="K37" s="368"/>
      <c r="L37" s="337"/>
      <c r="M37" s="337"/>
      <c r="N37" s="43"/>
      <c r="O37" s="337"/>
      <c r="P37" s="337"/>
      <c r="Q37" s="364"/>
      <c r="R37" s="364"/>
      <c r="S37" s="364"/>
      <c r="T37" s="327"/>
      <c r="U37" s="43"/>
      <c r="V37" s="42">
        <f t="shared" si="2"/>
        <v>0</v>
      </c>
      <c r="W37" s="22"/>
      <c r="X37" s="22"/>
      <c r="Z37" s="22" t="e">
        <f t="shared" si="4"/>
        <v>#DIV/0!</v>
      </c>
    </row>
    <row r="38" spans="1:26" ht="17.25" x14ac:dyDescent="0.3">
      <c r="A38" s="394"/>
      <c r="B38" s="514" t="s">
        <v>242</v>
      </c>
      <c r="C38" s="515"/>
      <c r="D38" s="515"/>
      <c r="E38" s="515"/>
      <c r="F38" s="516"/>
      <c r="G38" s="401"/>
      <c r="H38" s="401"/>
      <c r="I38" s="395"/>
      <c r="J38" s="396"/>
      <c r="K38" s="397" t="s">
        <v>189</v>
      </c>
      <c r="L38" s="398">
        <v>50388000</v>
      </c>
      <c r="M38" s="398">
        <v>0</v>
      </c>
      <c r="N38" s="398">
        <f t="shared" si="13"/>
        <v>50388000</v>
      </c>
      <c r="O38" s="402"/>
      <c r="P38" s="402"/>
      <c r="Q38" s="399">
        <v>7010000</v>
      </c>
      <c r="R38" s="399">
        <v>36777004</v>
      </c>
      <c r="S38" s="399">
        <f>Q38+R38</f>
        <v>43787004</v>
      </c>
      <c r="T38" s="400">
        <f>S38/N38*100</f>
        <v>86.899666587282681</v>
      </c>
      <c r="U38" s="398">
        <f t="shared" ref="U38:U112" si="14">N38-S38</f>
        <v>6600996</v>
      </c>
      <c r="V38" s="42">
        <f t="shared" si="2"/>
        <v>3300498</v>
      </c>
      <c r="W38" s="22">
        <f t="shared" ref="W38:W106" si="15">Q38/N38*100</f>
        <v>13.912042549813448</v>
      </c>
      <c r="X38" s="22">
        <f t="shared" si="1"/>
        <v>13.912042549813448</v>
      </c>
      <c r="Z38" s="65">
        <f t="shared" si="4"/>
        <v>13.912042549813448</v>
      </c>
    </row>
    <row r="39" spans="1:26" x14ac:dyDescent="0.25">
      <c r="A39" s="240"/>
      <c r="B39" s="329"/>
      <c r="C39" s="331"/>
      <c r="D39" s="323"/>
      <c r="E39" s="323"/>
      <c r="F39" s="323"/>
      <c r="G39" s="322"/>
      <c r="H39" s="322"/>
      <c r="I39" s="323"/>
      <c r="J39" s="362"/>
      <c r="K39" s="368"/>
      <c r="L39" s="337"/>
      <c r="M39" s="337"/>
      <c r="N39" s="337"/>
      <c r="O39" s="337"/>
      <c r="P39" s="337"/>
      <c r="Q39" s="363"/>
      <c r="R39" s="364"/>
      <c r="S39" s="364"/>
      <c r="T39" s="327"/>
      <c r="U39" s="43"/>
      <c r="V39" s="42">
        <f t="shared" si="2"/>
        <v>0</v>
      </c>
      <c r="W39" s="22"/>
      <c r="X39" s="22"/>
      <c r="Z39" s="22" t="e">
        <f t="shared" si="4"/>
        <v>#DIV/0!</v>
      </c>
    </row>
    <row r="40" spans="1:26" ht="17.25" x14ac:dyDescent="0.3">
      <c r="A40" s="394"/>
      <c r="B40" s="514" t="s">
        <v>243</v>
      </c>
      <c r="C40" s="515"/>
      <c r="D40" s="515"/>
      <c r="E40" s="515"/>
      <c r="F40" s="516"/>
      <c r="G40" s="401"/>
      <c r="H40" s="401"/>
      <c r="I40" s="395"/>
      <c r="J40" s="396"/>
      <c r="K40" s="397" t="s">
        <v>190</v>
      </c>
      <c r="L40" s="398">
        <f>L44+L42</f>
        <v>33005000</v>
      </c>
      <c r="M40" s="398">
        <v>0</v>
      </c>
      <c r="N40" s="398">
        <f t="shared" si="13"/>
        <v>33005000</v>
      </c>
      <c r="O40" s="402"/>
      <c r="P40" s="402"/>
      <c r="Q40" s="398">
        <f>Q42+Q44</f>
        <v>4965000</v>
      </c>
      <c r="R40" s="399">
        <v>20460250</v>
      </c>
      <c r="S40" s="399">
        <f>Q40+R40</f>
        <v>25425250</v>
      </c>
      <c r="T40" s="400">
        <f>S40/N40*100</f>
        <v>77.034540221178602</v>
      </c>
      <c r="U40" s="398">
        <f t="shared" si="14"/>
        <v>7579750</v>
      </c>
      <c r="V40" s="42">
        <f t="shared" si="2"/>
        <v>3789875</v>
      </c>
      <c r="W40" s="22"/>
      <c r="X40" s="22">
        <f t="shared" si="1"/>
        <v>15.043175276473262</v>
      </c>
      <c r="Z40" s="22">
        <f t="shared" si="4"/>
        <v>15.043175276473262</v>
      </c>
    </row>
    <row r="41" spans="1:26" x14ac:dyDescent="0.25">
      <c r="A41" s="240"/>
      <c r="B41" s="329"/>
      <c r="C41" s="331"/>
      <c r="D41" s="323"/>
      <c r="E41" s="323"/>
      <c r="F41" s="323"/>
      <c r="G41" s="322"/>
      <c r="H41" s="322"/>
      <c r="I41" s="323"/>
      <c r="J41" s="362"/>
      <c r="K41" s="433"/>
      <c r="L41" s="337"/>
      <c r="M41" s="337"/>
      <c r="N41" s="337"/>
      <c r="O41" s="337"/>
      <c r="P41" s="337"/>
      <c r="Q41" s="363"/>
      <c r="R41" s="364"/>
      <c r="S41" s="364"/>
      <c r="T41" s="327"/>
      <c r="U41" s="43"/>
      <c r="V41" s="42">
        <f t="shared" si="2"/>
        <v>0</v>
      </c>
      <c r="W41" s="22"/>
      <c r="X41" s="22"/>
      <c r="Z41" s="22" t="e">
        <f t="shared" si="4"/>
        <v>#DIV/0!</v>
      </c>
    </row>
    <row r="42" spans="1:26" x14ac:dyDescent="0.25">
      <c r="A42" s="240"/>
      <c r="B42" s="329"/>
      <c r="C42" s="331"/>
      <c r="D42" s="323"/>
      <c r="E42" s="323"/>
      <c r="F42" s="323"/>
      <c r="G42" s="322"/>
      <c r="H42" s="322"/>
      <c r="I42" s="323"/>
      <c r="J42" s="430"/>
      <c r="K42" s="434" t="s">
        <v>191</v>
      </c>
      <c r="L42" s="431">
        <v>15750000</v>
      </c>
      <c r="M42" s="337">
        <v>0</v>
      </c>
      <c r="N42" s="43">
        <f t="shared" si="13"/>
        <v>15750000</v>
      </c>
      <c r="O42" s="337"/>
      <c r="P42" s="337"/>
      <c r="Q42" s="363">
        <v>3495000</v>
      </c>
      <c r="R42" s="364">
        <v>10174000</v>
      </c>
      <c r="S42" s="364">
        <f>Q42+R42</f>
        <v>13669000</v>
      </c>
      <c r="T42" s="327">
        <f>S42/N42*100</f>
        <v>86.787301587301585</v>
      </c>
      <c r="U42" s="43">
        <f t="shared" si="14"/>
        <v>2081000</v>
      </c>
      <c r="V42" s="42"/>
      <c r="W42" s="22"/>
      <c r="X42" s="22">
        <f t="shared" si="1"/>
        <v>22.19047619047619</v>
      </c>
      <c r="Z42" s="22"/>
    </row>
    <row r="43" spans="1:26" x14ac:dyDescent="0.25">
      <c r="A43" s="240"/>
      <c r="B43" s="329"/>
      <c r="C43" s="331"/>
      <c r="D43" s="323"/>
      <c r="E43" s="323"/>
      <c r="F43" s="323"/>
      <c r="G43" s="322"/>
      <c r="H43" s="322"/>
      <c r="I43" s="323"/>
      <c r="J43" s="430"/>
      <c r="K43" s="435"/>
      <c r="L43" s="431"/>
      <c r="M43" s="337"/>
      <c r="N43" s="337"/>
      <c r="O43" s="337"/>
      <c r="P43" s="337"/>
      <c r="Q43" s="363"/>
      <c r="R43" s="364"/>
      <c r="S43" s="364"/>
      <c r="T43" s="327"/>
      <c r="U43" s="43"/>
      <c r="V43" s="42"/>
      <c r="W43" s="22"/>
      <c r="X43" s="22"/>
      <c r="Z43" s="22"/>
    </row>
    <row r="44" spans="1:26" x14ac:dyDescent="0.25">
      <c r="A44" s="240"/>
      <c r="B44" s="329"/>
      <c r="C44" s="331"/>
      <c r="D44" s="323"/>
      <c r="E44" s="323"/>
      <c r="F44" s="323"/>
      <c r="G44" s="322"/>
      <c r="H44" s="322"/>
      <c r="I44" s="323"/>
      <c r="J44" s="430"/>
      <c r="K44" s="434" t="s">
        <v>192</v>
      </c>
      <c r="L44" s="432">
        <v>17255000</v>
      </c>
      <c r="M44" s="43">
        <v>0</v>
      </c>
      <c r="N44" s="43">
        <f t="shared" si="13"/>
        <v>17255000</v>
      </c>
      <c r="O44" s="337"/>
      <c r="P44" s="337"/>
      <c r="Q44" s="363">
        <v>1470000</v>
      </c>
      <c r="R44" s="364">
        <v>10286250</v>
      </c>
      <c r="S44" s="364">
        <f>Q44+R44</f>
        <v>11756250</v>
      </c>
      <c r="T44" s="327">
        <f>S44/N44*100</f>
        <v>68.132425383946682</v>
      </c>
      <c r="U44" s="43">
        <f t="shared" si="14"/>
        <v>5498750</v>
      </c>
      <c r="V44" s="42">
        <f t="shared" si="2"/>
        <v>2749375</v>
      </c>
      <c r="W44" s="22"/>
      <c r="X44" s="22">
        <f t="shared" si="1"/>
        <v>8.5192697768762677</v>
      </c>
      <c r="Z44" s="22">
        <f t="shared" si="4"/>
        <v>8.5192697768762677</v>
      </c>
    </row>
    <row r="45" spans="1:26" x14ac:dyDescent="0.25">
      <c r="A45" s="240"/>
      <c r="B45" s="329"/>
      <c r="C45" s="331"/>
      <c r="D45" s="323"/>
      <c r="E45" s="323"/>
      <c r="F45" s="323"/>
      <c r="G45" s="322"/>
      <c r="H45" s="322"/>
      <c r="I45" s="323"/>
      <c r="J45" s="430"/>
      <c r="K45" s="435"/>
      <c r="L45" s="431"/>
      <c r="M45" s="337"/>
      <c r="N45" s="337"/>
      <c r="O45" s="337"/>
      <c r="P45" s="337"/>
      <c r="Q45" s="363"/>
      <c r="R45" s="364"/>
      <c r="S45" s="364"/>
      <c r="T45" s="327"/>
      <c r="U45" s="43"/>
      <c r="V45" s="42">
        <f t="shared" si="2"/>
        <v>0</v>
      </c>
      <c r="W45" s="22"/>
      <c r="X45" s="22"/>
      <c r="Z45" s="22" t="e">
        <f t="shared" si="4"/>
        <v>#DIV/0!</v>
      </c>
    </row>
    <row r="46" spans="1:26" ht="17.25" x14ac:dyDescent="0.3">
      <c r="A46" s="394"/>
      <c r="B46" s="514" t="s">
        <v>244</v>
      </c>
      <c r="C46" s="515"/>
      <c r="D46" s="515"/>
      <c r="E46" s="515"/>
      <c r="F46" s="516"/>
      <c r="G46" s="413"/>
      <c r="H46" s="413"/>
      <c r="I46" s="414"/>
      <c r="J46" s="415"/>
      <c r="K46" s="397" t="s">
        <v>193</v>
      </c>
      <c r="L46" s="398">
        <v>136360000</v>
      </c>
      <c r="M46" s="398">
        <v>0</v>
      </c>
      <c r="N46" s="398">
        <f t="shared" si="13"/>
        <v>136360000</v>
      </c>
      <c r="O46" s="402"/>
      <c r="P46" s="402"/>
      <c r="Q46" s="399">
        <v>19549000</v>
      </c>
      <c r="R46" s="399">
        <v>94745220</v>
      </c>
      <c r="S46" s="399">
        <f>Q46+R46</f>
        <v>114294220</v>
      </c>
      <c r="T46" s="400">
        <f>S46/N46*100</f>
        <v>83.817996479906128</v>
      </c>
      <c r="U46" s="398">
        <f t="shared" si="14"/>
        <v>22065780</v>
      </c>
      <c r="V46" s="42">
        <f t="shared" si="2"/>
        <v>11032890</v>
      </c>
      <c r="W46" s="22">
        <f t="shared" si="15"/>
        <v>14.336315635083603</v>
      </c>
      <c r="X46" s="22">
        <f t="shared" si="1"/>
        <v>14.336315635083603</v>
      </c>
      <c r="Z46" s="65">
        <f t="shared" si="4"/>
        <v>14.336315635083603</v>
      </c>
    </row>
    <row r="47" spans="1:26" x14ac:dyDescent="0.25">
      <c r="A47" s="240"/>
      <c r="B47" s="329"/>
      <c r="C47" s="331"/>
      <c r="D47" s="323"/>
      <c r="E47" s="323"/>
      <c r="F47" s="323"/>
      <c r="G47" s="322"/>
      <c r="H47" s="322"/>
      <c r="I47" s="323"/>
      <c r="J47" s="362"/>
      <c r="K47" s="368"/>
      <c r="L47" s="337"/>
      <c r="M47" s="337"/>
      <c r="N47" s="337"/>
      <c r="O47" s="337"/>
      <c r="P47" s="337"/>
      <c r="Q47" s="363"/>
      <c r="R47" s="364"/>
      <c r="S47" s="364"/>
      <c r="T47" s="327"/>
      <c r="U47" s="43"/>
      <c r="V47" s="42">
        <f t="shared" si="2"/>
        <v>0</v>
      </c>
      <c r="W47" s="22"/>
      <c r="X47" s="22"/>
      <c r="Z47" s="22" t="e">
        <f t="shared" si="4"/>
        <v>#DIV/0!</v>
      </c>
    </row>
    <row r="48" spans="1:26" ht="17.25" x14ac:dyDescent="0.3">
      <c r="A48" s="394"/>
      <c r="B48" s="514" t="s">
        <v>245</v>
      </c>
      <c r="C48" s="515"/>
      <c r="D48" s="515"/>
      <c r="E48" s="515"/>
      <c r="F48" s="516"/>
      <c r="G48" s="413"/>
      <c r="H48" s="413"/>
      <c r="I48" s="414"/>
      <c r="J48" s="415"/>
      <c r="K48" s="397" t="s">
        <v>194</v>
      </c>
      <c r="L48" s="398">
        <v>1980000</v>
      </c>
      <c r="M48" s="398">
        <v>0</v>
      </c>
      <c r="N48" s="398">
        <f t="shared" si="13"/>
        <v>1980000</v>
      </c>
      <c r="O48" s="402"/>
      <c r="P48" s="402"/>
      <c r="Q48" s="399">
        <v>0</v>
      </c>
      <c r="R48" s="399">
        <v>1980000</v>
      </c>
      <c r="S48" s="399">
        <f>Q48+R48</f>
        <v>1980000</v>
      </c>
      <c r="T48" s="400">
        <f>S48/N48*100</f>
        <v>100</v>
      </c>
      <c r="U48" s="398">
        <f t="shared" si="14"/>
        <v>0</v>
      </c>
      <c r="V48" s="42">
        <f t="shared" si="2"/>
        <v>0</v>
      </c>
      <c r="W48" s="22">
        <f t="shared" si="15"/>
        <v>0</v>
      </c>
      <c r="X48" s="22">
        <f t="shared" si="1"/>
        <v>0</v>
      </c>
      <c r="Z48" s="65">
        <f t="shared" si="4"/>
        <v>0</v>
      </c>
    </row>
    <row r="49" spans="1:26" x14ac:dyDescent="0.25">
      <c r="A49" s="240"/>
      <c r="B49" s="329"/>
      <c r="C49" s="331"/>
      <c r="D49" s="323"/>
      <c r="E49" s="323"/>
      <c r="F49" s="323"/>
      <c r="G49" s="322"/>
      <c r="H49" s="322"/>
      <c r="I49" s="323"/>
      <c r="J49" s="362"/>
      <c r="K49" s="368"/>
      <c r="L49" s="337"/>
      <c r="M49" s="337"/>
      <c r="N49" s="337"/>
      <c r="O49" s="337"/>
      <c r="P49" s="337"/>
      <c r="Q49" s="363"/>
      <c r="R49" s="364"/>
      <c r="S49" s="364"/>
      <c r="T49" s="327"/>
      <c r="U49" s="43"/>
      <c r="V49" s="42">
        <f t="shared" si="2"/>
        <v>0</v>
      </c>
      <c r="W49" s="22"/>
      <c r="X49" s="22"/>
      <c r="Z49" s="22" t="e">
        <f t="shared" si="4"/>
        <v>#DIV/0!</v>
      </c>
    </row>
    <row r="50" spans="1:26" ht="17.25" x14ac:dyDescent="0.3">
      <c r="A50" s="394"/>
      <c r="B50" s="514" t="s">
        <v>246</v>
      </c>
      <c r="C50" s="515"/>
      <c r="D50" s="515"/>
      <c r="E50" s="515"/>
      <c r="F50" s="516"/>
      <c r="G50" s="413"/>
      <c r="H50" s="413"/>
      <c r="I50" s="414"/>
      <c r="J50" s="415"/>
      <c r="K50" s="397" t="s">
        <v>195</v>
      </c>
      <c r="L50" s="398">
        <v>1700000</v>
      </c>
      <c r="M50" s="398">
        <v>0</v>
      </c>
      <c r="N50" s="398">
        <f t="shared" si="13"/>
        <v>1700000</v>
      </c>
      <c r="O50" s="402"/>
      <c r="P50" s="402"/>
      <c r="Q50" s="399">
        <v>0</v>
      </c>
      <c r="R50" s="399">
        <v>1000000</v>
      </c>
      <c r="S50" s="399">
        <f>Q50+R50</f>
        <v>1000000</v>
      </c>
      <c r="T50" s="400">
        <f>S50/N50*100</f>
        <v>58.82352941176471</v>
      </c>
      <c r="U50" s="398">
        <f t="shared" si="14"/>
        <v>700000</v>
      </c>
      <c r="V50" s="42">
        <f t="shared" si="2"/>
        <v>350000</v>
      </c>
      <c r="W50" s="22">
        <f t="shared" si="15"/>
        <v>0</v>
      </c>
      <c r="X50" s="22">
        <f t="shared" si="1"/>
        <v>0</v>
      </c>
      <c r="Z50" s="65">
        <f t="shared" si="4"/>
        <v>0</v>
      </c>
    </row>
    <row r="51" spans="1:26" x14ac:dyDescent="0.25">
      <c r="A51" s="240"/>
      <c r="B51" s="329"/>
      <c r="C51" s="331"/>
      <c r="D51" s="323"/>
      <c r="E51" s="323"/>
      <c r="F51" s="323"/>
      <c r="G51" s="322"/>
      <c r="H51" s="322"/>
      <c r="I51" s="323"/>
      <c r="J51" s="362"/>
      <c r="K51" s="368"/>
      <c r="L51" s="337"/>
      <c r="M51" s="337"/>
      <c r="N51" s="337"/>
      <c r="O51" s="337"/>
      <c r="P51" s="337"/>
      <c r="Q51" s="363"/>
      <c r="R51" s="364"/>
      <c r="S51" s="364"/>
      <c r="T51" s="327"/>
      <c r="U51" s="43"/>
      <c r="V51" s="42">
        <f t="shared" si="2"/>
        <v>0</v>
      </c>
      <c r="W51" s="22"/>
      <c r="X51" s="22"/>
      <c r="Z51" s="22" t="e">
        <f t="shared" si="4"/>
        <v>#DIV/0!</v>
      </c>
    </row>
    <row r="52" spans="1:26" ht="17.25" x14ac:dyDescent="0.3">
      <c r="A52" s="394"/>
      <c r="B52" s="514" t="s">
        <v>246</v>
      </c>
      <c r="C52" s="515"/>
      <c r="D52" s="515"/>
      <c r="E52" s="515"/>
      <c r="F52" s="516"/>
      <c r="G52" s="416"/>
      <c r="H52" s="416"/>
      <c r="I52" s="416"/>
      <c r="J52" s="417"/>
      <c r="K52" s="397" t="s">
        <v>196</v>
      </c>
      <c r="L52" s="418">
        <f>L54+L56+L58</f>
        <v>231900000</v>
      </c>
      <c r="M52" s="418">
        <f>M54+M56+M58</f>
        <v>0</v>
      </c>
      <c r="N52" s="398">
        <f t="shared" si="13"/>
        <v>231900000</v>
      </c>
      <c r="O52" s="402"/>
      <c r="P52" s="402"/>
      <c r="Q52" s="399">
        <f>Q54+Q56+Q58</f>
        <v>21201888</v>
      </c>
      <c r="R52" s="399">
        <v>122694878</v>
      </c>
      <c r="S52" s="399">
        <f>Q52+R52</f>
        <v>143896766</v>
      </c>
      <c r="T52" s="400">
        <f>S52/N52*100</f>
        <v>62.051214316515733</v>
      </c>
      <c r="U52" s="398">
        <f t="shared" si="14"/>
        <v>88003234</v>
      </c>
      <c r="V52" s="42">
        <f t="shared" si="2"/>
        <v>44001617</v>
      </c>
      <c r="W52" s="22">
        <f t="shared" si="15"/>
        <v>9.1426856403622239</v>
      </c>
      <c r="X52" s="22">
        <f t="shared" si="1"/>
        <v>9.1426856403622239</v>
      </c>
      <c r="Z52" s="22">
        <f t="shared" si="4"/>
        <v>9.1426856403622239</v>
      </c>
    </row>
    <row r="53" spans="1:26" x14ac:dyDescent="0.25">
      <c r="A53" s="240"/>
      <c r="B53" s="329"/>
      <c r="C53" s="331"/>
      <c r="D53" s="323"/>
      <c r="E53" s="323"/>
      <c r="F53" s="323"/>
      <c r="G53" s="322"/>
      <c r="H53" s="322"/>
      <c r="I53" s="323"/>
      <c r="J53" s="362"/>
      <c r="K53" s="433"/>
      <c r="L53" s="337"/>
      <c r="M53" s="337"/>
      <c r="N53" s="337"/>
      <c r="O53" s="337"/>
      <c r="P53" s="337"/>
      <c r="Q53" s="363"/>
      <c r="R53" s="364"/>
      <c r="S53" s="364"/>
      <c r="T53" s="327"/>
      <c r="U53" s="43"/>
      <c r="V53" s="42">
        <f t="shared" si="2"/>
        <v>0</v>
      </c>
      <c r="W53" s="22"/>
      <c r="X53" s="22"/>
      <c r="Z53" s="22" t="e">
        <f t="shared" si="4"/>
        <v>#DIV/0!</v>
      </c>
    </row>
    <row r="54" spans="1:26" x14ac:dyDescent="0.25">
      <c r="A54" s="240"/>
      <c r="B54" s="329"/>
      <c r="C54" s="331"/>
      <c r="D54" s="323"/>
      <c r="E54" s="323"/>
      <c r="F54" s="323"/>
      <c r="G54" s="322"/>
      <c r="H54" s="322"/>
      <c r="I54" s="323"/>
      <c r="J54" s="430"/>
      <c r="K54" s="435" t="s">
        <v>197</v>
      </c>
      <c r="L54" s="431">
        <v>27000000</v>
      </c>
      <c r="M54" s="337">
        <v>0</v>
      </c>
      <c r="N54" s="43">
        <f t="shared" si="13"/>
        <v>27000000</v>
      </c>
      <c r="O54" s="337"/>
      <c r="P54" s="337"/>
      <c r="Q54" s="363">
        <v>1870822</v>
      </c>
      <c r="R54" s="364">
        <v>12456093</v>
      </c>
      <c r="S54" s="364">
        <f>Q54+R54</f>
        <v>14326915</v>
      </c>
      <c r="T54" s="327">
        <f>S54/N54*100</f>
        <v>53.062648148148149</v>
      </c>
      <c r="U54" s="43">
        <f t="shared" si="14"/>
        <v>12673085</v>
      </c>
      <c r="V54" s="42"/>
      <c r="W54" s="22"/>
      <c r="X54" s="22">
        <f t="shared" si="1"/>
        <v>6.9289703703703704</v>
      </c>
      <c r="Z54" s="22"/>
    </row>
    <row r="55" spans="1:26" x14ac:dyDescent="0.25">
      <c r="A55" s="240"/>
      <c r="B55" s="329"/>
      <c r="C55" s="331"/>
      <c r="D55" s="323"/>
      <c r="E55" s="323"/>
      <c r="F55" s="323"/>
      <c r="G55" s="322"/>
      <c r="H55" s="322"/>
      <c r="I55" s="323"/>
      <c r="J55" s="430"/>
      <c r="K55" s="435"/>
      <c r="L55" s="431"/>
      <c r="M55" s="337"/>
      <c r="N55" s="337"/>
      <c r="O55" s="337"/>
      <c r="P55" s="337"/>
      <c r="Q55" s="363"/>
      <c r="R55" s="364"/>
      <c r="S55" s="364"/>
      <c r="T55" s="327"/>
      <c r="U55" s="43"/>
      <c r="V55" s="42"/>
      <c r="W55" s="22"/>
      <c r="X55" s="22"/>
      <c r="Z55" s="22"/>
    </row>
    <row r="56" spans="1:26" x14ac:dyDescent="0.25">
      <c r="A56" s="240"/>
      <c r="B56" s="329"/>
      <c r="C56" s="331"/>
      <c r="D56" s="323"/>
      <c r="E56" s="323"/>
      <c r="F56" s="323"/>
      <c r="G56" s="322"/>
      <c r="H56" s="322"/>
      <c r="I56" s="323"/>
      <c r="J56" s="430"/>
      <c r="K56" s="435" t="s">
        <v>198</v>
      </c>
      <c r="L56" s="431">
        <v>900000</v>
      </c>
      <c r="M56" s="337">
        <v>0</v>
      </c>
      <c r="N56" s="43">
        <f t="shared" si="13"/>
        <v>900000</v>
      </c>
      <c r="O56" s="337"/>
      <c r="P56" s="337"/>
      <c r="Q56" s="363">
        <v>45950</v>
      </c>
      <c r="R56" s="364">
        <v>321650</v>
      </c>
      <c r="S56" s="364">
        <f>Q56+R56</f>
        <v>367600</v>
      </c>
      <c r="T56" s="327">
        <f>S56/N56*100</f>
        <v>40.844444444444441</v>
      </c>
      <c r="U56" s="43">
        <f t="shared" si="14"/>
        <v>532400</v>
      </c>
      <c r="V56" s="42"/>
      <c r="W56" s="22"/>
      <c r="X56" s="22">
        <f t="shared" si="1"/>
        <v>5.1055555555555552</v>
      </c>
      <c r="Z56" s="22"/>
    </row>
    <row r="57" spans="1:26" x14ac:dyDescent="0.25">
      <c r="A57" s="240"/>
      <c r="B57" s="329"/>
      <c r="C57" s="331"/>
      <c r="D57" s="323"/>
      <c r="E57" s="323"/>
      <c r="F57" s="323"/>
      <c r="G57" s="322"/>
      <c r="H57" s="322"/>
      <c r="I57" s="323"/>
      <c r="J57" s="430"/>
      <c r="K57" s="435"/>
      <c r="L57" s="431"/>
      <c r="M57" s="337"/>
      <c r="N57" s="337"/>
      <c r="O57" s="337"/>
      <c r="P57" s="337"/>
      <c r="Q57" s="363"/>
      <c r="R57" s="364"/>
      <c r="S57" s="364"/>
      <c r="T57" s="327"/>
      <c r="U57" s="43"/>
      <c r="V57" s="42"/>
      <c r="W57" s="22"/>
      <c r="X57" s="22"/>
      <c r="Z57" s="22"/>
    </row>
    <row r="58" spans="1:26" x14ac:dyDescent="0.25">
      <c r="A58" s="240"/>
      <c r="B58" s="329"/>
      <c r="C58" s="331"/>
      <c r="D58" s="323"/>
      <c r="E58" s="323"/>
      <c r="F58" s="323"/>
      <c r="G58" s="322"/>
      <c r="H58" s="322"/>
      <c r="I58" s="323"/>
      <c r="J58" s="430"/>
      <c r="K58" s="434" t="s">
        <v>199</v>
      </c>
      <c r="L58" s="432">
        <v>204000000</v>
      </c>
      <c r="M58" s="43">
        <v>0</v>
      </c>
      <c r="N58" s="43">
        <v>204000000</v>
      </c>
      <c r="O58" s="337"/>
      <c r="P58" s="337"/>
      <c r="Q58" s="226">
        <v>19285116</v>
      </c>
      <c r="R58" s="364">
        <v>109917135</v>
      </c>
      <c r="S58" s="364">
        <f>Q58+R58</f>
        <v>129202251</v>
      </c>
      <c r="T58" s="327">
        <f>S58/N58*100</f>
        <v>63.334436764705885</v>
      </c>
      <c r="U58" s="43">
        <f>N58-S58</f>
        <v>74797749</v>
      </c>
      <c r="V58" s="42">
        <f t="shared" si="2"/>
        <v>37398874.5</v>
      </c>
      <c r="W58" s="22">
        <f t="shared" si="15"/>
        <v>9.4534882352941185</v>
      </c>
      <c r="X58" s="22">
        <f t="shared" si="1"/>
        <v>9.4534882352941185</v>
      </c>
      <c r="Z58" s="22">
        <f t="shared" si="4"/>
        <v>9.4534882352941185</v>
      </c>
    </row>
    <row r="59" spans="1:26" x14ac:dyDescent="0.25">
      <c r="A59" s="240"/>
      <c r="B59" s="329"/>
      <c r="C59" s="331"/>
      <c r="D59" s="323"/>
      <c r="E59" s="323"/>
      <c r="F59" s="323"/>
      <c r="G59" s="322"/>
      <c r="H59" s="322"/>
      <c r="I59" s="323"/>
      <c r="J59" s="430"/>
      <c r="K59" s="435"/>
      <c r="L59" s="431"/>
      <c r="M59" s="337"/>
      <c r="N59" s="337"/>
      <c r="O59" s="337"/>
      <c r="P59" s="337"/>
      <c r="Q59" s="363"/>
      <c r="R59" s="364"/>
      <c r="S59" s="364"/>
      <c r="T59" s="327"/>
      <c r="U59" s="43"/>
      <c r="V59" s="42">
        <f t="shared" si="2"/>
        <v>0</v>
      </c>
      <c r="W59" s="22"/>
      <c r="X59" s="22"/>
      <c r="Z59" s="22" t="e">
        <f t="shared" si="4"/>
        <v>#DIV/0!</v>
      </c>
    </row>
    <row r="60" spans="1:26" ht="17.25" x14ac:dyDescent="0.3">
      <c r="A60" s="394"/>
      <c r="B60" s="514" t="s">
        <v>247</v>
      </c>
      <c r="C60" s="515"/>
      <c r="D60" s="515"/>
      <c r="E60" s="515"/>
      <c r="F60" s="516"/>
      <c r="G60" s="416"/>
      <c r="H60" s="416"/>
      <c r="I60" s="416"/>
      <c r="J60" s="417"/>
      <c r="K60" s="397" t="s">
        <v>200</v>
      </c>
      <c r="L60" s="418">
        <f>L62+L64+L66+L68+L70</f>
        <v>727622000</v>
      </c>
      <c r="M60" s="418">
        <f>M62+M64+M66+M68+M70</f>
        <v>0</v>
      </c>
      <c r="N60" s="398">
        <f t="shared" si="13"/>
        <v>727622000</v>
      </c>
      <c r="O60" s="402"/>
      <c r="P60" s="402"/>
      <c r="Q60" s="419">
        <f>Q62+Q64+Q66+Q68+Q70</f>
        <v>54911133</v>
      </c>
      <c r="R60" s="399">
        <v>434452777</v>
      </c>
      <c r="S60" s="399">
        <f>Q60+R60</f>
        <v>489363910</v>
      </c>
      <c r="T60" s="400">
        <f>S60/N60*100</f>
        <v>67.25523829680796</v>
      </c>
      <c r="U60" s="398">
        <f t="shared" si="14"/>
        <v>238258090</v>
      </c>
      <c r="V60" s="42">
        <f t="shared" si="2"/>
        <v>119129045</v>
      </c>
      <c r="W60" s="22">
        <f t="shared" si="15"/>
        <v>7.5466565057131314</v>
      </c>
      <c r="X60" s="22">
        <f t="shared" si="1"/>
        <v>7.5466565057131314</v>
      </c>
      <c r="Z60" s="65">
        <f t="shared" si="4"/>
        <v>7.5466565057131314</v>
      </c>
    </row>
    <row r="61" spans="1:26" x14ac:dyDescent="0.25">
      <c r="A61" s="240"/>
      <c r="B61" s="329"/>
      <c r="C61" s="331"/>
      <c r="D61" s="323"/>
      <c r="E61" s="323"/>
      <c r="F61" s="323"/>
      <c r="G61" s="322"/>
      <c r="H61" s="322"/>
      <c r="I61" s="323"/>
      <c r="J61" s="362"/>
      <c r="K61" s="433"/>
      <c r="L61" s="337"/>
      <c r="M61" s="43"/>
      <c r="N61" s="337"/>
      <c r="O61" s="337"/>
      <c r="P61" s="337"/>
      <c r="Q61" s="363"/>
      <c r="R61" s="364"/>
      <c r="S61" s="364"/>
      <c r="T61" s="327"/>
      <c r="U61" s="43"/>
      <c r="V61" s="42">
        <f t="shared" si="2"/>
        <v>0</v>
      </c>
      <c r="W61" s="22"/>
      <c r="X61" s="22"/>
      <c r="Z61" s="22" t="e">
        <f t="shared" si="4"/>
        <v>#DIV/0!</v>
      </c>
    </row>
    <row r="62" spans="1:26" x14ac:dyDescent="0.25">
      <c r="A62" s="240"/>
      <c r="B62" s="329"/>
      <c r="C62" s="331"/>
      <c r="D62" s="323"/>
      <c r="E62" s="323"/>
      <c r="F62" s="323"/>
      <c r="G62" s="322"/>
      <c r="H62" s="322"/>
      <c r="I62" s="323"/>
      <c r="J62" s="430"/>
      <c r="K62" s="434" t="s">
        <v>201</v>
      </c>
      <c r="L62" s="431">
        <v>3300000</v>
      </c>
      <c r="M62" s="43">
        <v>0</v>
      </c>
      <c r="N62" s="43">
        <f t="shared" si="13"/>
        <v>3300000</v>
      </c>
      <c r="O62" s="337"/>
      <c r="P62" s="337"/>
      <c r="Q62" s="363">
        <v>275000</v>
      </c>
      <c r="R62" s="364">
        <v>1650000</v>
      </c>
      <c r="S62" s="364">
        <f>Q62+R62</f>
        <v>1925000</v>
      </c>
      <c r="T62" s="327">
        <f>S62/N62*100</f>
        <v>58.333333333333336</v>
      </c>
      <c r="U62" s="43">
        <f t="shared" si="14"/>
        <v>1375000</v>
      </c>
      <c r="V62" s="42"/>
      <c r="W62" s="22"/>
      <c r="X62" s="22">
        <f t="shared" si="1"/>
        <v>8.3333333333333321</v>
      </c>
      <c r="Z62" s="22"/>
    </row>
    <row r="63" spans="1:26" x14ac:dyDescent="0.25">
      <c r="A63" s="240"/>
      <c r="B63" s="329"/>
      <c r="C63" s="331"/>
      <c r="D63" s="323"/>
      <c r="E63" s="323"/>
      <c r="F63" s="323"/>
      <c r="G63" s="322"/>
      <c r="H63" s="322"/>
      <c r="I63" s="323"/>
      <c r="J63" s="430"/>
      <c r="K63" s="434"/>
      <c r="L63" s="431"/>
      <c r="M63" s="43"/>
      <c r="N63" s="337"/>
      <c r="O63" s="337"/>
      <c r="P63" s="337"/>
      <c r="Q63" s="363"/>
      <c r="R63" s="364"/>
      <c r="S63" s="364"/>
      <c r="T63" s="327"/>
      <c r="U63" s="43"/>
      <c r="V63" s="42"/>
      <c r="W63" s="22"/>
      <c r="X63" s="22"/>
      <c r="Z63" s="22"/>
    </row>
    <row r="64" spans="1:26" x14ac:dyDescent="0.25">
      <c r="A64" s="240"/>
      <c r="B64" s="329"/>
      <c r="C64" s="331"/>
      <c r="D64" s="323"/>
      <c r="E64" s="323"/>
      <c r="F64" s="323"/>
      <c r="G64" s="322"/>
      <c r="H64" s="322"/>
      <c r="I64" s="323"/>
      <c r="J64" s="430"/>
      <c r="K64" s="434" t="s">
        <v>202</v>
      </c>
      <c r="L64" s="431">
        <v>314472000</v>
      </c>
      <c r="M64" s="43">
        <v>0</v>
      </c>
      <c r="N64" s="43">
        <f t="shared" si="13"/>
        <v>314472000</v>
      </c>
      <c r="O64" s="337"/>
      <c r="P64" s="337"/>
      <c r="Q64" s="76">
        <v>24018733</v>
      </c>
      <c r="R64" s="364">
        <v>193383806</v>
      </c>
      <c r="S64" s="364">
        <f>Q64+R64</f>
        <v>217402539</v>
      </c>
      <c r="T64" s="327">
        <f>S64/N64*100</f>
        <v>69.132558383576281</v>
      </c>
      <c r="U64" s="43">
        <f t="shared" si="14"/>
        <v>97069461</v>
      </c>
      <c r="V64" s="42"/>
      <c r="W64" s="22"/>
      <c r="X64" s="22">
        <f t="shared" si="1"/>
        <v>7.6377970057747584</v>
      </c>
      <c r="Z64" s="22"/>
    </row>
    <row r="65" spans="1:27" x14ac:dyDescent="0.25">
      <c r="A65" s="240"/>
      <c r="B65" s="329"/>
      <c r="C65" s="331"/>
      <c r="D65" s="323"/>
      <c r="E65" s="323"/>
      <c r="F65" s="323"/>
      <c r="G65" s="322"/>
      <c r="H65" s="322"/>
      <c r="I65" s="323"/>
      <c r="J65" s="430"/>
      <c r="K65" s="434"/>
      <c r="L65" s="431"/>
      <c r="M65" s="43"/>
      <c r="N65" s="337"/>
      <c r="O65" s="337"/>
      <c r="P65" s="337"/>
      <c r="Q65" s="363"/>
      <c r="R65" s="364"/>
      <c r="S65" s="364"/>
      <c r="T65" s="327"/>
      <c r="U65" s="43"/>
      <c r="V65" s="42"/>
      <c r="W65" s="22"/>
      <c r="X65" s="22"/>
      <c r="Z65" s="22"/>
    </row>
    <row r="66" spans="1:27" x14ac:dyDescent="0.25">
      <c r="A66" s="240"/>
      <c r="B66" s="329"/>
      <c r="C66" s="331"/>
      <c r="D66" s="323"/>
      <c r="E66" s="323"/>
      <c r="F66" s="323"/>
      <c r="G66" s="322"/>
      <c r="H66" s="322"/>
      <c r="I66" s="323"/>
      <c r="J66" s="430"/>
      <c r="K66" s="434" t="s">
        <v>203</v>
      </c>
      <c r="L66" s="431">
        <v>357430000</v>
      </c>
      <c r="M66" s="43">
        <v>0</v>
      </c>
      <c r="N66" s="43">
        <f t="shared" si="13"/>
        <v>357430000</v>
      </c>
      <c r="O66" s="337"/>
      <c r="P66" s="337"/>
      <c r="Q66" s="76">
        <v>26309478</v>
      </c>
      <c r="R66" s="364">
        <v>211991958</v>
      </c>
      <c r="S66" s="364">
        <f>Q66+R66</f>
        <v>238301436</v>
      </c>
      <c r="T66" s="327">
        <f>S66/N66*100</f>
        <v>66.670798757798735</v>
      </c>
      <c r="U66" s="43">
        <f t="shared" si="14"/>
        <v>119128564</v>
      </c>
      <c r="V66" s="42"/>
      <c r="W66" s="22"/>
      <c r="X66" s="22">
        <f t="shared" si="1"/>
        <v>7.3607358084100376</v>
      </c>
      <c r="Z66" s="22"/>
    </row>
    <row r="67" spans="1:27" x14ac:dyDescent="0.25">
      <c r="A67" s="240"/>
      <c r="B67" s="329"/>
      <c r="C67" s="331"/>
      <c r="D67" s="323"/>
      <c r="E67" s="323"/>
      <c r="F67" s="323"/>
      <c r="G67" s="322"/>
      <c r="H67" s="322"/>
      <c r="I67" s="323"/>
      <c r="J67" s="430"/>
      <c r="K67" s="434"/>
      <c r="L67" s="431"/>
      <c r="M67" s="43"/>
      <c r="N67" s="337"/>
      <c r="O67" s="337"/>
      <c r="P67" s="337"/>
      <c r="Q67" s="363"/>
      <c r="R67" s="364"/>
      <c r="S67" s="364"/>
      <c r="T67" s="327"/>
      <c r="U67" s="43"/>
      <c r="V67" s="42"/>
      <c r="W67" s="22"/>
      <c r="X67" s="22"/>
      <c r="Z67" s="22"/>
    </row>
    <row r="68" spans="1:27" x14ac:dyDescent="0.25">
      <c r="A68" s="240"/>
      <c r="B68" s="329"/>
      <c r="C68" s="331"/>
      <c r="D68" s="323"/>
      <c r="E68" s="323"/>
      <c r="F68" s="323"/>
      <c r="G68" s="322"/>
      <c r="H68" s="322"/>
      <c r="I68" s="323"/>
      <c r="J68" s="430"/>
      <c r="K68" s="434" t="s">
        <v>204</v>
      </c>
      <c r="L68" s="431">
        <v>10800000</v>
      </c>
      <c r="M68" s="43">
        <v>0</v>
      </c>
      <c r="N68" s="43">
        <f t="shared" si="13"/>
        <v>10800000</v>
      </c>
      <c r="O68" s="337"/>
      <c r="P68" s="337"/>
      <c r="Q68" s="363">
        <v>900000</v>
      </c>
      <c r="R68" s="364">
        <v>6300000</v>
      </c>
      <c r="S68" s="364">
        <f>Q68+R68</f>
        <v>7200000</v>
      </c>
      <c r="T68" s="327">
        <f>S68/N68*100</f>
        <v>66.666666666666657</v>
      </c>
      <c r="U68" s="43">
        <f t="shared" si="14"/>
        <v>3600000</v>
      </c>
      <c r="V68" s="42"/>
      <c r="W68" s="22"/>
      <c r="X68" s="22">
        <f t="shared" si="1"/>
        <v>8.3333333333333321</v>
      </c>
      <c r="Z68" s="22"/>
    </row>
    <row r="69" spans="1:27" x14ac:dyDescent="0.25">
      <c r="A69" s="240"/>
      <c r="B69" s="329"/>
      <c r="C69" s="331"/>
      <c r="D69" s="323"/>
      <c r="E69" s="323"/>
      <c r="F69" s="323"/>
      <c r="G69" s="322"/>
      <c r="H69" s="322"/>
      <c r="I69" s="323"/>
      <c r="J69" s="430"/>
      <c r="K69" s="435"/>
      <c r="L69" s="431"/>
      <c r="M69" s="43"/>
      <c r="N69" s="337"/>
      <c r="O69" s="337"/>
      <c r="P69" s="337"/>
      <c r="Q69" s="363"/>
      <c r="R69" s="364"/>
      <c r="S69" s="364"/>
      <c r="T69" s="327"/>
      <c r="U69" s="43"/>
      <c r="V69" s="42"/>
      <c r="W69" s="22"/>
      <c r="X69" s="22"/>
      <c r="Z69" s="22"/>
    </row>
    <row r="70" spans="1:27" x14ac:dyDescent="0.25">
      <c r="A70" s="240"/>
      <c r="B70" s="329"/>
      <c r="C70" s="331"/>
      <c r="D70" s="323"/>
      <c r="E70" s="323"/>
      <c r="F70" s="323"/>
      <c r="G70" s="322"/>
      <c r="H70" s="322"/>
      <c r="I70" s="323"/>
      <c r="J70" s="430"/>
      <c r="K70" s="434" t="s">
        <v>205</v>
      </c>
      <c r="L70" s="432">
        <v>41620000</v>
      </c>
      <c r="M70" s="43">
        <v>0</v>
      </c>
      <c r="N70" s="43">
        <f t="shared" si="13"/>
        <v>41620000</v>
      </c>
      <c r="O70" s="337"/>
      <c r="P70" s="337"/>
      <c r="Q70" s="226">
        <v>3407922</v>
      </c>
      <c r="R70" s="364">
        <v>21127013</v>
      </c>
      <c r="S70" s="364">
        <f>Q70+R70</f>
        <v>24534935</v>
      </c>
      <c r="T70" s="327">
        <f>S70/N70*100</f>
        <v>58.949867851994227</v>
      </c>
      <c r="U70" s="43">
        <f t="shared" si="14"/>
        <v>17085065</v>
      </c>
      <c r="V70" s="42">
        <f t="shared" si="2"/>
        <v>8542532.5</v>
      </c>
      <c r="W70" s="22">
        <f t="shared" si="15"/>
        <v>8.1881835655934641</v>
      </c>
      <c r="X70" s="22">
        <f t="shared" si="1"/>
        <v>8.1881835655934641</v>
      </c>
      <c r="Z70" s="22">
        <f t="shared" si="4"/>
        <v>8.1881835655934641</v>
      </c>
    </row>
    <row r="71" spans="1:27" x14ac:dyDescent="0.25">
      <c r="A71" s="240"/>
      <c r="B71" s="329"/>
      <c r="C71" s="331"/>
      <c r="D71" s="323"/>
      <c r="E71" s="323"/>
      <c r="F71" s="323"/>
      <c r="G71" s="322"/>
      <c r="H71" s="322"/>
      <c r="I71" s="323"/>
      <c r="J71" s="362"/>
      <c r="K71" s="436"/>
      <c r="L71" s="337"/>
      <c r="M71" s="337"/>
      <c r="N71" s="337"/>
      <c r="O71" s="337"/>
      <c r="P71" s="337"/>
      <c r="Q71" s="363"/>
      <c r="R71" s="364"/>
      <c r="S71" s="364"/>
      <c r="T71" s="327"/>
      <c r="U71" s="43"/>
      <c r="V71" s="42">
        <f t="shared" si="2"/>
        <v>0</v>
      </c>
      <c r="W71" s="22"/>
      <c r="X71" s="22"/>
      <c r="Z71" s="22" t="e">
        <f t="shared" si="4"/>
        <v>#DIV/0!</v>
      </c>
    </row>
    <row r="72" spans="1:27" ht="17.25" x14ac:dyDescent="0.3">
      <c r="A72" s="394"/>
      <c r="B72" s="514" t="s">
        <v>248</v>
      </c>
      <c r="C72" s="515"/>
      <c r="D72" s="515"/>
      <c r="E72" s="515"/>
      <c r="F72" s="516"/>
      <c r="G72" s="413"/>
      <c r="H72" s="413"/>
      <c r="I72" s="414"/>
      <c r="J72" s="415"/>
      <c r="K72" s="420" t="s">
        <v>206</v>
      </c>
      <c r="L72" s="398">
        <f>L74+L76+L78+L80+L82</f>
        <v>108870000</v>
      </c>
      <c r="M72" s="398">
        <f>M80+M82</f>
        <v>0</v>
      </c>
      <c r="N72" s="398">
        <f t="shared" si="13"/>
        <v>108870000</v>
      </c>
      <c r="O72" s="402"/>
      <c r="P72" s="402"/>
      <c r="Q72" s="399">
        <f>Q73+Q76+Q78+Q80+Q82</f>
        <v>9600598</v>
      </c>
      <c r="R72" s="399">
        <v>57817083</v>
      </c>
      <c r="S72" s="399">
        <f>Q72+R72</f>
        <v>67417681</v>
      </c>
      <c r="T72" s="400">
        <f>S72/N72*100</f>
        <v>61.924938917975567</v>
      </c>
      <c r="U72" s="398">
        <f t="shared" si="14"/>
        <v>41452319</v>
      </c>
      <c r="V72" s="42">
        <f t="shared" si="2"/>
        <v>20726159.5</v>
      </c>
      <c r="W72" s="22">
        <f t="shared" si="15"/>
        <v>8.8184054376779653</v>
      </c>
      <c r="X72" s="22">
        <f t="shared" si="1"/>
        <v>8.8184054376779653</v>
      </c>
      <c r="Z72" s="65">
        <f t="shared" si="4"/>
        <v>8.8184054376779653</v>
      </c>
      <c r="AA72" s="1" t="s">
        <v>114</v>
      </c>
    </row>
    <row r="73" spans="1:27" x14ac:dyDescent="0.25">
      <c r="A73" s="240"/>
      <c r="B73" s="329"/>
      <c r="C73" s="331"/>
      <c r="D73" s="323"/>
      <c r="E73" s="323"/>
      <c r="F73" s="323"/>
      <c r="G73" s="322"/>
      <c r="H73" s="322"/>
      <c r="I73" s="323"/>
      <c r="J73" s="430"/>
      <c r="K73" s="435" t="s">
        <v>274</v>
      </c>
      <c r="L73" s="431">
        <v>60090000</v>
      </c>
      <c r="M73" s="337"/>
      <c r="N73" s="337">
        <v>60090000</v>
      </c>
      <c r="O73" s="337"/>
      <c r="P73" s="337"/>
      <c r="Q73" s="363">
        <v>5600000</v>
      </c>
      <c r="R73" s="364">
        <v>35000000</v>
      </c>
      <c r="S73" s="364">
        <f>Q73+R73</f>
        <v>40600000</v>
      </c>
      <c r="T73" s="327"/>
      <c r="U73" s="43">
        <f t="shared" si="14"/>
        <v>19490000</v>
      </c>
      <c r="V73" s="42">
        <f t="shared" si="2"/>
        <v>9745000</v>
      </c>
      <c r="W73" s="22"/>
      <c r="X73" s="22"/>
      <c r="Z73" s="22">
        <f t="shared" si="4"/>
        <v>9.3193543018805123</v>
      </c>
    </row>
    <row r="74" spans="1:27" x14ac:dyDescent="0.25">
      <c r="A74" s="240"/>
      <c r="B74" s="329"/>
      <c r="C74" s="331"/>
      <c r="D74" s="323"/>
      <c r="E74" s="323"/>
      <c r="F74" s="323"/>
      <c r="G74" s="322"/>
      <c r="H74" s="322"/>
      <c r="I74" s="323"/>
      <c r="J74" s="430"/>
      <c r="K74" s="435" t="s">
        <v>207</v>
      </c>
      <c r="L74" s="431">
        <v>60090000</v>
      </c>
      <c r="M74" s="337">
        <v>0</v>
      </c>
      <c r="N74" s="43">
        <f t="shared" si="13"/>
        <v>60090000</v>
      </c>
      <c r="O74" s="337"/>
      <c r="P74" s="337"/>
      <c r="Q74" s="363">
        <v>5600000</v>
      </c>
      <c r="R74" s="364">
        <v>35000000</v>
      </c>
      <c r="S74" s="364">
        <f>Q74+R74</f>
        <v>40600000</v>
      </c>
      <c r="T74" s="327">
        <f>S74/N74*100</f>
        <v>67.56531868863371</v>
      </c>
      <c r="U74" s="43">
        <f t="shared" si="14"/>
        <v>19490000</v>
      </c>
      <c r="V74" s="42"/>
      <c r="W74" s="22"/>
      <c r="X74" s="22">
        <f t="shared" si="1"/>
        <v>9.3193543018805123</v>
      </c>
      <c r="Z74" s="22"/>
    </row>
    <row r="75" spans="1:27" x14ac:dyDescent="0.25">
      <c r="A75" s="240"/>
      <c r="B75" s="329"/>
      <c r="C75" s="331"/>
      <c r="D75" s="323"/>
      <c r="E75" s="323"/>
      <c r="F75" s="323"/>
      <c r="G75" s="322"/>
      <c r="H75" s="322"/>
      <c r="I75" s="323"/>
      <c r="J75" s="430"/>
      <c r="K75" s="435"/>
      <c r="L75" s="431"/>
      <c r="M75" s="337"/>
      <c r="N75" s="337"/>
      <c r="O75" s="337"/>
      <c r="P75" s="337"/>
      <c r="Q75" s="363"/>
      <c r="R75" s="364"/>
      <c r="S75" s="364"/>
      <c r="T75" s="327"/>
      <c r="U75" s="43"/>
      <c r="V75" s="42"/>
      <c r="W75" s="22"/>
      <c r="X75" s="22"/>
      <c r="Z75" s="22"/>
    </row>
    <row r="76" spans="1:27" x14ac:dyDescent="0.25">
      <c r="A76" s="240"/>
      <c r="B76" s="329"/>
      <c r="C76" s="331"/>
      <c r="D76" s="323"/>
      <c r="E76" s="323"/>
      <c r="F76" s="323"/>
      <c r="G76" s="322"/>
      <c r="H76" s="322"/>
      <c r="I76" s="323"/>
      <c r="J76" s="430"/>
      <c r="K76" s="435" t="s">
        <v>208</v>
      </c>
      <c r="L76" s="431">
        <v>25700000</v>
      </c>
      <c r="M76" s="337">
        <v>0</v>
      </c>
      <c r="N76" s="43">
        <f t="shared" si="13"/>
        <v>25700000</v>
      </c>
      <c r="O76" s="337"/>
      <c r="P76" s="337"/>
      <c r="Q76" s="76">
        <v>3096468</v>
      </c>
      <c r="R76" s="364">
        <v>12810242</v>
      </c>
      <c r="S76" s="364">
        <f>Q76+R76</f>
        <v>15906710</v>
      </c>
      <c r="T76" s="327">
        <f>S76/N76*100</f>
        <v>61.893813229571983</v>
      </c>
      <c r="U76" s="43">
        <f t="shared" si="14"/>
        <v>9793290</v>
      </c>
      <c r="V76" s="42"/>
      <c r="W76" s="22"/>
      <c r="X76" s="22">
        <f t="shared" si="1"/>
        <v>12.048513618677042</v>
      </c>
      <c r="Z76" s="22"/>
    </row>
    <row r="77" spans="1:27" x14ac:dyDescent="0.25">
      <c r="A77" s="240"/>
      <c r="B77" s="329"/>
      <c r="C77" s="331"/>
      <c r="D77" s="323"/>
      <c r="E77" s="323"/>
      <c r="F77" s="323"/>
      <c r="G77" s="322"/>
      <c r="H77" s="322"/>
      <c r="I77" s="323"/>
      <c r="J77" s="430"/>
      <c r="K77" s="435"/>
      <c r="L77" s="431"/>
      <c r="M77" s="337"/>
      <c r="N77" s="337"/>
      <c r="O77" s="337"/>
      <c r="P77" s="337"/>
      <c r="Q77" s="363"/>
      <c r="R77" s="364"/>
      <c r="S77" s="364"/>
      <c r="T77" s="327"/>
      <c r="U77" s="43"/>
      <c r="V77" s="42"/>
      <c r="W77" s="22"/>
      <c r="X77" s="22"/>
      <c r="Z77" s="22"/>
    </row>
    <row r="78" spans="1:27" x14ac:dyDescent="0.25">
      <c r="A78" s="240"/>
      <c r="B78" s="329"/>
      <c r="C78" s="331"/>
      <c r="D78" s="323"/>
      <c r="E78" s="323"/>
      <c r="F78" s="323"/>
      <c r="G78" s="322"/>
      <c r="H78" s="322"/>
      <c r="I78" s="323"/>
      <c r="J78" s="430"/>
      <c r="K78" s="435" t="s">
        <v>209</v>
      </c>
      <c r="L78" s="431">
        <v>11180000</v>
      </c>
      <c r="M78" s="337">
        <v>0</v>
      </c>
      <c r="N78" s="43">
        <f t="shared" si="13"/>
        <v>11180000</v>
      </c>
      <c r="O78" s="337"/>
      <c r="P78" s="337"/>
      <c r="Q78" s="76">
        <v>536130</v>
      </c>
      <c r="R78" s="364">
        <v>9841841</v>
      </c>
      <c r="S78" s="364">
        <f>Q78+R78</f>
        <v>10377971</v>
      </c>
      <c r="T78" s="327">
        <f>S78/N78*100</f>
        <v>92.826216457960641</v>
      </c>
      <c r="U78" s="43">
        <f t="shared" si="14"/>
        <v>802029</v>
      </c>
      <c r="V78" s="42"/>
      <c r="W78" s="22"/>
      <c r="X78" s="22">
        <f t="shared" si="1"/>
        <v>4.7954382826475852</v>
      </c>
      <c r="Z78" s="22"/>
    </row>
    <row r="79" spans="1:27" x14ac:dyDescent="0.25">
      <c r="A79" s="240"/>
      <c r="B79" s="329"/>
      <c r="C79" s="331"/>
      <c r="D79" s="323"/>
      <c r="E79" s="323"/>
      <c r="F79" s="323"/>
      <c r="G79" s="322"/>
      <c r="H79" s="322"/>
      <c r="I79" s="323"/>
      <c r="J79" s="430"/>
      <c r="K79" s="435"/>
      <c r="L79" s="431"/>
      <c r="M79" s="337"/>
      <c r="N79" s="337"/>
      <c r="O79" s="337"/>
      <c r="P79" s="337"/>
      <c r="Q79" s="363"/>
      <c r="R79" s="364"/>
      <c r="S79" s="364"/>
      <c r="T79" s="327"/>
      <c r="U79" s="43"/>
      <c r="V79" s="42"/>
      <c r="W79" s="22"/>
      <c r="X79" s="22"/>
      <c r="Z79" s="22"/>
    </row>
    <row r="80" spans="1:27" x14ac:dyDescent="0.25">
      <c r="A80" s="240"/>
      <c r="B80" s="329"/>
      <c r="C80" s="331"/>
      <c r="D80" s="323"/>
      <c r="E80" s="323"/>
      <c r="F80" s="323"/>
      <c r="G80" s="322"/>
      <c r="H80" s="322"/>
      <c r="I80" s="323"/>
      <c r="J80" s="430"/>
      <c r="K80" s="434" t="s">
        <v>210</v>
      </c>
      <c r="L80" s="432">
        <v>11500000</v>
      </c>
      <c r="M80" s="43">
        <v>0</v>
      </c>
      <c r="N80" s="43">
        <f t="shared" si="13"/>
        <v>11500000</v>
      </c>
      <c r="O80" s="337"/>
      <c r="P80" s="337"/>
      <c r="Q80" s="76">
        <v>203000</v>
      </c>
      <c r="R80" s="364">
        <v>0</v>
      </c>
      <c r="S80" s="364">
        <f>Q80+R80</f>
        <v>203000</v>
      </c>
      <c r="T80" s="327">
        <f>S80/N80*100</f>
        <v>1.7652173913043478</v>
      </c>
      <c r="U80" s="43">
        <f t="shared" si="14"/>
        <v>11297000</v>
      </c>
      <c r="V80" s="42">
        <f t="shared" si="2"/>
        <v>5648500</v>
      </c>
      <c r="W80" s="22">
        <f t="shared" si="15"/>
        <v>1.7652173913043478</v>
      </c>
      <c r="X80" s="22">
        <f t="shared" si="1"/>
        <v>1.7652173913043478</v>
      </c>
      <c r="Z80" s="22">
        <f t="shared" si="4"/>
        <v>1.7652173913043478</v>
      </c>
    </row>
    <row r="81" spans="1:26" x14ac:dyDescent="0.25">
      <c r="A81" s="240"/>
      <c r="B81" s="329"/>
      <c r="C81" s="331"/>
      <c r="D81" s="323"/>
      <c r="E81" s="323"/>
      <c r="F81" s="323"/>
      <c r="G81" s="322"/>
      <c r="H81" s="322"/>
      <c r="I81" s="323"/>
      <c r="J81" s="430"/>
      <c r="K81" s="434"/>
      <c r="L81" s="432" t="s">
        <v>212</v>
      </c>
      <c r="M81" s="43"/>
      <c r="N81" s="337"/>
      <c r="O81" s="337"/>
      <c r="P81" s="337"/>
      <c r="Q81" s="364"/>
      <c r="R81" s="364"/>
      <c r="S81" s="364"/>
      <c r="T81" s="327"/>
      <c r="U81" s="43"/>
      <c r="V81" s="42">
        <f t="shared" si="2"/>
        <v>0</v>
      </c>
      <c r="W81" s="22"/>
      <c r="X81" s="22"/>
      <c r="Z81" s="22" t="e">
        <f t="shared" si="4"/>
        <v>#DIV/0!</v>
      </c>
    </row>
    <row r="82" spans="1:26" x14ac:dyDescent="0.25">
      <c r="A82" s="240"/>
      <c r="B82" s="329"/>
      <c r="C82" s="331"/>
      <c r="D82" s="323"/>
      <c r="E82" s="323"/>
      <c r="F82" s="323"/>
      <c r="G82" s="322"/>
      <c r="H82" s="322"/>
      <c r="I82" s="323"/>
      <c r="J82" s="430"/>
      <c r="K82" s="434" t="s">
        <v>211</v>
      </c>
      <c r="L82" s="432">
        <v>400000</v>
      </c>
      <c r="M82" s="43">
        <v>0</v>
      </c>
      <c r="N82" s="43">
        <f t="shared" si="13"/>
        <v>400000</v>
      </c>
      <c r="O82" s="337"/>
      <c r="P82" s="337"/>
      <c r="Q82" s="364">
        <v>165000</v>
      </c>
      <c r="R82" s="364">
        <v>165000</v>
      </c>
      <c r="S82" s="364">
        <f>Q82+R82</f>
        <v>330000</v>
      </c>
      <c r="T82" s="327">
        <f>S82/N82*100</f>
        <v>82.5</v>
      </c>
      <c r="U82" s="43">
        <f t="shared" si="14"/>
        <v>70000</v>
      </c>
      <c r="V82" s="42">
        <f t="shared" si="2"/>
        <v>35000</v>
      </c>
      <c r="W82" s="22">
        <f t="shared" si="15"/>
        <v>41.25</v>
      </c>
      <c r="X82" s="22">
        <f t="shared" si="1"/>
        <v>41.25</v>
      </c>
      <c r="Z82" s="22">
        <f t="shared" si="4"/>
        <v>41.25</v>
      </c>
    </row>
    <row r="83" spans="1:26" x14ac:dyDescent="0.25">
      <c r="A83" s="240"/>
      <c r="B83" s="329"/>
      <c r="C83" s="331"/>
      <c r="D83" s="323"/>
      <c r="E83" s="323"/>
      <c r="F83" s="323"/>
      <c r="G83" s="322"/>
      <c r="H83" s="322"/>
      <c r="I83" s="323"/>
      <c r="J83" s="430"/>
      <c r="K83" s="435"/>
      <c r="L83" s="431"/>
      <c r="M83" s="337"/>
      <c r="N83" s="337"/>
      <c r="O83" s="337"/>
      <c r="P83" s="337"/>
      <c r="Q83" s="363"/>
      <c r="R83" s="364"/>
      <c r="S83" s="364"/>
      <c r="T83" s="327"/>
      <c r="U83" s="43"/>
      <c r="V83" s="42">
        <f t="shared" si="2"/>
        <v>0</v>
      </c>
      <c r="W83" s="22"/>
      <c r="X83" s="22"/>
      <c r="Z83" s="22" t="e">
        <f t="shared" si="4"/>
        <v>#DIV/0!</v>
      </c>
    </row>
    <row r="84" spans="1:26" ht="17.25" x14ac:dyDescent="0.3">
      <c r="A84" s="394"/>
      <c r="B84" s="514" t="s">
        <v>249</v>
      </c>
      <c r="C84" s="515"/>
      <c r="D84" s="515"/>
      <c r="E84" s="515"/>
      <c r="F84" s="516"/>
      <c r="G84" s="413"/>
      <c r="H84" s="413"/>
      <c r="I84" s="414"/>
      <c r="J84" s="415"/>
      <c r="K84" s="397" t="s">
        <v>213</v>
      </c>
      <c r="L84" s="398">
        <v>1000000</v>
      </c>
      <c r="M84" s="398">
        <v>0</v>
      </c>
      <c r="N84" s="398">
        <f t="shared" si="13"/>
        <v>1000000</v>
      </c>
      <c r="O84" s="402"/>
      <c r="P84" s="402"/>
      <c r="Q84" s="399">
        <v>0</v>
      </c>
      <c r="R84" s="399">
        <v>500000</v>
      </c>
      <c r="S84" s="399">
        <f>Q84+R84</f>
        <v>500000</v>
      </c>
      <c r="T84" s="400">
        <f>S84/N84*100</f>
        <v>50</v>
      </c>
      <c r="U84" s="398">
        <f t="shared" si="14"/>
        <v>500000</v>
      </c>
      <c r="V84" s="42">
        <f t="shared" si="2"/>
        <v>250000</v>
      </c>
      <c r="W84" s="22">
        <f t="shared" si="15"/>
        <v>0</v>
      </c>
      <c r="X84" s="22">
        <f t="shared" si="1"/>
        <v>0</v>
      </c>
      <c r="Z84" s="65">
        <f t="shared" si="4"/>
        <v>0</v>
      </c>
    </row>
    <row r="85" spans="1:26" x14ac:dyDescent="0.25">
      <c r="A85" s="240"/>
      <c r="B85" s="329"/>
      <c r="C85" s="331"/>
      <c r="D85" s="323"/>
      <c r="E85" s="323"/>
      <c r="F85" s="323"/>
      <c r="G85" s="322"/>
      <c r="H85" s="322"/>
      <c r="I85" s="323"/>
      <c r="J85" s="362"/>
      <c r="K85" s="368"/>
      <c r="L85" s="337"/>
      <c r="M85" s="337"/>
      <c r="N85" s="337"/>
      <c r="O85" s="337"/>
      <c r="P85" s="337"/>
      <c r="Q85" s="363"/>
      <c r="R85" s="364"/>
      <c r="S85" s="364"/>
      <c r="T85" s="327"/>
      <c r="U85" s="43"/>
      <c r="V85" s="42">
        <f t="shared" si="2"/>
        <v>0</v>
      </c>
      <c r="W85" s="22"/>
      <c r="X85" s="22"/>
      <c r="Z85" s="22" t="e">
        <f t="shared" si="4"/>
        <v>#DIV/0!</v>
      </c>
    </row>
    <row r="86" spans="1:26" x14ac:dyDescent="0.25">
      <c r="A86" s="394"/>
      <c r="B86" s="514" t="s">
        <v>250</v>
      </c>
      <c r="C86" s="515"/>
      <c r="D86" s="515"/>
      <c r="E86" s="515"/>
      <c r="F86" s="516"/>
      <c r="G86" s="413"/>
      <c r="H86" s="413"/>
      <c r="I86" s="414"/>
      <c r="J86" s="415"/>
      <c r="K86" s="421" t="s">
        <v>214</v>
      </c>
      <c r="L86" s="398">
        <f>L88+L104</f>
        <v>60000000</v>
      </c>
      <c r="M86" s="398">
        <f>M88+M104</f>
        <v>0</v>
      </c>
      <c r="N86" s="398">
        <f t="shared" si="13"/>
        <v>60000000</v>
      </c>
      <c r="O86" s="402"/>
      <c r="P86" s="402"/>
      <c r="Q86" s="399">
        <f>Q88+Q104</f>
        <v>1945000</v>
      </c>
      <c r="R86" s="399">
        <v>44259130</v>
      </c>
      <c r="S86" s="399">
        <f>Q86+R86</f>
        <v>46204130</v>
      </c>
      <c r="T86" s="400">
        <f>S86/N86*100</f>
        <v>77.006883333333334</v>
      </c>
      <c r="U86" s="398">
        <f t="shared" si="14"/>
        <v>13795870</v>
      </c>
      <c r="V86" s="42">
        <f t="shared" si="2"/>
        <v>6897935</v>
      </c>
      <c r="W86" s="22">
        <f t="shared" si="15"/>
        <v>3.2416666666666671</v>
      </c>
      <c r="X86" s="22">
        <f t="shared" ref="X86:X154" si="16">Q86/N86*100</f>
        <v>3.2416666666666671</v>
      </c>
      <c r="Z86" s="65">
        <f t="shared" si="4"/>
        <v>3.2416666666666671</v>
      </c>
    </row>
    <row r="87" spans="1:26" x14ac:dyDescent="0.25">
      <c r="A87" s="240"/>
      <c r="B87" s="329"/>
      <c r="C87" s="331"/>
      <c r="D87" s="323"/>
      <c r="E87" s="323"/>
      <c r="F87" s="323"/>
      <c r="G87" s="322"/>
      <c r="H87" s="322"/>
      <c r="I87" s="323"/>
      <c r="J87" s="362"/>
      <c r="K87" s="368"/>
      <c r="L87" s="337"/>
      <c r="M87" s="337"/>
      <c r="N87" s="337"/>
      <c r="O87" s="337"/>
      <c r="P87" s="337"/>
      <c r="Q87" s="363"/>
      <c r="R87" s="364"/>
      <c r="S87" s="364"/>
      <c r="T87" s="327"/>
      <c r="U87" s="43"/>
      <c r="V87" s="42">
        <f t="shared" ref="V87:V154" si="17">U87/2</f>
        <v>0</v>
      </c>
      <c r="W87" s="22"/>
      <c r="X87" s="22"/>
      <c r="Z87" s="22" t="e">
        <f t="shared" si="4"/>
        <v>#DIV/0!</v>
      </c>
    </row>
    <row r="88" spans="1:26" x14ac:dyDescent="0.25">
      <c r="A88" s="445"/>
      <c r="B88" s="446"/>
      <c r="C88" s="447"/>
      <c r="D88" s="448"/>
      <c r="E88" s="448"/>
      <c r="F88" s="448"/>
      <c r="G88" s="449"/>
      <c r="H88" s="449"/>
      <c r="I88" s="448"/>
      <c r="J88" s="450"/>
      <c r="K88" s="439" t="s">
        <v>128</v>
      </c>
      <c r="L88" s="440">
        <f>L90+L92+L94+L96+L98+L100+L102</f>
        <v>28000000</v>
      </c>
      <c r="M88" s="440">
        <v>0</v>
      </c>
      <c r="N88" s="440">
        <f t="shared" si="13"/>
        <v>28000000</v>
      </c>
      <c r="O88" s="441"/>
      <c r="P88" s="441"/>
      <c r="Q88" s="442">
        <f>Q90+Q92+Q94+Q96+Q98+Q100+Q102</f>
        <v>1945000</v>
      </c>
      <c r="R88" s="443">
        <v>18618130</v>
      </c>
      <c r="S88" s="443">
        <f>Q88+R88</f>
        <v>20563130</v>
      </c>
      <c r="T88" s="444">
        <f>S88/N88*100</f>
        <v>73.439750000000004</v>
      </c>
      <c r="U88" s="440">
        <f t="shared" si="14"/>
        <v>7436870</v>
      </c>
      <c r="V88" s="42">
        <f t="shared" si="17"/>
        <v>3718435</v>
      </c>
      <c r="W88" s="22">
        <f t="shared" si="15"/>
        <v>6.9464285714285712</v>
      </c>
      <c r="X88" s="22">
        <f t="shared" si="16"/>
        <v>6.9464285714285712</v>
      </c>
      <c r="Z88" s="22">
        <f t="shared" si="4"/>
        <v>6.9464285714285712</v>
      </c>
    </row>
    <row r="89" spans="1:26" x14ac:dyDescent="0.25">
      <c r="A89" s="240"/>
      <c r="B89" s="329"/>
      <c r="C89" s="331"/>
      <c r="D89" s="323"/>
      <c r="E89" s="323"/>
      <c r="F89" s="323"/>
      <c r="G89" s="322"/>
      <c r="H89" s="322"/>
      <c r="I89" s="323"/>
      <c r="J89" s="362"/>
      <c r="K89" s="437"/>
      <c r="L89" s="43"/>
      <c r="M89" s="43"/>
      <c r="N89" s="43"/>
      <c r="O89" s="337"/>
      <c r="P89" s="337"/>
      <c r="Q89" s="76"/>
      <c r="R89" s="364"/>
      <c r="S89" s="364"/>
      <c r="T89" s="327"/>
      <c r="U89" s="43"/>
      <c r="V89" s="42"/>
      <c r="W89" s="22"/>
      <c r="X89" s="22"/>
      <c r="Z89" s="22"/>
    </row>
    <row r="90" spans="1:26" x14ac:dyDescent="0.25">
      <c r="A90" s="240"/>
      <c r="B90" s="329"/>
      <c r="C90" s="331"/>
      <c r="D90" s="323"/>
      <c r="E90" s="323"/>
      <c r="F90" s="323"/>
      <c r="G90" s="322"/>
      <c r="H90" s="322"/>
      <c r="I90" s="323"/>
      <c r="J90" s="430"/>
      <c r="K90" s="434" t="s">
        <v>285</v>
      </c>
      <c r="L90" s="432">
        <v>12000000</v>
      </c>
      <c r="M90" s="43">
        <v>0</v>
      </c>
      <c r="N90" s="43">
        <f t="shared" si="13"/>
        <v>12000000</v>
      </c>
      <c r="O90" s="337"/>
      <c r="P90" s="337"/>
      <c r="Q90" s="76">
        <v>0</v>
      </c>
      <c r="R90" s="364">
        <v>8528130</v>
      </c>
      <c r="S90" s="364">
        <f>Q90+R90</f>
        <v>8528130</v>
      </c>
      <c r="T90" s="327">
        <f>S90/N90*100</f>
        <v>71.06774999999999</v>
      </c>
      <c r="U90" s="43">
        <f t="shared" si="14"/>
        <v>3471870</v>
      </c>
      <c r="V90" s="42"/>
      <c r="W90" s="22"/>
      <c r="X90" s="22"/>
      <c r="Z90" s="22"/>
    </row>
    <row r="91" spans="1:26" x14ac:dyDescent="0.25">
      <c r="A91" s="240"/>
      <c r="B91" s="329"/>
      <c r="C91" s="331"/>
      <c r="D91" s="323"/>
      <c r="E91" s="323"/>
      <c r="F91" s="323"/>
      <c r="G91" s="322"/>
      <c r="H91" s="322"/>
      <c r="I91" s="323"/>
      <c r="J91" s="430"/>
      <c r="K91" s="434"/>
      <c r="L91" s="432"/>
      <c r="M91" s="43"/>
      <c r="N91" s="43"/>
      <c r="O91" s="337"/>
      <c r="P91" s="337"/>
      <c r="Q91" s="76"/>
      <c r="R91" s="364"/>
      <c r="S91" s="364"/>
      <c r="T91" s="327"/>
      <c r="U91" s="43"/>
      <c r="V91" s="42"/>
      <c r="W91" s="22"/>
      <c r="X91" s="22"/>
      <c r="Z91" s="22"/>
    </row>
    <row r="92" spans="1:26" x14ac:dyDescent="0.25">
      <c r="A92" s="240"/>
      <c r="B92" s="329"/>
      <c r="C92" s="331"/>
      <c r="D92" s="323"/>
      <c r="E92" s="323"/>
      <c r="F92" s="323"/>
      <c r="G92" s="322"/>
      <c r="H92" s="322"/>
      <c r="I92" s="323"/>
      <c r="J92" s="430"/>
      <c r="K92" s="434" t="s">
        <v>286</v>
      </c>
      <c r="L92" s="432">
        <v>5300000</v>
      </c>
      <c r="M92" s="43"/>
      <c r="N92" s="43">
        <f t="shared" si="13"/>
        <v>5300000</v>
      </c>
      <c r="O92" s="337"/>
      <c r="P92" s="337"/>
      <c r="Q92" s="76">
        <v>445000</v>
      </c>
      <c r="R92" s="364">
        <v>4665000</v>
      </c>
      <c r="S92" s="364">
        <f>Q92+R92</f>
        <v>5110000</v>
      </c>
      <c r="T92" s="327">
        <f>S92/N92*100</f>
        <v>96.415094339622641</v>
      </c>
      <c r="U92" s="43">
        <f t="shared" si="14"/>
        <v>190000</v>
      </c>
      <c r="V92" s="42"/>
      <c r="W92" s="22"/>
      <c r="X92" s="22"/>
      <c r="Z92" s="22"/>
    </row>
    <row r="93" spans="1:26" x14ac:dyDescent="0.25">
      <c r="A93" s="240"/>
      <c r="B93" s="329"/>
      <c r="C93" s="331"/>
      <c r="D93" s="323"/>
      <c r="E93" s="323"/>
      <c r="F93" s="323"/>
      <c r="G93" s="322"/>
      <c r="H93" s="322"/>
      <c r="I93" s="323"/>
      <c r="J93" s="430"/>
      <c r="K93" s="434"/>
      <c r="L93" s="432"/>
      <c r="M93" s="43"/>
      <c r="N93" s="43"/>
      <c r="O93" s="337"/>
      <c r="P93" s="337"/>
      <c r="Q93" s="76"/>
      <c r="R93" s="364"/>
      <c r="S93" s="364"/>
      <c r="T93" s="327"/>
      <c r="U93" s="43"/>
      <c r="V93" s="42"/>
      <c r="W93" s="22"/>
      <c r="X93" s="22"/>
      <c r="Z93" s="22"/>
    </row>
    <row r="94" spans="1:26" x14ac:dyDescent="0.25">
      <c r="A94" s="240"/>
      <c r="B94" s="329"/>
      <c r="C94" s="331"/>
      <c r="D94" s="323"/>
      <c r="E94" s="323"/>
      <c r="F94" s="323"/>
      <c r="G94" s="322"/>
      <c r="H94" s="322"/>
      <c r="I94" s="323"/>
      <c r="J94" s="430"/>
      <c r="K94" s="434" t="s">
        <v>287</v>
      </c>
      <c r="L94" s="432">
        <v>5000000</v>
      </c>
      <c r="M94" s="43"/>
      <c r="N94" s="43">
        <f t="shared" si="13"/>
        <v>5000000</v>
      </c>
      <c r="O94" s="337"/>
      <c r="P94" s="337"/>
      <c r="Q94" s="76">
        <v>1500000</v>
      </c>
      <c r="R94" s="364">
        <v>0</v>
      </c>
      <c r="S94" s="364">
        <f>Q94+R94</f>
        <v>1500000</v>
      </c>
      <c r="T94" s="327">
        <f>S94/N94*100</f>
        <v>30</v>
      </c>
      <c r="U94" s="43">
        <f t="shared" si="14"/>
        <v>3500000</v>
      </c>
      <c r="V94" s="42"/>
      <c r="W94" s="22"/>
      <c r="X94" s="22"/>
      <c r="Z94" s="22"/>
    </row>
    <row r="95" spans="1:26" x14ac:dyDescent="0.25">
      <c r="A95" s="240"/>
      <c r="B95" s="329"/>
      <c r="C95" s="331"/>
      <c r="D95" s="323"/>
      <c r="E95" s="323"/>
      <c r="F95" s="323"/>
      <c r="G95" s="322"/>
      <c r="H95" s="322"/>
      <c r="I95" s="323"/>
      <c r="J95" s="430"/>
      <c r="K95" s="434"/>
      <c r="L95" s="432"/>
      <c r="M95" s="43"/>
      <c r="N95" s="43"/>
      <c r="O95" s="337"/>
      <c r="P95" s="337"/>
      <c r="Q95" s="76"/>
      <c r="R95" s="364"/>
      <c r="S95" s="364"/>
      <c r="T95" s="327"/>
      <c r="U95" s="43"/>
      <c r="V95" s="42"/>
      <c r="W95" s="22"/>
      <c r="X95" s="22"/>
      <c r="Z95" s="22"/>
    </row>
    <row r="96" spans="1:26" x14ac:dyDescent="0.25">
      <c r="A96" s="240"/>
      <c r="B96" s="329"/>
      <c r="C96" s="331"/>
      <c r="D96" s="323"/>
      <c r="E96" s="323"/>
      <c r="F96" s="323"/>
      <c r="G96" s="322"/>
      <c r="H96" s="322"/>
      <c r="I96" s="323"/>
      <c r="J96" s="430"/>
      <c r="K96" s="434" t="s">
        <v>288</v>
      </c>
      <c r="L96" s="432">
        <v>200000</v>
      </c>
      <c r="M96" s="43"/>
      <c r="N96" s="43">
        <f t="shared" si="13"/>
        <v>200000</v>
      </c>
      <c r="O96" s="337"/>
      <c r="P96" s="337"/>
      <c r="Q96" s="76">
        <v>0</v>
      </c>
      <c r="R96" s="364">
        <v>0</v>
      </c>
      <c r="S96" s="364">
        <f>Q96+R96</f>
        <v>0</v>
      </c>
      <c r="T96" s="327">
        <f>S96/N96*100</f>
        <v>0</v>
      </c>
      <c r="U96" s="43">
        <f t="shared" si="14"/>
        <v>200000</v>
      </c>
      <c r="V96" s="42"/>
      <c r="W96" s="22"/>
      <c r="X96" s="22"/>
      <c r="Z96" s="22"/>
    </row>
    <row r="97" spans="1:26" x14ac:dyDescent="0.25">
      <c r="A97" s="240"/>
      <c r="B97" s="329"/>
      <c r="C97" s="331"/>
      <c r="D97" s="323"/>
      <c r="E97" s="323"/>
      <c r="F97" s="323"/>
      <c r="G97" s="322"/>
      <c r="H97" s="322"/>
      <c r="I97" s="323"/>
      <c r="J97" s="430"/>
      <c r="K97" s="434"/>
      <c r="L97" s="432"/>
      <c r="M97" s="43"/>
      <c r="N97" s="43"/>
      <c r="O97" s="337"/>
      <c r="P97" s="337"/>
      <c r="Q97" s="76"/>
      <c r="R97" s="364"/>
      <c r="S97" s="364"/>
      <c r="T97" s="327"/>
      <c r="U97" s="43"/>
      <c r="V97" s="42"/>
      <c r="W97" s="22"/>
      <c r="X97" s="22"/>
      <c r="Z97" s="22"/>
    </row>
    <row r="98" spans="1:26" x14ac:dyDescent="0.25">
      <c r="A98" s="240"/>
      <c r="B98" s="329"/>
      <c r="C98" s="331"/>
      <c r="D98" s="323"/>
      <c r="E98" s="323"/>
      <c r="F98" s="323"/>
      <c r="G98" s="322"/>
      <c r="H98" s="322"/>
      <c r="I98" s="323"/>
      <c r="J98" s="430"/>
      <c r="K98" s="434" t="s">
        <v>289</v>
      </c>
      <c r="L98" s="432">
        <v>1000000</v>
      </c>
      <c r="M98" s="43"/>
      <c r="N98" s="43">
        <f t="shared" si="13"/>
        <v>1000000</v>
      </c>
      <c r="O98" s="337"/>
      <c r="P98" s="337"/>
      <c r="Q98" s="76">
        <v>0</v>
      </c>
      <c r="R98" s="364">
        <v>950000</v>
      </c>
      <c r="S98" s="364">
        <f>Q98+R98</f>
        <v>950000</v>
      </c>
      <c r="T98" s="327">
        <f>S98/N98*100</f>
        <v>95</v>
      </c>
      <c r="U98" s="43">
        <f t="shared" si="14"/>
        <v>50000</v>
      </c>
      <c r="V98" s="42"/>
      <c r="W98" s="22"/>
      <c r="X98" s="22"/>
      <c r="Z98" s="22"/>
    </row>
    <row r="99" spans="1:26" x14ac:dyDescent="0.25">
      <c r="A99" s="240"/>
      <c r="B99" s="329"/>
      <c r="C99" s="331"/>
      <c r="D99" s="323"/>
      <c r="E99" s="323"/>
      <c r="F99" s="323"/>
      <c r="G99" s="322"/>
      <c r="H99" s="322"/>
      <c r="I99" s="323"/>
      <c r="J99" s="430"/>
      <c r="K99" s="434"/>
      <c r="L99" s="432"/>
      <c r="M99" s="43"/>
      <c r="N99" s="43"/>
      <c r="O99" s="337"/>
      <c r="P99" s="337"/>
      <c r="Q99" s="76"/>
      <c r="R99" s="364"/>
      <c r="S99" s="364"/>
      <c r="T99" s="327"/>
      <c r="U99" s="43"/>
      <c r="V99" s="42"/>
      <c r="W99" s="22"/>
      <c r="X99" s="22"/>
      <c r="Z99" s="22"/>
    </row>
    <row r="100" spans="1:26" x14ac:dyDescent="0.25">
      <c r="A100" s="240"/>
      <c r="B100" s="329"/>
      <c r="C100" s="331"/>
      <c r="D100" s="323"/>
      <c r="E100" s="323"/>
      <c r="F100" s="323"/>
      <c r="G100" s="322"/>
      <c r="H100" s="322"/>
      <c r="I100" s="323"/>
      <c r="J100" s="430"/>
      <c r="K100" s="434" t="s">
        <v>290</v>
      </c>
      <c r="L100" s="432">
        <v>1500000</v>
      </c>
      <c r="M100" s="43"/>
      <c r="N100" s="43">
        <f t="shared" si="13"/>
        <v>1500000</v>
      </c>
      <c r="O100" s="337"/>
      <c r="P100" s="337"/>
      <c r="Q100" s="76">
        <v>0</v>
      </c>
      <c r="R100" s="364">
        <v>1475000</v>
      </c>
      <c r="S100" s="364">
        <f>Q100+R100</f>
        <v>1475000</v>
      </c>
      <c r="T100" s="327">
        <f>S100/N100*100</f>
        <v>98.333333333333329</v>
      </c>
      <c r="U100" s="43">
        <f t="shared" si="14"/>
        <v>25000</v>
      </c>
      <c r="V100" s="42"/>
      <c r="W100" s="22"/>
      <c r="X100" s="22"/>
      <c r="Z100" s="22"/>
    </row>
    <row r="101" spans="1:26" x14ac:dyDescent="0.25">
      <c r="A101" s="240"/>
      <c r="B101" s="329"/>
      <c r="C101" s="331"/>
      <c r="D101" s="323"/>
      <c r="E101" s="323"/>
      <c r="F101" s="323"/>
      <c r="G101" s="322"/>
      <c r="H101" s="322"/>
      <c r="I101" s="323"/>
      <c r="J101" s="430"/>
      <c r="K101" s="434"/>
      <c r="L101" s="432"/>
      <c r="M101" s="43"/>
      <c r="N101" s="43"/>
      <c r="O101" s="337"/>
      <c r="P101" s="337"/>
      <c r="Q101" s="76"/>
      <c r="R101" s="364"/>
      <c r="S101" s="364"/>
      <c r="T101" s="327"/>
      <c r="U101" s="43"/>
      <c r="V101" s="42"/>
      <c r="W101" s="22"/>
      <c r="X101" s="22"/>
      <c r="Z101" s="22"/>
    </row>
    <row r="102" spans="1:26" x14ac:dyDescent="0.25">
      <c r="A102" s="240"/>
      <c r="B102" s="329"/>
      <c r="C102" s="331"/>
      <c r="D102" s="323"/>
      <c r="E102" s="323"/>
      <c r="F102" s="323"/>
      <c r="G102" s="322"/>
      <c r="H102" s="322"/>
      <c r="I102" s="323"/>
      <c r="J102" s="430"/>
      <c r="K102" s="434" t="s">
        <v>291</v>
      </c>
      <c r="L102" s="432">
        <v>3000000</v>
      </c>
      <c r="M102" s="43"/>
      <c r="N102" s="43">
        <f t="shared" si="13"/>
        <v>3000000</v>
      </c>
      <c r="O102" s="337"/>
      <c r="P102" s="337"/>
      <c r="Q102" s="76">
        <v>0</v>
      </c>
      <c r="R102" s="364">
        <v>3000000</v>
      </c>
      <c r="S102" s="364">
        <f>Q102+R102</f>
        <v>3000000</v>
      </c>
      <c r="T102" s="327">
        <f>S102/N102*100</f>
        <v>100</v>
      </c>
      <c r="U102" s="43">
        <f t="shared" si="14"/>
        <v>0</v>
      </c>
      <c r="V102" s="42"/>
      <c r="W102" s="22"/>
      <c r="X102" s="22"/>
      <c r="Z102" s="22"/>
    </row>
    <row r="103" spans="1:26" x14ac:dyDescent="0.25">
      <c r="A103" s="240"/>
      <c r="B103" s="329"/>
      <c r="C103" s="331"/>
      <c r="D103" s="323"/>
      <c r="E103" s="323"/>
      <c r="F103" s="323"/>
      <c r="G103" s="322"/>
      <c r="H103" s="322"/>
      <c r="I103" s="323"/>
      <c r="J103" s="362"/>
      <c r="K103" s="438"/>
      <c r="L103" s="43"/>
      <c r="M103" s="43"/>
      <c r="N103" s="43"/>
      <c r="O103" s="337"/>
      <c r="P103" s="337"/>
      <c r="Q103" s="76"/>
      <c r="R103" s="364"/>
      <c r="S103" s="364"/>
      <c r="T103" s="327"/>
      <c r="U103" s="43"/>
      <c r="V103" s="42"/>
      <c r="W103" s="22"/>
      <c r="X103" s="22"/>
      <c r="Z103" s="22"/>
    </row>
    <row r="104" spans="1:26" x14ac:dyDescent="0.25">
      <c r="A104" s="445"/>
      <c r="B104" s="446"/>
      <c r="C104" s="447"/>
      <c r="D104" s="448"/>
      <c r="E104" s="448"/>
      <c r="F104" s="448"/>
      <c r="G104" s="449"/>
      <c r="H104" s="449"/>
      <c r="I104" s="448"/>
      <c r="J104" s="450"/>
      <c r="K104" s="439" t="s">
        <v>284</v>
      </c>
      <c r="L104" s="440">
        <v>32000000</v>
      </c>
      <c r="M104" s="440">
        <v>0</v>
      </c>
      <c r="N104" s="440">
        <f t="shared" si="13"/>
        <v>32000000</v>
      </c>
      <c r="O104" s="441"/>
      <c r="P104" s="441"/>
      <c r="Q104" s="443">
        <v>0</v>
      </c>
      <c r="R104" s="443">
        <v>25641000</v>
      </c>
      <c r="S104" s="443">
        <f>Q104+R104</f>
        <v>25641000</v>
      </c>
      <c r="T104" s="444">
        <f>S104/N104*100</f>
        <v>80.128124999999997</v>
      </c>
      <c r="U104" s="440">
        <f t="shared" si="14"/>
        <v>6359000</v>
      </c>
      <c r="V104" s="42">
        <f t="shared" si="17"/>
        <v>3179500</v>
      </c>
      <c r="W104" s="22">
        <f t="shared" si="15"/>
        <v>0</v>
      </c>
      <c r="X104" s="22">
        <f t="shared" si="16"/>
        <v>0</v>
      </c>
      <c r="Z104" s="22">
        <f t="shared" ref="Z104:Z153" si="18">Q104/N104*100</f>
        <v>0</v>
      </c>
    </row>
    <row r="105" spans="1:26" x14ac:dyDescent="0.25">
      <c r="A105" s="240"/>
      <c r="B105" s="329"/>
      <c r="C105" s="331"/>
      <c r="D105" s="323"/>
      <c r="E105" s="323"/>
      <c r="F105" s="323"/>
      <c r="G105" s="322"/>
      <c r="H105" s="322"/>
      <c r="I105" s="323"/>
      <c r="J105" s="362"/>
      <c r="K105" s="368"/>
      <c r="L105" s="337"/>
      <c r="M105" s="337"/>
      <c r="N105" s="337"/>
      <c r="O105" s="337"/>
      <c r="P105" s="337"/>
      <c r="Q105" s="363"/>
      <c r="R105" s="364"/>
      <c r="S105" s="364"/>
      <c r="T105" s="327"/>
      <c r="U105" s="43"/>
      <c r="V105" s="42">
        <f t="shared" si="17"/>
        <v>0</v>
      </c>
      <c r="W105" s="22"/>
      <c r="X105" s="22"/>
      <c r="Z105" s="22" t="e">
        <f t="shared" si="18"/>
        <v>#DIV/0!</v>
      </c>
    </row>
    <row r="106" spans="1:26" x14ac:dyDescent="0.25">
      <c r="A106" s="394"/>
      <c r="B106" s="514" t="s">
        <v>251</v>
      </c>
      <c r="C106" s="515"/>
      <c r="D106" s="515"/>
      <c r="E106" s="515"/>
      <c r="F106" s="516"/>
      <c r="G106" s="413"/>
      <c r="H106" s="413"/>
      <c r="I106" s="414"/>
      <c r="J106" s="415"/>
      <c r="K106" s="421" t="s">
        <v>215</v>
      </c>
      <c r="L106" s="398">
        <v>10000000</v>
      </c>
      <c r="M106" s="398">
        <v>0</v>
      </c>
      <c r="N106" s="398">
        <f t="shared" si="13"/>
        <v>10000000</v>
      </c>
      <c r="O106" s="402"/>
      <c r="P106" s="402"/>
      <c r="Q106" s="399">
        <v>3912000</v>
      </c>
      <c r="R106" s="399">
        <v>5130000</v>
      </c>
      <c r="S106" s="399">
        <f>Q106+R106</f>
        <v>9042000</v>
      </c>
      <c r="T106" s="400">
        <f>S106/N106*100</f>
        <v>90.42</v>
      </c>
      <c r="U106" s="398">
        <f t="shared" si="14"/>
        <v>958000</v>
      </c>
      <c r="V106" s="42">
        <f t="shared" si="17"/>
        <v>479000</v>
      </c>
      <c r="W106" s="22">
        <f t="shared" si="15"/>
        <v>39.119999999999997</v>
      </c>
      <c r="X106" s="22">
        <f t="shared" si="16"/>
        <v>39.119999999999997</v>
      </c>
      <c r="Z106" s="65">
        <f t="shared" si="18"/>
        <v>39.119999999999997</v>
      </c>
    </row>
    <row r="107" spans="1:26" x14ac:dyDescent="0.25">
      <c r="A107" s="240"/>
      <c r="B107" s="329"/>
      <c r="C107" s="331"/>
      <c r="D107" s="323"/>
      <c r="E107" s="323"/>
      <c r="F107" s="323"/>
      <c r="G107" s="322"/>
      <c r="H107" s="322"/>
      <c r="I107" s="323"/>
      <c r="J107" s="362"/>
      <c r="K107" s="368"/>
      <c r="L107" s="337"/>
      <c r="M107" s="337"/>
      <c r="N107" s="337"/>
      <c r="O107" s="337"/>
      <c r="P107" s="337"/>
      <c r="Q107" s="363"/>
      <c r="R107" s="364"/>
      <c r="S107" s="364"/>
      <c r="T107" s="327"/>
      <c r="U107" s="43"/>
      <c r="V107" s="42">
        <f t="shared" si="17"/>
        <v>0</v>
      </c>
      <c r="W107" s="22"/>
      <c r="X107" s="22"/>
      <c r="Z107" s="22" t="e">
        <f t="shared" si="18"/>
        <v>#DIV/0!</v>
      </c>
    </row>
    <row r="108" spans="1:26" x14ac:dyDescent="0.25">
      <c r="A108" s="394"/>
      <c r="B108" s="514" t="s">
        <v>252</v>
      </c>
      <c r="C108" s="515"/>
      <c r="D108" s="515"/>
      <c r="E108" s="515"/>
      <c r="F108" s="516"/>
      <c r="G108" s="401"/>
      <c r="H108" s="401"/>
      <c r="I108" s="395"/>
      <c r="J108" s="396"/>
      <c r="K108" s="421" t="s">
        <v>216</v>
      </c>
      <c r="L108" s="402">
        <f>L110+L112</f>
        <v>48000000</v>
      </c>
      <c r="M108" s="402">
        <v>0</v>
      </c>
      <c r="N108" s="402">
        <f>L108-M108</f>
        <v>48000000</v>
      </c>
      <c r="O108" s="402"/>
      <c r="P108" s="402"/>
      <c r="Q108" s="419">
        <f>Q110+Q112</f>
        <v>4980000</v>
      </c>
      <c r="R108" s="399">
        <v>42590700</v>
      </c>
      <c r="S108" s="399">
        <f>Q108+R108</f>
        <v>47570700</v>
      </c>
      <c r="T108" s="400">
        <f>S108/N108*100</f>
        <v>99.105625000000003</v>
      </c>
      <c r="U108" s="398">
        <f t="shared" si="14"/>
        <v>429300</v>
      </c>
      <c r="V108" s="42"/>
      <c r="W108" s="22"/>
      <c r="X108" s="22">
        <f t="shared" si="16"/>
        <v>10.375</v>
      </c>
      <c r="Z108" s="65">
        <f t="shared" si="18"/>
        <v>10.375</v>
      </c>
    </row>
    <row r="109" spans="1:26" x14ac:dyDescent="0.25">
      <c r="A109" s="240"/>
      <c r="B109" s="329"/>
      <c r="C109" s="331"/>
      <c r="D109" s="323"/>
      <c r="E109" s="323"/>
      <c r="F109" s="323"/>
      <c r="G109" s="322"/>
      <c r="H109" s="322"/>
      <c r="I109" s="323"/>
      <c r="J109" s="362"/>
      <c r="K109" s="368"/>
      <c r="L109" s="337"/>
      <c r="M109" s="337"/>
      <c r="N109" s="337"/>
      <c r="O109" s="337"/>
      <c r="P109" s="337"/>
      <c r="Q109" s="363"/>
      <c r="R109" s="364"/>
      <c r="S109" s="364"/>
      <c r="T109" s="327"/>
      <c r="U109" s="43"/>
      <c r="V109" s="42"/>
      <c r="W109" s="22"/>
      <c r="X109" s="22"/>
      <c r="Z109" s="22" t="e">
        <f t="shared" si="18"/>
        <v>#DIV/0!</v>
      </c>
    </row>
    <row r="110" spans="1:26" x14ac:dyDescent="0.25">
      <c r="A110" s="240"/>
      <c r="B110" s="329"/>
      <c r="C110" s="331"/>
      <c r="D110" s="323"/>
      <c r="E110" s="323"/>
      <c r="F110" s="323"/>
      <c r="G110" s="322"/>
      <c r="H110" s="322"/>
      <c r="I110" s="323"/>
      <c r="J110" s="362"/>
      <c r="K110" s="368" t="s">
        <v>217</v>
      </c>
      <c r="L110" s="337">
        <v>43000000</v>
      </c>
      <c r="M110" s="337">
        <v>0</v>
      </c>
      <c r="N110" s="43">
        <f t="shared" ref="N110" si="19">L110-M110</f>
        <v>43000000</v>
      </c>
      <c r="O110" s="337"/>
      <c r="P110" s="337"/>
      <c r="Q110" s="363">
        <v>0</v>
      </c>
      <c r="R110" s="364">
        <v>42590700</v>
      </c>
      <c r="S110" s="364">
        <f>Q110+R110</f>
        <v>42590700</v>
      </c>
      <c r="T110" s="327">
        <f>S110/N110*100</f>
        <v>99.048139534883717</v>
      </c>
      <c r="U110" s="43">
        <f t="shared" si="14"/>
        <v>409300</v>
      </c>
      <c r="V110" s="42"/>
      <c r="W110" s="22"/>
      <c r="X110" s="22">
        <f t="shared" si="16"/>
        <v>0</v>
      </c>
      <c r="Z110" s="65">
        <f t="shared" si="18"/>
        <v>0</v>
      </c>
    </row>
    <row r="111" spans="1:26" x14ac:dyDescent="0.25">
      <c r="A111" s="240"/>
      <c r="B111" s="329"/>
      <c r="C111" s="331"/>
      <c r="D111" s="323"/>
      <c r="E111" s="323"/>
      <c r="F111" s="323"/>
      <c r="G111" s="322"/>
      <c r="H111" s="322"/>
      <c r="I111" s="323"/>
      <c r="J111" s="362"/>
      <c r="K111" s="368"/>
      <c r="L111" s="337"/>
      <c r="M111" s="337"/>
      <c r="N111" s="337"/>
      <c r="O111" s="337"/>
      <c r="P111" s="337"/>
      <c r="Q111" s="363"/>
      <c r="R111" s="364"/>
      <c r="S111" s="364"/>
      <c r="T111" s="327"/>
      <c r="U111" s="43"/>
      <c r="V111" s="42"/>
      <c r="W111" s="22"/>
      <c r="X111" s="22"/>
      <c r="Z111" s="22" t="e">
        <f t="shared" si="18"/>
        <v>#DIV/0!</v>
      </c>
    </row>
    <row r="112" spans="1:26" x14ac:dyDescent="0.25">
      <c r="A112" s="240"/>
      <c r="B112" s="329"/>
      <c r="C112" s="331"/>
      <c r="D112" s="323"/>
      <c r="E112" s="323"/>
      <c r="F112" s="323"/>
      <c r="G112" s="322"/>
      <c r="H112" s="322"/>
      <c r="I112" s="323"/>
      <c r="J112" s="362"/>
      <c r="K112" s="368" t="s">
        <v>218</v>
      </c>
      <c r="L112" s="337">
        <v>5000000</v>
      </c>
      <c r="M112" s="337">
        <v>0</v>
      </c>
      <c r="N112" s="43">
        <f t="shared" ref="N112" si="20">L112-M112</f>
        <v>5000000</v>
      </c>
      <c r="O112" s="337"/>
      <c r="P112" s="337"/>
      <c r="Q112" s="363">
        <v>4980000</v>
      </c>
      <c r="R112" s="364">
        <v>0</v>
      </c>
      <c r="S112" s="364">
        <f>Q112+R112</f>
        <v>4980000</v>
      </c>
      <c r="T112" s="327">
        <f>S112/N112*100</f>
        <v>99.6</v>
      </c>
      <c r="U112" s="43">
        <f t="shared" si="14"/>
        <v>20000</v>
      </c>
      <c r="V112" s="42"/>
      <c r="W112" s="22"/>
      <c r="X112" s="22">
        <f t="shared" si="16"/>
        <v>99.6</v>
      </c>
      <c r="Z112" s="65">
        <f t="shared" si="18"/>
        <v>99.6</v>
      </c>
    </row>
    <row r="113" spans="1:26" x14ac:dyDescent="0.25">
      <c r="A113" s="240"/>
      <c r="B113" s="329"/>
      <c r="C113" s="331"/>
      <c r="D113" s="323"/>
      <c r="E113" s="323"/>
      <c r="F113" s="323"/>
      <c r="G113" s="322"/>
      <c r="H113" s="322"/>
      <c r="I113" s="323"/>
      <c r="J113" s="362"/>
      <c r="K113" s="368"/>
      <c r="L113" s="337"/>
      <c r="M113" s="337"/>
      <c r="N113" s="43"/>
      <c r="O113" s="337"/>
      <c r="P113" s="337"/>
      <c r="Q113" s="363"/>
      <c r="R113" s="364"/>
      <c r="S113" s="364"/>
      <c r="T113" s="327"/>
      <c r="U113" s="43"/>
      <c r="V113" s="42"/>
      <c r="W113" s="22"/>
      <c r="X113" s="22"/>
      <c r="Z113" s="22" t="e">
        <f t="shared" si="18"/>
        <v>#DIV/0!</v>
      </c>
    </row>
    <row r="114" spans="1:26" x14ac:dyDescent="0.25">
      <c r="A114" s="394"/>
      <c r="B114" s="514" t="s">
        <v>253</v>
      </c>
      <c r="C114" s="515"/>
      <c r="D114" s="515"/>
      <c r="E114" s="515"/>
      <c r="F114" s="516"/>
      <c r="G114" s="401"/>
      <c r="H114" s="401"/>
      <c r="I114" s="395"/>
      <c r="J114" s="396"/>
      <c r="K114" s="421" t="s">
        <v>219</v>
      </c>
      <c r="L114" s="402">
        <v>12500000</v>
      </c>
      <c r="M114" s="402">
        <v>0</v>
      </c>
      <c r="N114" s="402">
        <f>L114-M114</f>
        <v>12500000</v>
      </c>
      <c r="O114" s="402"/>
      <c r="P114" s="402"/>
      <c r="Q114" s="419">
        <v>0</v>
      </c>
      <c r="R114" s="399">
        <v>6166500</v>
      </c>
      <c r="S114" s="399">
        <f>Q114+R114</f>
        <v>6166500</v>
      </c>
      <c r="T114" s="400">
        <f>S114/N114*100</f>
        <v>49.332000000000001</v>
      </c>
      <c r="U114" s="398">
        <f t="shared" ref="U114" si="21">N114-S114</f>
        <v>6333500</v>
      </c>
      <c r="V114" s="42"/>
      <c r="W114" s="22"/>
      <c r="X114" s="22">
        <f t="shared" si="16"/>
        <v>0</v>
      </c>
      <c r="Z114" s="65">
        <f t="shared" si="18"/>
        <v>0</v>
      </c>
    </row>
    <row r="115" spans="1:26" x14ac:dyDescent="0.25">
      <c r="A115" s="240"/>
      <c r="B115" s="329"/>
      <c r="C115" s="331"/>
      <c r="D115" s="323"/>
      <c r="E115" s="323"/>
      <c r="F115" s="323"/>
      <c r="G115" s="322"/>
      <c r="H115" s="322"/>
      <c r="I115" s="323"/>
      <c r="J115" s="362"/>
      <c r="K115" s="368"/>
      <c r="L115" s="337"/>
      <c r="M115" s="337"/>
      <c r="N115" s="43"/>
      <c r="O115" s="337"/>
      <c r="P115" s="337"/>
      <c r="Q115" s="363"/>
      <c r="R115" s="364"/>
      <c r="S115" s="364"/>
      <c r="T115" s="327"/>
      <c r="U115" s="43"/>
      <c r="V115" s="42"/>
      <c r="W115" s="22"/>
      <c r="X115" s="22"/>
      <c r="Z115" s="22" t="e">
        <f t="shared" si="18"/>
        <v>#DIV/0!</v>
      </c>
    </row>
    <row r="116" spans="1:26" x14ac:dyDescent="0.25">
      <c r="A116" s="394"/>
      <c r="B116" s="514" t="s">
        <v>254</v>
      </c>
      <c r="C116" s="515"/>
      <c r="D116" s="515"/>
      <c r="E116" s="515"/>
      <c r="F116" s="516"/>
      <c r="G116" s="401"/>
      <c r="H116" s="401"/>
      <c r="I116" s="395"/>
      <c r="J116" s="396"/>
      <c r="K116" s="421" t="s">
        <v>220</v>
      </c>
      <c r="L116" s="402">
        <v>15000000</v>
      </c>
      <c r="M116" s="402">
        <v>0</v>
      </c>
      <c r="N116" s="402">
        <f>L116-M116</f>
        <v>15000000</v>
      </c>
      <c r="O116" s="402"/>
      <c r="P116" s="402"/>
      <c r="Q116" s="419">
        <v>0</v>
      </c>
      <c r="R116" s="399">
        <v>15000000</v>
      </c>
      <c r="S116" s="399">
        <f>Q116+R116</f>
        <v>15000000</v>
      </c>
      <c r="T116" s="400">
        <f>S116/N116*100</f>
        <v>100</v>
      </c>
      <c r="U116" s="398">
        <f t="shared" ref="U116" si="22">N116-S116</f>
        <v>0</v>
      </c>
      <c r="V116" s="42"/>
      <c r="W116" s="22"/>
      <c r="X116" s="22">
        <f t="shared" si="16"/>
        <v>0</v>
      </c>
      <c r="Z116" s="65">
        <f t="shared" si="18"/>
        <v>0</v>
      </c>
    </row>
    <row r="117" spans="1:26" x14ac:dyDescent="0.25">
      <c r="A117" s="240"/>
      <c r="B117" s="329"/>
      <c r="C117" s="331"/>
      <c r="D117" s="323"/>
      <c r="E117" s="323"/>
      <c r="F117" s="323"/>
      <c r="G117" s="322"/>
      <c r="H117" s="322"/>
      <c r="I117" s="323"/>
      <c r="J117" s="324"/>
      <c r="K117" s="334"/>
      <c r="L117" s="332"/>
      <c r="M117" s="332"/>
      <c r="N117" s="335"/>
      <c r="O117" s="332"/>
      <c r="P117" s="332"/>
      <c r="Q117" s="325"/>
      <c r="R117" s="141"/>
      <c r="S117" s="141"/>
      <c r="T117" s="327"/>
      <c r="U117" s="43"/>
      <c r="V117" s="42"/>
      <c r="W117" s="22"/>
      <c r="X117" s="22"/>
      <c r="Z117" s="22" t="e">
        <f t="shared" si="18"/>
        <v>#DIV/0!</v>
      </c>
    </row>
    <row r="118" spans="1:26" x14ac:dyDescent="0.25">
      <c r="A118" s="39"/>
      <c r="B118" s="383">
        <v>4</v>
      </c>
      <c r="C118" s="384"/>
      <c r="D118" s="385"/>
      <c r="E118" s="385"/>
      <c r="F118" s="385"/>
      <c r="G118" s="386"/>
      <c r="H118" s="386"/>
      <c r="I118" s="385"/>
      <c r="J118" s="343"/>
      <c r="K118" s="344" t="s">
        <v>135</v>
      </c>
      <c r="L118" s="42">
        <f>L121+L133</f>
        <v>656145000</v>
      </c>
      <c r="M118" s="42">
        <f>M121+M133</f>
        <v>0</v>
      </c>
      <c r="N118" s="42">
        <f>L118-M118</f>
        <v>656145000</v>
      </c>
      <c r="O118" s="345"/>
      <c r="P118" s="345"/>
      <c r="Q118" s="42">
        <f>Q121+Q133</f>
        <v>68250000</v>
      </c>
      <c r="R118" s="42">
        <v>188370000</v>
      </c>
      <c r="S118" s="42">
        <f>Q118+R118</f>
        <v>256620000</v>
      </c>
      <c r="T118" s="291">
        <f>S118/N118*100</f>
        <v>39.110257641222596</v>
      </c>
      <c r="U118" s="42">
        <f t="shared" ref="U118:U144" si="23">N118-S118</f>
        <v>399525000</v>
      </c>
      <c r="V118" s="42">
        <f t="shared" si="17"/>
        <v>199762500</v>
      </c>
      <c r="W118" s="22">
        <f>Q118/N118*100</f>
        <v>10.401664266282605</v>
      </c>
      <c r="X118" s="22">
        <f t="shared" si="16"/>
        <v>10.401664266282605</v>
      </c>
      <c r="Z118" s="22">
        <f t="shared" si="18"/>
        <v>10.401664266282605</v>
      </c>
    </row>
    <row r="119" spans="1:26" x14ac:dyDescent="0.25">
      <c r="A119" s="240"/>
      <c r="B119" s="329"/>
      <c r="C119" s="331"/>
      <c r="D119" s="323"/>
      <c r="E119" s="323"/>
      <c r="F119" s="323"/>
      <c r="G119" s="322"/>
      <c r="H119" s="322"/>
      <c r="I119" s="323"/>
      <c r="J119" s="324"/>
      <c r="K119" s="334"/>
      <c r="L119" s="332"/>
      <c r="M119" s="332"/>
      <c r="N119" s="335"/>
      <c r="O119" s="332"/>
      <c r="P119" s="332"/>
      <c r="Q119" s="325"/>
      <c r="R119" s="141"/>
      <c r="S119" s="141"/>
      <c r="T119" s="327"/>
      <c r="U119" s="43"/>
      <c r="V119" s="42">
        <f t="shared" si="17"/>
        <v>0</v>
      </c>
      <c r="W119" s="22"/>
      <c r="X119" s="22"/>
      <c r="Z119" s="22" t="e">
        <f t="shared" si="18"/>
        <v>#DIV/0!</v>
      </c>
    </row>
    <row r="120" spans="1:26" x14ac:dyDescent="0.25">
      <c r="A120" s="240"/>
      <c r="B120" s="329"/>
      <c r="C120" s="331"/>
      <c r="D120" s="323"/>
      <c r="E120" s="323"/>
      <c r="F120" s="323"/>
      <c r="G120" s="322"/>
      <c r="H120" s="322"/>
      <c r="I120" s="323"/>
      <c r="J120" s="324"/>
      <c r="K120" s="334"/>
      <c r="L120" s="332"/>
      <c r="M120" s="332"/>
      <c r="N120" s="335"/>
      <c r="O120" s="332"/>
      <c r="P120" s="332"/>
      <c r="Q120" s="325"/>
      <c r="R120" s="141"/>
      <c r="S120" s="141"/>
      <c r="T120" s="327"/>
      <c r="U120" s="43"/>
      <c r="V120" s="42">
        <f t="shared" si="17"/>
        <v>0</v>
      </c>
      <c r="W120" s="22"/>
      <c r="X120" s="22"/>
      <c r="Z120" s="22" t="e">
        <f t="shared" si="18"/>
        <v>#DIV/0!</v>
      </c>
    </row>
    <row r="121" spans="1:26" x14ac:dyDescent="0.25">
      <c r="A121" s="394"/>
      <c r="B121" s="404" t="s">
        <v>255</v>
      </c>
      <c r="C121" s="423"/>
      <c r="D121" s="416"/>
      <c r="E121" s="414"/>
      <c r="F121" s="414"/>
      <c r="G121" s="413"/>
      <c r="H121" s="413"/>
      <c r="I121" s="414"/>
      <c r="J121" s="415"/>
      <c r="K121" s="421" t="s">
        <v>256</v>
      </c>
      <c r="L121" s="398">
        <f>L123+L125+L127+L129+L131</f>
        <v>189650000</v>
      </c>
      <c r="M121" s="398">
        <f>M123+M125+M127+M129</f>
        <v>0</v>
      </c>
      <c r="N121" s="398">
        <f t="shared" ref="N121:N152" si="24">L121-M121</f>
        <v>189650000</v>
      </c>
      <c r="O121" s="402"/>
      <c r="P121" s="402"/>
      <c r="Q121" s="399">
        <f>Q123+Q125+Q126</f>
        <v>3600000</v>
      </c>
      <c r="R121" s="399">
        <v>22050000</v>
      </c>
      <c r="S121" s="399">
        <f>Q121+R121</f>
        <v>25650000</v>
      </c>
      <c r="T121" s="400">
        <f>S121/N121*100</f>
        <v>13.524914315844978</v>
      </c>
      <c r="U121" s="398">
        <f t="shared" si="23"/>
        <v>164000000</v>
      </c>
      <c r="V121" s="42">
        <f t="shared" si="17"/>
        <v>82000000</v>
      </c>
      <c r="W121" s="22">
        <f t="shared" ref="W121:W154" si="25">Q121/N121*100</f>
        <v>1.8982335881887686</v>
      </c>
      <c r="X121" s="22">
        <f t="shared" si="16"/>
        <v>1.8982335881887686</v>
      </c>
      <c r="Z121" s="65">
        <f t="shared" si="18"/>
        <v>1.8982335881887686</v>
      </c>
    </row>
    <row r="122" spans="1:26" x14ac:dyDescent="0.25">
      <c r="A122" s="240"/>
      <c r="B122" s="329"/>
      <c r="C122" s="331"/>
      <c r="D122" s="323"/>
      <c r="E122" s="323"/>
      <c r="F122" s="323"/>
      <c r="G122" s="322"/>
      <c r="H122" s="322"/>
      <c r="I122" s="323"/>
      <c r="J122" s="324"/>
      <c r="K122" s="334"/>
      <c r="L122" s="332"/>
      <c r="M122" s="332"/>
      <c r="N122" s="335">
        <f t="shared" si="24"/>
        <v>0</v>
      </c>
      <c r="O122" s="332"/>
      <c r="P122" s="332"/>
      <c r="Q122" s="325"/>
      <c r="R122" s="141"/>
      <c r="S122" s="141"/>
      <c r="T122" s="327"/>
      <c r="U122" s="43"/>
      <c r="V122" s="42">
        <f t="shared" si="17"/>
        <v>0</v>
      </c>
      <c r="W122" s="22"/>
      <c r="X122" s="22"/>
      <c r="Z122" s="22" t="e">
        <f t="shared" si="18"/>
        <v>#DIV/0!</v>
      </c>
    </row>
    <row r="123" spans="1:26" x14ac:dyDescent="0.25">
      <c r="A123" s="240"/>
      <c r="B123" s="329"/>
      <c r="C123" s="331"/>
      <c r="D123" s="323"/>
      <c r="E123" s="323"/>
      <c r="F123" s="323"/>
      <c r="G123" s="322"/>
      <c r="H123" s="322"/>
      <c r="I123" s="323"/>
      <c r="J123" s="324"/>
      <c r="K123" s="336" t="s">
        <v>221</v>
      </c>
      <c r="L123" s="326">
        <v>39000000</v>
      </c>
      <c r="M123" s="326">
        <v>0</v>
      </c>
      <c r="N123" s="43">
        <f t="shared" si="24"/>
        <v>39000000</v>
      </c>
      <c r="O123" s="332"/>
      <c r="P123" s="332"/>
      <c r="Q123" s="141">
        <v>0</v>
      </c>
      <c r="R123" s="141">
        <v>0</v>
      </c>
      <c r="S123" s="141">
        <f>Q123+R123</f>
        <v>0</v>
      </c>
      <c r="T123" s="327">
        <f>S123/N123*100</f>
        <v>0</v>
      </c>
      <c r="U123" s="43">
        <f t="shared" si="23"/>
        <v>39000000</v>
      </c>
      <c r="V123" s="42">
        <f t="shared" si="17"/>
        <v>19500000</v>
      </c>
      <c r="W123" s="22">
        <f t="shared" si="25"/>
        <v>0</v>
      </c>
      <c r="X123" s="22">
        <f t="shared" si="16"/>
        <v>0</v>
      </c>
      <c r="Z123" s="22">
        <f t="shared" si="18"/>
        <v>0</v>
      </c>
    </row>
    <row r="124" spans="1:26" x14ac:dyDescent="0.25">
      <c r="A124" s="240"/>
      <c r="B124" s="329"/>
      <c r="C124" s="331"/>
      <c r="D124" s="323"/>
      <c r="E124" s="323"/>
      <c r="F124" s="323"/>
      <c r="G124" s="322"/>
      <c r="H124" s="322"/>
      <c r="I124" s="323"/>
      <c r="J124" s="324"/>
      <c r="K124" s="336"/>
      <c r="L124" s="43">
        <f>L125+L127+L129+L131</f>
        <v>150650000</v>
      </c>
      <c r="M124" s="43"/>
      <c r="N124" s="43">
        <f>N125+N127+N129+N131</f>
        <v>150650000</v>
      </c>
      <c r="O124" s="337"/>
      <c r="P124" s="337"/>
      <c r="Q124" s="43">
        <f>Q125+Q127+Q129+Q131</f>
        <v>3600000</v>
      </c>
      <c r="R124" s="43">
        <v>22050000</v>
      </c>
      <c r="S124" s="43">
        <f>S125+S127+S129+S131</f>
        <v>25650000</v>
      </c>
      <c r="T124" s="327">
        <f>S124/N124*100</f>
        <v>17.026219714570196</v>
      </c>
      <c r="U124" s="43">
        <f t="shared" si="23"/>
        <v>125000000</v>
      </c>
      <c r="V124" s="270">
        <f t="shared" si="17"/>
        <v>62500000</v>
      </c>
      <c r="W124" s="273"/>
      <c r="X124" s="22">
        <f t="shared" si="16"/>
        <v>2.3896448722203782</v>
      </c>
      <c r="Y124" s="274"/>
      <c r="Z124" s="22">
        <f t="shared" si="18"/>
        <v>2.3896448722203782</v>
      </c>
    </row>
    <row r="125" spans="1:26" x14ac:dyDescent="0.25">
      <c r="A125" s="240"/>
      <c r="B125" s="329"/>
      <c r="C125" s="331"/>
      <c r="D125" s="323"/>
      <c r="E125" s="323"/>
      <c r="F125" s="323"/>
      <c r="G125" s="322"/>
      <c r="H125" s="322"/>
      <c r="I125" s="323"/>
      <c r="J125" s="324"/>
      <c r="K125" s="336" t="s">
        <v>222</v>
      </c>
      <c r="L125" s="326">
        <v>100000000</v>
      </c>
      <c r="M125" s="326">
        <v>0</v>
      </c>
      <c r="N125" s="335">
        <f t="shared" si="24"/>
        <v>100000000</v>
      </c>
      <c r="O125" s="332"/>
      <c r="P125" s="332"/>
      <c r="Q125" s="141">
        <v>0</v>
      </c>
      <c r="R125" s="141">
        <v>0</v>
      </c>
      <c r="S125" s="141">
        <f t="shared" ref="S125:S129" si="26">Q125+R125</f>
        <v>0</v>
      </c>
      <c r="T125" s="327"/>
      <c r="U125" s="43">
        <f t="shared" si="23"/>
        <v>100000000</v>
      </c>
      <c r="V125" s="42">
        <f t="shared" si="17"/>
        <v>50000000</v>
      </c>
      <c r="W125" s="22"/>
      <c r="X125" s="22">
        <f t="shared" si="16"/>
        <v>0</v>
      </c>
      <c r="Z125" s="22">
        <f t="shared" si="18"/>
        <v>0</v>
      </c>
    </row>
    <row r="126" spans="1:26" x14ac:dyDescent="0.25">
      <c r="A126" s="240"/>
      <c r="B126" s="329"/>
      <c r="C126" s="331"/>
      <c r="D126" s="323"/>
      <c r="E126" s="323"/>
      <c r="F126" s="323"/>
      <c r="G126" s="322"/>
      <c r="H126" s="322"/>
      <c r="I126" s="323"/>
      <c r="J126" s="324"/>
      <c r="K126" s="336" t="s">
        <v>275</v>
      </c>
      <c r="L126" s="326">
        <f>L127+L129+L131</f>
        <v>50650000</v>
      </c>
      <c r="M126" s="326"/>
      <c r="N126" s="326">
        <f>N127+N129+N131</f>
        <v>50650000</v>
      </c>
      <c r="O126" s="332"/>
      <c r="P126" s="332"/>
      <c r="Q126" s="326">
        <f>Q127+Q129+Q131</f>
        <v>3600000</v>
      </c>
      <c r="R126" s="326">
        <v>22050000</v>
      </c>
      <c r="S126" s="141">
        <f>Q126+R126</f>
        <v>25650000</v>
      </c>
      <c r="T126" s="327">
        <f>S126/N126*100</f>
        <v>50.641658440276402</v>
      </c>
      <c r="U126" s="43">
        <f t="shared" si="23"/>
        <v>25000000</v>
      </c>
      <c r="V126" s="42">
        <f t="shared" si="17"/>
        <v>12500000</v>
      </c>
      <c r="W126" s="22"/>
      <c r="X126" s="22"/>
      <c r="Z126" s="22">
        <f t="shared" si="18"/>
        <v>7.1076011846001972</v>
      </c>
    </row>
    <row r="127" spans="1:26" x14ac:dyDescent="0.25">
      <c r="A127" s="240"/>
      <c r="B127" s="329"/>
      <c r="C127" s="331"/>
      <c r="D127" s="323"/>
      <c r="E127" s="323"/>
      <c r="F127" s="323"/>
      <c r="G127" s="322"/>
      <c r="H127" s="322"/>
      <c r="I127" s="323"/>
      <c r="J127" s="324"/>
      <c r="K127" s="336" t="s">
        <v>224</v>
      </c>
      <c r="L127" s="326">
        <v>3600000</v>
      </c>
      <c r="M127" s="326">
        <v>0</v>
      </c>
      <c r="N127" s="335">
        <f t="shared" si="24"/>
        <v>3600000</v>
      </c>
      <c r="O127" s="332"/>
      <c r="P127" s="332"/>
      <c r="Q127" s="141">
        <v>0</v>
      </c>
      <c r="R127" s="141">
        <v>1200000</v>
      </c>
      <c r="S127" s="141">
        <f t="shared" si="26"/>
        <v>1200000</v>
      </c>
      <c r="T127" s="327">
        <f>S127/N127*100</f>
        <v>33.333333333333329</v>
      </c>
      <c r="U127" s="43">
        <f t="shared" si="23"/>
        <v>2400000</v>
      </c>
      <c r="V127" s="42">
        <f t="shared" si="17"/>
        <v>1200000</v>
      </c>
      <c r="W127" s="22"/>
      <c r="X127" s="22">
        <f t="shared" si="16"/>
        <v>0</v>
      </c>
      <c r="Z127" s="22">
        <f t="shared" si="18"/>
        <v>0</v>
      </c>
    </row>
    <row r="128" spans="1:26" x14ac:dyDescent="0.25">
      <c r="A128" s="240"/>
      <c r="B128" s="329"/>
      <c r="C128" s="331"/>
      <c r="D128" s="323"/>
      <c r="E128" s="323"/>
      <c r="F128" s="323"/>
      <c r="G128" s="322"/>
      <c r="H128" s="322"/>
      <c r="I128" s="323"/>
      <c r="J128" s="324"/>
      <c r="K128" s="336"/>
      <c r="L128" s="326"/>
      <c r="M128" s="326"/>
      <c r="N128" s="335"/>
      <c r="O128" s="332"/>
      <c r="P128" s="332"/>
      <c r="Q128" s="141"/>
      <c r="R128" s="141"/>
      <c r="S128" s="141"/>
      <c r="T128" s="327"/>
      <c r="U128" s="43"/>
      <c r="V128" s="42">
        <f t="shared" si="17"/>
        <v>0</v>
      </c>
      <c r="W128" s="22"/>
      <c r="X128" s="22"/>
      <c r="Z128" s="22" t="e">
        <f t="shared" si="18"/>
        <v>#DIV/0!</v>
      </c>
    </row>
    <row r="129" spans="1:32" x14ac:dyDescent="0.25">
      <c r="A129" s="240"/>
      <c r="B129" s="329"/>
      <c r="C129" s="331"/>
      <c r="D129" s="323"/>
      <c r="E129" s="323"/>
      <c r="F129" s="323"/>
      <c r="G129" s="322"/>
      <c r="H129" s="322"/>
      <c r="I129" s="323"/>
      <c r="J129" s="324"/>
      <c r="K129" s="336" t="s">
        <v>141</v>
      </c>
      <c r="L129" s="326">
        <v>43900000</v>
      </c>
      <c r="M129" s="326">
        <v>0</v>
      </c>
      <c r="N129" s="335">
        <f t="shared" si="24"/>
        <v>43900000</v>
      </c>
      <c r="O129" s="332"/>
      <c r="P129" s="332"/>
      <c r="Q129" s="141">
        <v>3600000</v>
      </c>
      <c r="R129" s="141">
        <v>20850000</v>
      </c>
      <c r="S129" s="141">
        <f t="shared" si="26"/>
        <v>24450000</v>
      </c>
      <c r="T129" s="327">
        <f>S129/N129*100</f>
        <v>55.694760820045566</v>
      </c>
      <c r="U129" s="43">
        <f t="shared" si="23"/>
        <v>19450000</v>
      </c>
      <c r="V129" s="42">
        <f t="shared" si="17"/>
        <v>9725000</v>
      </c>
      <c r="W129" s="22">
        <f t="shared" si="25"/>
        <v>8.2004555808656043</v>
      </c>
      <c r="X129" s="22">
        <f t="shared" si="16"/>
        <v>8.2004555808656043</v>
      </c>
      <c r="Z129" s="22">
        <f t="shared" si="18"/>
        <v>8.2004555808656043</v>
      </c>
    </row>
    <row r="130" spans="1:32" x14ac:dyDescent="0.25">
      <c r="A130" s="240"/>
      <c r="B130" s="329"/>
      <c r="C130" s="331"/>
      <c r="D130" s="323"/>
      <c r="E130" s="323"/>
      <c r="F130" s="323"/>
      <c r="G130" s="322"/>
      <c r="H130" s="322"/>
      <c r="I130" s="323"/>
      <c r="J130" s="324"/>
      <c r="K130" s="336"/>
      <c r="L130" s="326"/>
      <c r="M130" s="326"/>
      <c r="N130" s="335"/>
      <c r="O130" s="332"/>
      <c r="P130" s="332"/>
      <c r="Q130" s="141"/>
      <c r="R130" s="141"/>
      <c r="S130" s="141"/>
      <c r="T130" s="327" t="e">
        <f>S130/N130*100</f>
        <v>#DIV/0!</v>
      </c>
      <c r="U130" s="43"/>
      <c r="V130" s="42"/>
      <c r="W130" s="22"/>
      <c r="X130" s="22"/>
      <c r="Z130" s="22"/>
    </row>
    <row r="131" spans="1:32" x14ac:dyDescent="0.25">
      <c r="A131" s="240"/>
      <c r="B131" s="329"/>
      <c r="C131" s="331"/>
      <c r="D131" s="323"/>
      <c r="E131" s="323"/>
      <c r="F131" s="323"/>
      <c r="G131" s="322"/>
      <c r="H131" s="322"/>
      <c r="I131" s="323"/>
      <c r="J131" s="324"/>
      <c r="K131" s="336" t="s">
        <v>223</v>
      </c>
      <c r="L131" s="326">
        <v>3150000</v>
      </c>
      <c r="M131" s="326">
        <v>0</v>
      </c>
      <c r="N131" s="335">
        <f t="shared" si="24"/>
        <v>3150000</v>
      </c>
      <c r="O131" s="332"/>
      <c r="P131" s="332"/>
      <c r="Q131" s="141"/>
      <c r="R131" s="141"/>
      <c r="S131" s="141"/>
      <c r="T131" s="327">
        <f>S131/N131*100</f>
        <v>0</v>
      </c>
      <c r="U131" s="43">
        <f t="shared" si="23"/>
        <v>3150000</v>
      </c>
      <c r="V131" s="42"/>
      <c r="W131" s="22"/>
      <c r="X131" s="22">
        <f t="shared" si="16"/>
        <v>0</v>
      </c>
      <c r="Z131" s="22"/>
    </row>
    <row r="132" spans="1:32" x14ac:dyDescent="0.25">
      <c r="A132" s="240"/>
      <c r="B132" s="329"/>
      <c r="C132" s="331"/>
      <c r="D132" s="323"/>
      <c r="E132" s="323"/>
      <c r="F132" s="323"/>
      <c r="G132" s="322"/>
      <c r="H132" s="322"/>
      <c r="I132" s="323"/>
      <c r="J132" s="324"/>
      <c r="K132" s="334"/>
      <c r="L132" s="332"/>
      <c r="M132" s="332"/>
      <c r="N132" s="335"/>
      <c r="O132" s="332"/>
      <c r="P132" s="332"/>
      <c r="Q132" s="325"/>
      <c r="R132" s="141"/>
      <c r="S132" s="141"/>
      <c r="T132" s="327"/>
      <c r="U132" s="43"/>
      <c r="V132" s="42">
        <f t="shared" si="17"/>
        <v>0</v>
      </c>
      <c r="W132" s="22"/>
      <c r="X132" s="22"/>
      <c r="Z132" s="22" t="e">
        <f t="shared" si="18"/>
        <v>#DIV/0!</v>
      </c>
    </row>
    <row r="133" spans="1:32" x14ac:dyDescent="0.25">
      <c r="A133" s="403"/>
      <c r="B133" s="514" t="s">
        <v>257</v>
      </c>
      <c r="C133" s="515"/>
      <c r="D133" s="515"/>
      <c r="E133" s="515"/>
      <c r="F133" s="515"/>
      <c r="G133" s="516"/>
      <c r="H133" s="412"/>
      <c r="I133" s="409"/>
      <c r="J133" s="410"/>
      <c r="K133" s="424" t="s">
        <v>143</v>
      </c>
      <c r="L133" s="398">
        <f>L135+L137+L139+L146</f>
        <v>466495000</v>
      </c>
      <c r="M133" s="398">
        <f>M135+M137+M139+M144+M146</f>
        <v>0</v>
      </c>
      <c r="N133" s="398">
        <f t="shared" ref="N133" si="27">L133-M133</f>
        <v>466495000</v>
      </c>
      <c r="O133" s="402"/>
      <c r="P133" s="402"/>
      <c r="Q133" s="398">
        <f>Q135+Q137+Q139+Q144+Q146</f>
        <v>64650000</v>
      </c>
      <c r="R133" s="398">
        <v>166320000</v>
      </c>
      <c r="S133" s="398">
        <f t="shared" ref="S133:S144" si="28">Q133+R133</f>
        <v>230970000</v>
      </c>
      <c r="T133" s="400">
        <f>S133/N133*100</f>
        <v>49.511784692226065</v>
      </c>
      <c r="U133" s="398">
        <f t="shared" si="23"/>
        <v>235525000</v>
      </c>
      <c r="V133" s="42">
        <f t="shared" si="17"/>
        <v>117762500</v>
      </c>
      <c r="W133" s="22">
        <f t="shared" si="25"/>
        <v>13.858669439115104</v>
      </c>
      <c r="X133" s="22">
        <f t="shared" si="16"/>
        <v>13.858669439115104</v>
      </c>
      <c r="Z133" s="65">
        <f t="shared" si="18"/>
        <v>13.858669439115104</v>
      </c>
    </row>
    <row r="134" spans="1:32" x14ac:dyDescent="0.25">
      <c r="A134" s="232"/>
      <c r="B134" s="314"/>
      <c r="C134" s="314"/>
      <c r="D134" s="348"/>
      <c r="E134" s="349"/>
      <c r="F134" s="349"/>
      <c r="G134" s="349"/>
      <c r="H134" s="318"/>
      <c r="I134" s="319"/>
      <c r="J134" s="312"/>
      <c r="K134" s="377"/>
      <c r="L134" s="43"/>
      <c r="M134" s="43"/>
      <c r="N134" s="43"/>
      <c r="O134" s="337"/>
      <c r="P134" s="337"/>
      <c r="Q134" s="43"/>
      <c r="R134" s="43"/>
      <c r="S134" s="43"/>
      <c r="T134" s="327"/>
      <c r="U134" s="43"/>
      <c r="V134" s="42"/>
      <c r="W134" s="22"/>
      <c r="X134" s="22"/>
      <c r="Z134" s="65"/>
    </row>
    <row r="135" spans="1:32" x14ac:dyDescent="0.25">
      <c r="A135" s="255"/>
      <c r="B135" s="328"/>
      <c r="C135" s="328"/>
      <c r="D135" s="350"/>
      <c r="E135" s="349"/>
      <c r="F135" s="349"/>
      <c r="G135" s="349"/>
      <c r="H135" s="318"/>
      <c r="I135" s="319"/>
      <c r="J135" s="362"/>
      <c r="K135" s="468" t="s">
        <v>225</v>
      </c>
      <c r="L135" s="466">
        <v>11750000</v>
      </c>
      <c r="M135" s="466">
        <v>0</v>
      </c>
      <c r="N135" s="467">
        <f t="shared" si="24"/>
        <v>11750000</v>
      </c>
      <c r="O135" s="466"/>
      <c r="P135" s="466"/>
      <c r="Q135" s="466">
        <v>4280000</v>
      </c>
      <c r="R135" s="470">
        <v>1420000</v>
      </c>
      <c r="S135" s="470">
        <f t="shared" si="28"/>
        <v>5700000</v>
      </c>
      <c r="T135" s="471">
        <f t="shared" ref="T135" si="29">S135/N135*100</f>
        <v>48.51063829787234</v>
      </c>
      <c r="U135" s="466">
        <f t="shared" si="23"/>
        <v>6050000</v>
      </c>
      <c r="V135" s="42">
        <f t="shared" si="17"/>
        <v>3025000</v>
      </c>
      <c r="W135" s="22"/>
      <c r="X135" s="22">
        <f t="shared" si="16"/>
        <v>36.425531914893618</v>
      </c>
      <c r="Z135" s="22">
        <f t="shared" si="18"/>
        <v>36.425531914893618</v>
      </c>
    </row>
    <row r="136" spans="1:32" x14ac:dyDescent="0.25">
      <c r="A136" s="255"/>
      <c r="B136" s="328"/>
      <c r="C136" s="328"/>
      <c r="D136" s="348"/>
      <c r="E136" s="349"/>
      <c r="F136" s="349"/>
      <c r="G136" s="349"/>
      <c r="H136" s="318"/>
      <c r="I136" s="319"/>
      <c r="J136" s="362"/>
      <c r="K136" s="368"/>
      <c r="L136" s="337"/>
      <c r="M136" s="337"/>
      <c r="N136" s="337"/>
      <c r="O136" s="337"/>
      <c r="P136" s="337"/>
      <c r="Q136" s="337"/>
      <c r="R136" s="363"/>
      <c r="S136" s="363"/>
      <c r="T136" s="327"/>
      <c r="U136" s="43"/>
      <c r="V136" s="42">
        <f t="shared" si="17"/>
        <v>0</v>
      </c>
      <c r="W136" s="22"/>
      <c r="X136" s="22"/>
      <c r="Z136" s="22" t="e">
        <f t="shared" si="18"/>
        <v>#DIV/0!</v>
      </c>
    </row>
    <row r="137" spans="1:32" x14ac:dyDescent="0.25">
      <c r="A137" s="255"/>
      <c r="B137" s="328"/>
      <c r="C137" s="328"/>
      <c r="D137" s="348"/>
      <c r="E137" s="349"/>
      <c r="F137" s="349"/>
      <c r="G137" s="349"/>
      <c r="H137" s="318"/>
      <c r="I137" s="319"/>
      <c r="J137" s="362"/>
      <c r="K137" s="368" t="s">
        <v>226</v>
      </c>
      <c r="L137" s="337">
        <v>895000</v>
      </c>
      <c r="M137" s="337">
        <v>0</v>
      </c>
      <c r="N137" s="337">
        <f t="shared" si="24"/>
        <v>895000</v>
      </c>
      <c r="O137" s="337"/>
      <c r="P137" s="337"/>
      <c r="Q137" s="337">
        <v>0</v>
      </c>
      <c r="R137" s="363">
        <v>0</v>
      </c>
      <c r="S137" s="363">
        <f t="shared" si="28"/>
        <v>0</v>
      </c>
      <c r="T137" s="327"/>
      <c r="U137" s="43">
        <f t="shared" si="23"/>
        <v>895000</v>
      </c>
      <c r="V137" s="42">
        <f t="shared" si="17"/>
        <v>447500</v>
      </c>
      <c r="W137" s="22"/>
      <c r="X137" s="22">
        <f t="shared" si="16"/>
        <v>0</v>
      </c>
      <c r="Z137" s="22">
        <f t="shared" si="18"/>
        <v>0</v>
      </c>
    </row>
    <row r="138" spans="1:32" x14ac:dyDescent="0.25">
      <c r="A138" s="240"/>
      <c r="B138" s="329"/>
      <c r="C138" s="331"/>
      <c r="D138" s="323"/>
      <c r="E138" s="323"/>
      <c r="F138" s="323"/>
      <c r="G138" s="322"/>
      <c r="H138" s="322"/>
      <c r="I138" s="323"/>
      <c r="J138" s="362"/>
      <c r="K138" s="368"/>
      <c r="L138" s="337"/>
      <c r="M138" s="337"/>
      <c r="N138" s="337"/>
      <c r="O138" s="43"/>
      <c r="P138" s="43"/>
      <c r="Q138" s="363"/>
      <c r="R138" s="364"/>
      <c r="S138" s="364"/>
      <c r="T138" s="327"/>
      <c r="U138" s="43"/>
      <c r="V138" s="42">
        <f t="shared" si="17"/>
        <v>0</v>
      </c>
      <c r="W138" s="22"/>
      <c r="X138" s="22"/>
      <c r="Z138" s="22" t="e">
        <f t="shared" si="18"/>
        <v>#DIV/0!</v>
      </c>
    </row>
    <row r="139" spans="1:32" x14ac:dyDescent="0.25">
      <c r="A139" s="240"/>
      <c r="B139" s="329"/>
      <c r="C139" s="331"/>
      <c r="D139" s="350"/>
      <c r="E139" s="351"/>
      <c r="F139" s="351"/>
      <c r="G139" s="351"/>
      <c r="H139" s="318"/>
      <c r="I139" s="319"/>
      <c r="J139" s="362"/>
      <c r="K139" s="465" t="s">
        <v>227</v>
      </c>
      <c r="L139" s="466">
        <f>L140+L141+L142+L144</f>
        <v>355800000</v>
      </c>
      <c r="M139" s="466">
        <f>M140+M141</f>
        <v>0</v>
      </c>
      <c r="N139" s="467">
        <f t="shared" si="24"/>
        <v>355800000</v>
      </c>
      <c r="O139" s="467"/>
      <c r="P139" s="467"/>
      <c r="Q139" s="466">
        <f>Q140+Q141+Q142</f>
        <v>37520000</v>
      </c>
      <c r="R139" s="470">
        <v>119900000</v>
      </c>
      <c r="S139" s="470">
        <f t="shared" si="28"/>
        <v>157420000</v>
      </c>
      <c r="T139" s="471">
        <f t="shared" ref="T139:T141" si="30">S139/N139*100</f>
        <v>44.243957279370434</v>
      </c>
      <c r="U139" s="466">
        <f t="shared" si="23"/>
        <v>198380000</v>
      </c>
      <c r="V139" s="42">
        <f t="shared" si="17"/>
        <v>99190000</v>
      </c>
      <c r="W139" s="22">
        <f t="shared" si="25"/>
        <v>10.545250140528386</v>
      </c>
      <c r="X139" s="22">
        <f t="shared" si="16"/>
        <v>10.545250140528386</v>
      </c>
      <c r="Z139" s="65">
        <f t="shared" si="18"/>
        <v>10.545250140528386</v>
      </c>
    </row>
    <row r="140" spans="1:32" x14ac:dyDescent="0.25">
      <c r="A140" s="240"/>
      <c r="B140" s="329"/>
      <c r="C140" s="331"/>
      <c r="D140" s="323"/>
      <c r="E140" s="323"/>
      <c r="F140" s="323"/>
      <c r="G140" s="322"/>
      <c r="H140" s="322"/>
      <c r="I140" s="323"/>
      <c r="J140" s="362"/>
      <c r="K140" s="375" t="s">
        <v>228</v>
      </c>
      <c r="L140" s="337">
        <v>192000000</v>
      </c>
      <c r="M140" s="337">
        <v>0</v>
      </c>
      <c r="N140" s="337">
        <f t="shared" si="24"/>
        <v>192000000</v>
      </c>
      <c r="O140" s="337"/>
      <c r="P140" s="337"/>
      <c r="Q140" s="376">
        <v>16000000</v>
      </c>
      <c r="R140" s="364">
        <v>100000000</v>
      </c>
      <c r="S140" s="364">
        <f t="shared" si="28"/>
        <v>116000000</v>
      </c>
      <c r="T140" s="327"/>
      <c r="U140" s="43">
        <f t="shared" si="23"/>
        <v>76000000</v>
      </c>
      <c r="V140" s="42">
        <f t="shared" si="17"/>
        <v>38000000</v>
      </c>
      <c r="W140" s="22"/>
      <c r="X140" s="22">
        <f t="shared" si="16"/>
        <v>8.3333333333333321</v>
      </c>
      <c r="Z140" s="22">
        <f t="shared" si="18"/>
        <v>8.3333333333333321</v>
      </c>
    </row>
    <row r="141" spans="1:32" x14ac:dyDescent="0.25">
      <c r="A141" s="240"/>
      <c r="B141" s="329"/>
      <c r="C141" s="331"/>
      <c r="D141" s="323"/>
      <c r="E141" s="323"/>
      <c r="F141" s="323"/>
      <c r="G141" s="322"/>
      <c r="H141" s="322"/>
      <c r="I141" s="323"/>
      <c r="J141" s="362"/>
      <c r="K141" s="368" t="s">
        <v>229</v>
      </c>
      <c r="L141" s="337">
        <v>56000000</v>
      </c>
      <c r="M141" s="337">
        <v>0</v>
      </c>
      <c r="N141" s="337">
        <f t="shared" si="24"/>
        <v>56000000</v>
      </c>
      <c r="O141" s="337"/>
      <c r="P141" s="337"/>
      <c r="Q141" s="363">
        <v>21000000</v>
      </c>
      <c r="R141" s="364">
        <v>15900000</v>
      </c>
      <c r="S141" s="364">
        <f t="shared" si="28"/>
        <v>36900000</v>
      </c>
      <c r="T141" s="327">
        <f t="shared" si="30"/>
        <v>65.892857142857139</v>
      </c>
      <c r="U141" s="43">
        <f t="shared" si="23"/>
        <v>19100000</v>
      </c>
      <c r="V141" s="42">
        <f t="shared" si="17"/>
        <v>9550000</v>
      </c>
      <c r="W141" s="22">
        <f t="shared" si="25"/>
        <v>37.5</v>
      </c>
      <c r="X141" s="22">
        <f t="shared" si="16"/>
        <v>37.5</v>
      </c>
      <c r="Z141" s="22">
        <f t="shared" si="18"/>
        <v>37.5</v>
      </c>
    </row>
    <row r="142" spans="1:32" x14ac:dyDescent="0.25">
      <c r="A142" s="240"/>
      <c r="B142" s="329"/>
      <c r="C142" s="331"/>
      <c r="D142" s="323"/>
      <c r="E142" s="323"/>
      <c r="F142" s="323"/>
      <c r="G142" s="322"/>
      <c r="H142" s="322"/>
      <c r="I142" s="323"/>
      <c r="J142" s="362"/>
      <c r="K142" s="368" t="s">
        <v>161</v>
      </c>
      <c r="L142" s="337">
        <v>7800000</v>
      </c>
      <c r="M142" s="337">
        <v>0</v>
      </c>
      <c r="N142" s="337">
        <f t="shared" si="24"/>
        <v>7800000</v>
      </c>
      <c r="O142" s="43"/>
      <c r="P142" s="43"/>
      <c r="Q142" s="363">
        <v>520000</v>
      </c>
      <c r="R142" s="364">
        <v>4000000</v>
      </c>
      <c r="S142" s="364">
        <f>Q142+R142</f>
        <v>4520000</v>
      </c>
      <c r="T142" s="327">
        <f>S142/N142*100</f>
        <v>57.948717948717956</v>
      </c>
      <c r="U142" s="43">
        <f t="shared" si="23"/>
        <v>3280000</v>
      </c>
      <c r="V142" s="42">
        <f t="shared" si="17"/>
        <v>1640000</v>
      </c>
      <c r="W142" s="22"/>
      <c r="X142" s="22">
        <f t="shared" si="16"/>
        <v>6.666666666666667</v>
      </c>
      <c r="Z142" s="22">
        <f t="shared" si="18"/>
        <v>6.666666666666667</v>
      </c>
      <c r="AF142" s="378">
        <f>S139+S135+S152</f>
        <v>224520000</v>
      </c>
    </row>
    <row r="143" spans="1:32" x14ac:dyDescent="0.25">
      <c r="A143" s="240"/>
      <c r="B143" s="329"/>
      <c r="C143" s="331"/>
      <c r="D143" s="323"/>
      <c r="E143" s="323"/>
      <c r="F143" s="323"/>
      <c r="G143" s="322"/>
      <c r="H143" s="322"/>
      <c r="I143" s="323"/>
      <c r="J143" s="362"/>
      <c r="K143" s="368"/>
      <c r="L143" s="337"/>
      <c r="M143" s="337"/>
      <c r="N143" s="337"/>
      <c r="O143" s="43"/>
      <c r="P143" s="43"/>
      <c r="Q143" s="363"/>
      <c r="R143" s="364"/>
      <c r="S143" s="364"/>
      <c r="T143" s="327"/>
      <c r="U143" s="43"/>
      <c r="V143" s="42"/>
      <c r="W143" s="22"/>
      <c r="X143" s="22"/>
      <c r="Z143" s="22"/>
    </row>
    <row r="144" spans="1:32" x14ac:dyDescent="0.25">
      <c r="A144" s="240"/>
      <c r="B144" s="329"/>
      <c r="C144" s="331"/>
      <c r="D144" s="350"/>
      <c r="E144" s="351"/>
      <c r="F144" s="351"/>
      <c r="G144" s="351"/>
      <c r="H144" s="318"/>
      <c r="I144" s="319"/>
      <c r="J144" s="312"/>
      <c r="K144" s="374" t="s">
        <v>230</v>
      </c>
      <c r="L144" s="43">
        <v>100000000</v>
      </c>
      <c r="M144" s="43">
        <v>0</v>
      </c>
      <c r="N144" s="337">
        <f t="shared" si="24"/>
        <v>100000000</v>
      </c>
      <c r="O144" s="337"/>
      <c r="P144" s="337"/>
      <c r="Q144" s="43">
        <v>0</v>
      </c>
      <c r="R144" s="43">
        <v>0</v>
      </c>
      <c r="S144" s="43">
        <f t="shared" si="28"/>
        <v>0</v>
      </c>
      <c r="T144" s="327">
        <f t="shared" ref="T144" si="31">S144/N144*100</f>
        <v>0</v>
      </c>
      <c r="U144" s="43">
        <f t="shared" si="23"/>
        <v>100000000</v>
      </c>
      <c r="V144" s="42">
        <f t="shared" si="17"/>
        <v>50000000</v>
      </c>
      <c r="W144" s="22">
        <f t="shared" si="25"/>
        <v>0</v>
      </c>
      <c r="X144" s="22">
        <f t="shared" si="16"/>
        <v>0</v>
      </c>
      <c r="Z144" s="65">
        <f t="shared" si="18"/>
        <v>0</v>
      </c>
    </row>
    <row r="145" spans="1:31" x14ac:dyDescent="0.25">
      <c r="A145" s="240"/>
      <c r="B145" s="329"/>
      <c r="C145" s="331"/>
      <c r="D145" s="323"/>
      <c r="E145" s="323"/>
      <c r="F145" s="323"/>
      <c r="G145" s="322"/>
      <c r="H145" s="322"/>
      <c r="I145" s="323"/>
      <c r="J145" s="362"/>
      <c r="K145" s="368"/>
      <c r="L145" s="337"/>
      <c r="M145" s="337"/>
      <c r="N145" s="337"/>
      <c r="O145" s="337"/>
      <c r="P145" s="337"/>
      <c r="Q145" s="363"/>
      <c r="R145" s="363"/>
      <c r="S145" s="363"/>
      <c r="T145" s="327"/>
      <c r="U145" s="43"/>
      <c r="V145" s="42">
        <f t="shared" si="17"/>
        <v>0</v>
      </c>
      <c r="W145" s="22"/>
      <c r="X145" s="22"/>
      <c r="Z145" s="22" t="e">
        <f t="shared" si="18"/>
        <v>#DIV/0!</v>
      </c>
    </row>
    <row r="146" spans="1:31" x14ac:dyDescent="0.25">
      <c r="A146" s="240"/>
      <c r="B146" s="329"/>
      <c r="C146" s="331"/>
      <c r="D146" s="323"/>
      <c r="E146" s="323"/>
      <c r="F146" s="323"/>
      <c r="G146" s="322"/>
      <c r="H146" s="322"/>
      <c r="I146" s="323"/>
      <c r="J146" s="362"/>
      <c r="K146" s="375" t="s">
        <v>231</v>
      </c>
      <c r="L146" s="337">
        <f>L148+L150+L152</f>
        <v>98050000</v>
      </c>
      <c r="M146" s="337">
        <f>M148+M150+M152</f>
        <v>0</v>
      </c>
      <c r="N146" s="337">
        <f t="shared" si="24"/>
        <v>98050000</v>
      </c>
      <c r="O146" s="43"/>
      <c r="P146" s="43"/>
      <c r="Q146" s="363">
        <f>Q148+Q150+Q152</f>
        <v>22850000</v>
      </c>
      <c r="R146" s="364">
        <v>45000000</v>
      </c>
      <c r="S146" s="364">
        <f t="shared" ref="S146" si="32">Q146+R146</f>
        <v>67850000</v>
      </c>
      <c r="T146" s="327">
        <f t="shared" ref="T146" si="33">S146/N146*100</f>
        <v>69.199388067312597</v>
      </c>
      <c r="U146" s="43">
        <f t="shared" ref="U146:U152" si="34">N146-S146</f>
        <v>30200000</v>
      </c>
      <c r="V146" s="42">
        <f t="shared" si="17"/>
        <v>15100000</v>
      </c>
      <c r="W146" s="22">
        <f t="shared" si="25"/>
        <v>23.304436511983681</v>
      </c>
      <c r="X146" s="22">
        <f t="shared" si="16"/>
        <v>23.304436511983681</v>
      </c>
      <c r="Z146" s="22">
        <f t="shared" si="18"/>
        <v>23.304436511983681</v>
      </c>
    </row>
    <row r="147" spans="1:31" x14ac:dyDescent="0.25">
      <c r="A147" s="240"/>
      <c r="B147" s="329"/>
      <c r="C147" s="331"/>
      <c r="D147" s="323"/>
      <c r="E147" s="323"/>
      <c r="F147" s="323"/>
      <c r="G147" s="322"/>
      <c r="H147" s="322"/>
      <c r="I147" s="323"/>
      <c r="J147" s="362"/>
      <c r="K147" s="368"/>
      <c r="L147" s="337"/>
      <c r="M147" s="337"/>
      <c r="N147" s="337"/>
      <c r="O147" s="43"/>
      <c r="P147" s="43"/>
      <c r="Q147" s="363"/>
      <c r="R147" s="364"/>
      <c r="S147" s="364"/>
      <c r="T147" s="327"/>
      <c r="U147" s="43"/>
      <c r="V147" s="42">
        <f t="shared" si="17"/>
        <v>0</v>
      </c>
      <c r="W147" s="22"/>
      <c r="X147" s="22"/>
      <c r="Z147" s="22" t="e">
        <f t="shared" si="18"/>
        <v>#DIV/0!</v>
      </c>
    </row>
    <row r="148" spans="1:31" x14ac:dyDescent="0.25">
      <c r="A148" s="240"/>
      <c r="B148" s="329"/>
      <c r="C148" s="331"/>
      <c r="D148" s="341"/>
      <c r="E148" s="339"/>
      <c r="F148" s="339"/>
      <c r="G148" s="329"/>
      <c r="H148" s="329"/>
      <c r="I148" s="339"/>
      <c r="J148" s="370"/>
      <c r="K148" s="369" t="s">
        <v>232</v>
      </c>
      <c r="L148" s="43">
        <v>5000000</v>
      </c>
      <c r="M148" s="43">
        <v>0</v>
      </c>
      <c r="N148" s="337">
        <f t="shared" si="24"/>
        <v>5000000</v>
      </c>
      <c r="O148" s="43"/>
      <c r="P148" s="43"/>
      <c r="Q148" s="364">
        <v>1800000</v>
      </c>
      <c r="R148" s="364">
        <v>1800000</v>
      </c>
      <c r="S148" s="364">
        <f t="shared" ref="S148:S152" si="35">Q148+R148</f>
        <v>3600000</v>
      </c>
      <c r="T148" s="327">
        <f>S148/N148*100</f>
        <v>72</v>
      </c>
      <c r="U148" s="43">
        <f t="shared" si="34"/>
        <v>1400000</v>
      </c>
      <c r="V148" s="42">
        <f t="shared" si="17"/>
        <v>700000</v>
      </c>
      <c r="W148" s="22">
        <f t="shared" si="25"/>
        <v>36</v>
      </c>
      <c r="X148" s="22">
        <f t="shared" si="16"/>
        <v>36</v>
      </c>
      <c r="Z148" s="22">
        <f t="shared" si="18"/>
        <v>36</v>
      </c>
    </row>
    <row r="149" spans="1:31" x14ac:dyDescent="0.25">
      <c r="A149" s="240"/>
      <c r="B149" s="329"/>
      <c r="C149" s="331"/>
      <c r="D149" s="323"/>
      <c r="E149" s="323"/>
      <c r="F149" s="323"/>
      <c r="G149" s="322"/>
      <c r="H149" s="322"/>
      <c r="I149" s="323"/>
      <c r="J149" s="362"/>
      <c r="K149" s="375"/>
      <c r="L149" s="337"/>
      <c r="M149" s="337"/>
      <c r="N149" s="337"/>
      <c r="O149" s="43"/>
      <c r="P149" s="43"/>
      <c r="Q149" s="363"/>
      <c r="R149" s="364"/>
      <c r="S149" s="364"/>
      <c r="T149" s="327"/>
      <c r="U149" s="43"/>
      <c r="V149" s="42">
        <f t="shared" si="17"/>
        <v>0</v>
      </c>
      <c r="W149" s="22" t="e">
        <f t="shared" si="25"/>
        <v>#DIV/0!</v>
      </c>
      <c r="X149" s="22"/>
      <c r="Z149" s="22" t="e">
        <f t="shared" si="18"/>
        <v>#DIV/0!</v>
      </c>
    </row>
    <row r="150" spans="1:31" x14ac:dyDescent="0.25">
      <c r="A150" s="240"/>
      <c r="B150" s="329"/>
      <c r="C150" s="331"/>
      <c r="D150" s="323"/>
      <c r="E150" s="323"/>
      <c r="F150" s="323"/>
      <c r="G150" s="322"/>
      <c r="H150" s="322"/>
      <c r="I150" s="323"/>
      <c r="J150" s="362"/>
      <c r="K150" s="375" t="s">
        <v>233</v>
      </c>
      <c r="L150" s="337">
        <v>13050000</v>
      </c>
      <c r="M150" s="337">
        <v>0</v>
      </c>
      <c r="N150" s="337">
        <f t="shared" si="24"/>
        <v>13050000</v>
      </c>
      <c r="O150" s="43"/>
      <c r="P150" s="43"/>
      <c r="Q150" s="363">
        <v>450000</v>
      </c>
      <c r="R150" s="364">
        <v>2400000</v>
      </c>
      <c r="S150" s="364">
        <f t="shared" si="35"/>
        <v>2850000</v>
      </c>
      <c r="T150" s="327">
        <f t="shared" ref="T150:T152" si="36">S150/N150*100</f>
        <v>21.839080459770116</v>
      </c>
      <c r="U150" s="43">
        <f t="shared" si="34"/>
        <v>10200000</v>
      </c>
      <c r="V150" s="42">
        <f t="shared" si="17"/>
        <v>5100000</v>
      </c>
      <c r="W150" s="22">
        <f t="shared" si="25"/>
        <v>3.4482758620689653</v>
      </c>
      <c r="X150" s="22">
        <f t="shared" si="16"/>
        <v>3.4482758620689653</v>
      </c>
      <c r="Z150" s="22">
        <f t="shared" si="18"/>
        <v>3.4482758620689653</v>
      </c>
    </row>
    <row r="151" spans="1:31" x14ac:dyDescent="0.25">
      <c r="A151" s="240"/>
      <c r="B151" s="329"/>
      <c r="C151" s="331"/>
      <c r="D151" s="323"/>
      <c r="E151" s="323"/>
      <c r="F151" s="323"/>
      <c r="G151" s="322"/>
      <c r="H151" s="322"/>
      <c r="I151" s="323"/>
      <c r="J151" s="362"/>
      <c r="K151" s="375"/>
      <c r="L151" s="337"/>
      <c r="M151" s="337"/>
      <c r="N151" s="337"/>
      <c r="O151" s="43"/>
      <c r="P151" s="43"/>
      <c r="Q151" s="363"/>
      <c r="R151" s="363"/>
      <c r="S151" s="363"/>
      <c r="T151" s="327"/>
      <c r="U151" s="43"/>
      <c r="V151" s="42"/>
      <c r="W151" s="22"/>
      <c r="X151" s="22"/>
      <c r="Z151" s="22" t="e">
        <f t="shared" si="18"/>
        <v>#DIV/0!</v>
      </c>
    </row>
    <row r="152" spans="1:31" x14ac:dyDescent="0.25">
      <c r="A152" s="240"/>
      <c r="B152" s="329"/>
      <c r="C152" s="331"/>
      <c r="D152" s="323"/>
      <c r="E152" s="323"/>
      <c r="F152" s="323"/>
      <c r="G152" s="322"/>
      <c r="H152" s="322"/>
      <c r="I152" s="323"/>
      <c r="J152" s="362"/>
      <c r="K152" s="469" t="s">
        <v>234</v>
      </c>
      <c r="L152" s="467">
        <v>80000000</v>
      </c>
      <c r="M152" s="467">
        <v>0</v>
      </c>
      <c r="N152" s="467">
        <f t="shared" si="24"/>
        <v>80000000</v>
      </c>
      <c r="O152" s="466"/>
      <c r="P152" s="466"/>
      <c r="Q152" s="472">
        <v>20600000</v>
      </c>
      <c r="R152" s="472">
        <v>40800000</v>
      </c>
      <c r="S152" s="470">
        <f t="shared" si="35"/>
        <v>61400000</v>
      </c>
      <c r="T152" s="471">
        <f t="shared" si="36"/>
        <v>76.75</v>
      </c>
      <c r="U152" s="466">
        <f t="shared" si="34"/>
        <v>18600000</v>
      </c>
      <c r="V152" s="42"/>
      <c r="W152" s="22"/>
      <c r="X152" s="22">
        <f t="shared" si="16"/>
        <v>25.75</v>
      </c>
      <c r="Z152" s="22">
        <f t="shared" si="18"/>
        <v>25.75</v>
      </c>
    </row>
    <row r="153" spans="1:31" x14ac:dyDescent="0.25">
      <c r="A153" s="240"/>
      <c r="B153" s="329"/>
      <c r="C153" s="331"/>
      <c r="D153" s="323"/>
      <c r="E153" s="323"/>
      <c r="F153" s="323"/>
      <c r="G153" s="322"/>
      <c r="H153" s="322"/>
      <c r="I153" s="323"/>
      <c r="J153" s="324"/>
      <c r="K153" s="334"/>
      <c r="L153" s="332"/>
      <c r="M153" s="332"/>
      <c r="N153" s="335"/>
      <c r="O153" s="326"/>
      <c r="P153" s="326"/>
      <c r="Q153" s="325"/>
      <c r="R153" s="141"/>
      <c r="S153" s="141"/>
      <c r="T153" s="327"/>
      <c r="U153" s="43"/>
      <c r="V153" s="42">
        <f t="shared" si="17"/>
        <v>0</v>
      </c>
      <c r="W153" s="22"/>
      <c r="X153" s="22"/>
      <c r="Z153" s="22" t="e">
        <f t="shared" si="18"/>
        <v>#DIV/0!</v>
      </c>
    </row>
    <row r="154" spans="1:31" x14ac:dyDescent="0.25">
      <c r="A154" s="425"/>
      <c r="B154" s="426"/>
      <c r="C154" s="427"/>
      <c r="D154" s="428"/>
      <c r="E154" s="428"/>
      <c r="F154" s="428"/>
      <c r="G154" s="429"/>
      <c r="H154" s="429"/>
      <c r="I154" s="428"/>
      <c r="J154" s="356"/>
      <c r="K154" s="357"/>
      <c r="L154" s="358">
        <f>L12+L118</f>
        <v>2184252000</v>
      </c>
      <c r="M154" s="358">
        <f>M12+M118</f>
        <v>0</v>
      </c>
      <c r="N154" s="358">
        <f>N118+N12</f>
        <v>2184252000</v>
      </c>
      <c r="O154" s="359"/>
      <c r="P154" s="359"/>
      <c r="Q154" s="358">
        <f>Q12+Q118</f>
        <v>200338119</v>
      </c>
      <c r="R154" s="358">
        <f>R12+R118</f>
        <v>1129202442</v>
      </c>
      <c r="S154" s="358">
        <f>S12+S118</f>
        <v>1329540561</v>
      </c>
      <c r="T154" s="360">
        <f>S154/N154*100</f>
        <v>60.869375923657167</v>
      </c>
      <c r="U154" s="358">
        <f>N154-S154</f>
        <v>854711439</v>
      </c>
      <c r="V154" s="42">
        <f t="shared" si="17"/>
        <v>427355719.5</v>
      </c>
      <c r="W154" s="22">
        <f t="shared" si="25"/>
        <v>9.1719324967998208</v>
      </c>
      <c r="X154" s="22">
        <f t="shared" si="16"/>
        <v>9.1719324967998208</v>
      </c>
    </row>
    <row r="155" spans="1:31" x14ac:dyDescent="0.25">
      <c r="A155" s="155"/>
      <c r="B155" s="156"/>
      <c r="C155" s="157"/>
      <c r="D155" s="158"/>
      <c r="E155" s="158"/>
      <c r="F155" s="158"/>
      <c r="G155" s="159"/>
      <c r="H155" s="159"/>
      <c r="I155" s="158"/>
      <c r="J155" s="160"/>
      <c r="K155" s="161"/>
      <c r="L155" s="162"/>
      <c r="M155" s="162"/>
      <c r="N155" s="162"/>
      <c r="O155" s="163"/>
      <c r="P155" s="163"/>
      <c r="Q155" s="162"/>
      <c r="R155" s="164"/>
      <c r="S155" s="165"/>
      <c r="T155" s="166"/>
      <c r="W155" s="166"/>
      <c r="X155" s="166"/>
      <c r="AE155" s="1">
        <f>816-756</f>
        <v>60</v>
      </c>
    </row>
    <row r="156" spans="1:31" x14ac:dyDescent="0.25">
      <c r="A156" s="167"/>
      <c r="B156" s="167"/>
      <c r="C156" s="168"/>
      <c r="D156" s="169"/>
      <c r="E156" s="169"/>
      <c r="F156" s="169"/>
      <c r="G156" s="170"/>
      <c r="H156" s="170"/>
      <c r="I156" s="169"/>
      <c r="J156" s="171"/>
      <c r="K156" s="171"/>
      <c r="L156" s="172"/>
      <c r="M156" s="172"/>
      <c r="N156" s="172"/>
      <c r="O156" s="162"/>
      <c r="P156" s="162"/>
      <c r="Q156" s="173"/>
      <c r="R156" s="174"/>
      <c r="S156" s="173"/>
      <c r="T156" s="175"/>
      <c r="W156" s="175"/>
      <c r="X156" s="175"/>
    </row>
    <row r="157" spans="1:31" x14ac:dyDescent="0.25">
      <c r="A157" s="167"/>
      <c r="B157" s="167"/>
      <c r="C157" s="168"/>
      <c r="D157" s="169"/>
      <c r="E157" s="169"/>
      <c r="F157" s="169"/>
      <c r="G157" s="170"/>
      <c r="H157" s="170"/>
      <c r="I157" s="169"/>
      <c r="J157" s="171"/>
      <c r="K157" s="171"/>
      <c r="L157" s="172"/>
      <c r="M157" s="172"/>
      <c r="N157" s="172"/>
      <c r="O157" s="162"/>
      <c r="P157" s="162"/>
      <c r="Q157" s="173"/>
      <c r="R157" s="174"/>
      <c r="S157" s="173"/>
      <c r="T157" s="175"/>
      <c r="W157" s="175"/>
      <c r="X157" s="175"/>
    </row>
    <row r="158" spans="1:31" x14ac:dyDescent="0.25">
      <c r="A158" s="497"/>
      <c r="B158" s="497"/>
      <c r="C158" s="497"/>
      <c r="D158" s="497"/>
      <c r="E158" s="497"/>
      <c r="F158" s="497"/>
      <c r="G158" s="497"/>
      <c r="H158" s="497"/>
      <c r="I158" s="497"/>
      <c r="J158" s="497"/>
      <c r="K158" s="176"/>
      <c r="L158" s="176"/>
      <c r="M158" s="458"/>
      <c r="N158" s="458"/>
      <c r="O158" s="162"/>
      <c r="P158" s="162"/>
      <c r="Q158" s="178"/>
      <c r="R158" s="179"/>
      <c r="S158" s="179"/>
      <c r="T158" s="180"/>
      <c r="W158" s="180"/>
      <c r="X158" s="180"/>
    </row>
    <row r="159" spans="1:31" x14ac:dyDescent="0.25">
      <c r="A159" s="495" t="s">
        <v>168</v>
      </c>
      <c r="B159" s="495"/>
      <c r="C159" s="495"/>
      <c r="D159" s="495"/>
      <c r="E159" s="495"/>
      <c r="F159" s="495"/>
      <c r="G159" s="495"/>
      <c r="H159" s="495"/>
      <c r="I159" s="495"/>
      <c r="J159" s="495"/>
      <c r="K159" s="495"/>
      <c r="L159" s="495"/>
      <c r="M159" s="458"/>
      <c r="N159" s="458"/>
      <c r="O159" s="163"/>
      <c r="P159" s="163"/>
      <c r="Q159" s="181"/>
      <c r="R159" s="498"/>
      <c r="S159" s="498"/>
      <c r="T159" s="498"/>
    </row>
    <row r="160" spans="1:31" x14ac:dyDescent="0.25">
      <c r="A160" s="495" t="s">
        <v>280</v>
      </c>
      <c r="B160" s="495"/>
      <c r="C160" s="495"/>
      <c r="D160" s="495"/>
      <c r="E160" s="495"/>
      <c r="F160" s="495"/>
      <c r="G160" s="495"/>
      <c r="H160" s="495"/>
      <c r="I160" s="495"/>
      <c r="J160" s="495"/>
      <c r="K160" s="458" t="s">
        <v>170</v>
      </c>
      <c r="L160" s="176"/>
      <c r="N160" s="496" t="s">
        <v>171</v>
      </c>
      <c r="O160" s="496"/>
      <c r="P160" s="496"/>
      <c r="Q160" s="496"/>
      <c r="R160" s="496" t="s">
        <v>172</v>
      </c>
      <c r="S160" s="496"/>
      <c r="T160" s="496"/>
      <c r="U160" s="496"/>
      <c r="W160" s="182"/>
      <c r="X160" s="182"/>
    </row>
    <row r="161" spans="1:24" x14ac:dyDescent="0.25">
      <c r="A161" s="495" t="s">
        <v>281</v>
      </c>
      <c r="B161" s="495"/>
      <c r="C161" s="495"/>
      <c r="D161" s="495"/>
      <c r="E161" s="495"/>
      <c r="F161" s="495"/>
      <c r="G161" s="495"/>
      <c r="H161" s="495"/>
      <c r="I161" s="495"/>
      <c r="J161" s="495"/>
      <c r="K161" s="458" t="s">
        <v>174</v>
      </c>
      <c r="L161" s="176"/>
      <c r="N161" s="496" t="s">
        <v>174</v>
      </c>
      <c r="O161" s="496"/>
      <c r="P161" s="496"/>
      <c r="Q161" s="496"/>
      <c r="R161" s="495" t="s">
        <v>175</v>
      </c>
      <c r="S161" s="495"/>
      <c r="T161" s="495"/>
      <c r="U161" s="495"/>
      <c r="W161" s="176"/>
      <c r="X161" s="176"/>
    </row>
    <row r="162" spans="1:24" x14ac:dyDescent="0.25">
      <c r="A162" s="495" t="s">
        <v>173</v>
      </c>
      <c r="B162" s="495"/>
      <c r="C162" s="495"/>
      <c r="D162" s="495"/>
      <c r="E162" s="495"/>
      <c r="F162" s="495"/>
      <c r="G162" s="495"/>
      <c r="H162" s="495"/>
      <c r="I162" s="495"/>
      <c r="J162" s="495"/>
      <c r="K162" s="458"/>
      <c r="L162" s="458"/>
      <c r="N162" s="183"/>
      <c r="O162" s="460"/>
      <c r="P162" s="460"/>
      <c r="Q162" s="460"/>
      <c r="R162" s="185"/>
      <c r="S162" s="185"/>
      <c r="T162" s="185"/>
      <c r="W162" s="185"/>
      <c r="X162" s="185"/>
    </row>
    <row r="163" spans="1:24" x14ac:dyDescent="0.25">
      <c r="A163" s="458"/>
      <c r="B163" s="458"/>
      <c r="C163" s="458"/>
      <c r="D163" s="458"/>
      <c r="E163" s="458"/>
      <c r="F163" s="458"/>
      <c r="G163" s="458"/>
      <c r="H163" s="458"/>
      <c r="I163" s="458"/>
      <c r="J163" s="458"/>
      <c r="K163" s="458"/>
      <c r="L163" s="458"/>
      <c r="N163" s="183"/>
      <c r="O163" s="460"/>
      <c r="P163" s="460"/>
      <c r="Q163" s="460"/>
      <c r="R163" s="185"/>
      <c r="S163" s="185"/>
      <c r="T163" s="185"/>
      <c r="W163" s="185"/>
      <c r="X163" s="185"/>
    </row>
    <row r="164" spans="1:24" x14ac:dyDescent="0.25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458"/>
      <c r="L164" s="458"/>
      <c r="N164" s="164"/>
      <c r="O164" s="186"/>
      <c r="P164" s="186"/>
      <c r="Q164" s="186"/>
      <c r="R164" s="185"/>
      <c r="S164" s="185"/>
      <c r="T164" s="185"/>
      <c r="W164" s="185"/>
      <c r="X164" s="185"/>
    </row>
    <row r="165" spans="1:24" x14ac:dyDescent="0.25">
      <c r="A165" s="499"/>
      <c r="B165" s="499"/>
      <c r="C165" s="499"/>
      <c r="D165" s="499"/>
      <c r="E165" s="499"/>
      <c r="F165" s="499"/>
      <c r="G165" s="499"/>
      <c r="H165" s="499"/>
      <c r="I165" s="499"/>
      <c r="J165" s="499"/>
      <c r="K165" s="458"/>
      <c r="L165" s="176"/>
      <c r="N165" s="183"/>
      <c r="O165" s="187"/>
      <c r="P165" s="186"/>
      <c r="Q165" s="186"/>
      <c r="R165" s="186"/>
      <c r="S165" s="186"/>
      <c r="T165" s="186"/>
      <c r="W165" s="186"/>
      <c r="X165" s="186"/>
    </row>
    <row r="166" spans="1:24" x14ac:dyDescent="0.25">
      <c r="A166" s="499" t="s">
        <v>282</v>
      </c>
      <c r="B166" s="499"/>
      <c r="C166" s="499"/>
      <c r="D166" s="499"/>
      <c r="E166" s="499"/>
      <c r="F166" s="499"/>
      <c r="G166" s="499"/>
      <c r="H166" s="499"/>
      <c r="I166" s="499"/>
      <c r="J166" s="499"/>
      <c r="K166" s="459" t="s">
        <v>177</v>
      </c>
      <c r="L166" s="189"/>
      <c r="N166" s="500" t="s">
        <v>178</v>
      </c>
      <c r="O166" s="500"/>
      <c r="P166" s="500"/>
      <c r="Q166" s="500"/>
      <c r="R166" s="501" t="s">
        <v>179</v>
      </c>
      <c r="S166" s="501"/>
      <c r="T166" s="501"/>
      <c r="U166" s="501"/>
    </row>
    <row r="167" spans="1:24" x14ac:dyDescent="0.25">
      <c r="A167" s="502" t="s">
        <v>283</v>
      </c>
      <c r="B167" s="502"/>
      <c r="C167" s="502"/>
      <c r="D167" s="502"/>
      <c r="E167" s="502"/>
      <c r="F167" s="502"/>
      <c r="G167" s="502"/>
      <c r="H167" s="502"/>
      <c r="I167" s="502"/>
      <c r="J167" s="502"/>
      <c r="K167" s="458" t="s">
        <v>181</v>
      </c>
      <c r="L167" s="176"/>
      <c r="N167" s="503" t="s">
        <v>182</v>
      </c>
      <c r="O167" s="503"/>
      <c r="P167" s="503"/>
      <c r="Q167" s="503"/>
      <c r="R167" s="504" t="s">
        <v>183</v>
      </c>
      <c r="S167" s="504"/>
      <c r="T167" s="504"/>
      <c r="U167" s="504"/>
    </row>
    <row r="168" spans="1:24" x14ac:dyDescent="0.25">
      <c r="A168" s="190"/>
      <c r="B168" s="190"/>
      <c r="C168" s="190"/>
      <c r="D168" s="495"/>
      <c r="E168" s="495"/>
      <c r="F168" s="495"/>
      <c r="G168" s="495"/>
      <c r="H168" s="495"/>
      <c r="I168" s="190"/>
      <c r="J168" s="190"/>
      <c r="K168" s="190"/>
      <c r="L168" s="190"/>
      <c r="M168" s="190"/>
      <c r="N168" s="190"/>
      <c r="O168" s="163"/>
      <c r="P168" s="163"/>
      <c r="Q168" s="191"/>
      <c r="R168" s="191"/>
      <c r="S168" s="191"/>
      <c r="T168" s="191"/>
      <c r="W168" s="191"/>
      <c r="X168" s="191"/>
    </row>
    <row r="169" spans="1:24" x14ac:dyDescent="0.25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63"/>
      <c r="P169" s="163"/>
      <c r="Q169" s="191"/>
      <c r="R169" s="191"/>
      <c r="S169" s="191"/>
      <c r="T169" s="191"/>
      <c r="W169" s="191"/>
      <c r="X169" s="191"/>
    </row>
    <row r="170" spans="1:24" x14ac:dyDescent="0.25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62"/>
      <c r="P170" s="162"/>
      <c r="Q170" s="191"/>
      <c r="R170" s="191"/>
      <c r="S170" s="191"/>
      <c r="T170" s="191"/>
      <c r="W170" s="191"/>
      <c r="X170" s="191"/>
    </row>
    <row r="171" spans="1:24" x14ac:dyDescent="0.25">
      <c r="A171" s="190"/>
      <c r="B171" s="190"/>
      <c r="C171" s="190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90"/>
      <c r="O171" s="163"/>
      <c r="P171" s="163"/>
      <c r="Q171" s="191"/>
      <c r="R171" s="191"/>
      <c r="S171" s="191"/>
      <c r="T171" s="191"/>
      <c r="W171" s="191"/>
      <c r="X171" s="191"/>
    </row>
    <row r="172" spans="1:24" x14ac:dyDescent="0.25">
      <c r="A172" s="190"/>
      <c r="B172" s="190"/>
      <c r="C172" s="190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0"/>
      <c r="O172" s="163"/>
      <c r="P172" s="163"/>
      <c r="Q172" s="191"/>
      <c r="R172" s="191"/>
      <c r="S172" s="191"/>
      <c r="T172" s="191"/>
      <c r="W172" s="191"/>
      <c r="X172" s="191"/>
    </row>
    <row r="173" spans="1:24" x14ac:dyDescent="0.25">
      <c r="A173" s="190"/>
      <c r="B173" s="190"/>
      <c r="C173" s="190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90"/>
      <c r="O173" s="163"/>
      <c r="P173" s="163"/>
      <c r="Q173" s="191"/>
      <c r="R173" s="191"/>
      <c r="S173" s="191"/>
      <c r="T173" s="191"/>
      <c r="U173" s="1"/>
      <c r="W173" s="191"/>
      <c r="X173" s="191"/>
    </row>
    <row r="174" spans="1:24" x14ac:dyDescent="0.25">
      <c r="A174" s="190"/>
      <c r="B174" s="190"/>
      <c r="C174" s="190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90"/>
      <c r="O174" s="162"/>
      <c r="P174" s="162"/>
      <c r="Q174" s="191"/>
      <c r="R174" s="191"/>
      <c r="S174" s="191"/>
      <c r="T174" s="191"/>
      <c r="U174" s="1"/>
      <c r="W174" s="191"/>
      <c r="X174" s="191"/>
    </row>
    <row r="175" spans="1:24" x14ac:dyDescent="0.25">
      <c r="A175" s="190"/>
      <c r="B175" s="190"/>
      <c r="C175" s="190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190"/>
      <c r="O175" s="163"/>
      <c r="P175" s="163"/>
      <c r="Q175" s="191"/>
      <c r="R175" s="191"/>
      <c r="S175" s="191"/>
      <c r="T175" s="191"/>
      <c r="U175" s="1"/>
      <c r="W175" s="191"/>
      <c r="X175" s="191"/>
    </row>
    <row r="176" spans="1:24" x14ac:dyDescent="0.25">
      <c r="A176" s="190"/>
      <c r="B176" s="190"/>
      <c r="C176" s="190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190"/>
      <c r="O176" s="163"/>
      <c r="P176" s="163"/>
      <c r="Q176" s="191"/>
      <c r="R176" s="191"/>
      <c r="S176" s="191"/>
      <c r="T176" s="191"/>
      <c r="U176" s="1"/>
      <c r="W176" s="191"/>
      <c r="X176" s="191"/>
    </row>
    <row r="177" spans="1:24" x14ac:dyDescent="0.25">
      <c r="A177" s="190"/>
      <c r="B177" s="190"/>
      <c r="C177" s="190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190"/>
      <c r="O177" s="162"/>
      <c r="P177" s="162"/>
      <c r="Q177" s="191"/>
      <c r="R177" s="191"/>
      <c r="S177" s="191"/>
      <c r="T177" s="191"/>
      <c r="U177" s="1"/>
      <c r="W177" s="191"/>
      <c r="X177" s="191"/>
    </row>
    <row r="178" spans="1:24" x14ac:dyDescent="0.25">
      <c r="A178" s="190"/>
      <c r="B178" s="190"/>
      <c r="C178" s="190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90"/>
      <c r="O178" s="172"/>
      <c r="P178" s="172"/>
      <c r="Q178" s="191"/>
      <c r="R178" s="191"/>
      <c r="S178" s="191"/>
      <c r="T178" s="191"/>
      <c r="U178" s="1"/>
      <c r="W178" s="191"/>
      <c r="X178" s="191"/>
    </row>
    <row r="179" spans="1:24" x14ac:dyDescent="0.25">
      <c r="A179" s="193"/>
      <c r="B179" s="193"/>
      <c r="C179" s="193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O179" s="194"/>
      <c r="P179" s="194"/>
      <c r="Q179" s="195"/>
      <c r="R179" s="195"/>
      <c r="S179" s="195"/>
      <c r="T179" s="195"/>
      <c r="U179" s="1"/>
      <c r="W179" s="195"/>
      <c r="X179" s="195"/>
    </row>
    <row r="180" spans="1:24" x14ac:dyDescent="0.25"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O180" s="458"/>
      <c r="P180" s="458"/>
      <c r="Q180" s="195"/>
      <c r="R180" s="195"/>
      <c r="S180" s="195"/>
      <c r="T180" s="195"/>
      <c r="U180" s="1"/>
      <c r="W180" s="195"/>
      <c r="X180" s="195"/>
    </row>
    <row r="181" spans="1:24" x14ac:dyDescent="0.25">
      <c r="O181" s="458"/>
      <c r="P181" s="458"/>
      <c r="Q181" s="195"/>
      <c r="R181" s="195"/>
      <c r="S181" s="195"/>
      <c r="T181" s="195"/>
      <c r="U181" s="1"/>
      <c r="W181" s="195"/>
      <c r="X181" s="195"/>
    </row>
    <row r="182" spans="1:24" x14ac:dyDescent="0.25">
      <c r="O182" s="458"/>
      <c r="P182" s="458"/>
      <c r="Q182" s="195"/>
      <c r="R182" s="195"/>
      <c r="S182" s="195"/>
      <c r="T182" s="195"/>
      <c r="U182" s="1"/>
      <c r="W182" s="195"/>
      <c r="X182" s="195"/>
    </row>
    <row r="183" spans="1:24" x14ac:dyDescent="0.25">
      <c r="O183" s="458"/>
      <c r="P183" s="458"/>
      <c r="Q183" s="195"/>
      <c r="R183" s="195"/>
      <c r="S183" s="195"/>
      <c r="T183" s="195"/>
      <c r="U183" s="1"/>
      <c r="W183" s="195"/>
      <c r="X183" s="195"/>
    </row>
    <row r="184" spans="1:24" x14ac:dyDescent="0.25">
      <c r="O184" s="458"/>
      <c r="P184" s="458"/>
      <c r="Q184" s="195"/>
      <c r="R184" s="195"/>
      <c r="S184" s="195"/>
      <c r="T184" s="195"/>
      <c r="U184" s="1"/>
      <c r="W184" s="195"/>
      <c r="X184" s="195"/>
    </row>
    <row r="185" spans="1:24" x14ac:dyDescent="0.25">
      <c r="O185" s="458"/>
      <c r="P185" s="458"/>
      <c r="Q185" s="195"/>
      <c r="R185" s="195"/>
      <c r="S185" s="195"/>
      <c r="T185" s="195"/>
      <c r="U185" s="1"/>
      <c r="W185" s="195"/>
      <c r="X185" s="195"/>
    </row>
    <row r="186" spans="1:24" x14ac:dyDescent="0.25">
      <c r="O186" s="459"/>
      <c r="P186" s="459"/>
      <c r="Q186" s="195"/>
      <c r="R186" s="195"/>
      <c r="S186" s="195"/>
      <c r="T186" s="195"/>
      <c r="U186" s="1"/>
      <c r="W186" s="195"/>
      <c r="X186" s="195"/>
    </row>
    <row r="187" spans="1:24" x14ac:dyDescent="0.25">
      <c r="O187" s="458"/>
      <c r="P187" s="458"/>
      <c r="Q187" s="195"/>
      <c r="R187" s="195"/>
      <c r="S187" s="195"/>
      <c r="T187" s="195"/>
      <c r="U187" s="1"/>
      <c r="W187" s="195"/>
      <c r="X187" s="195"/>
    </row>
    <row r="188" spans="1:24" x14ac:dyDescent="0.25">
      <c r="O188" s="190"/>
      <c r="P188" s="190"/>
      <c r="Q188" s="195"/>
      <c r="R188" s="195"/>
      <c r="S188" s="195"/>
      <c r="T188" s="195"/>
      <c r="U188" s="1"/>
      <c r="W188" s="195"/>
      <c r="X188" s="195"/>
    </row>
    <row r="189" spans="1:24" x14ac:dyDescent="0.25">
      <c r="O189" s="190"/>
      <c r="P189" s="190"/>
      <c r="Q189" s="195"/>
      <c r="R189" s="195"/>
      <c r="S189" s="195"/>
      <c r="T189" s="195"/>
      <c r="U189" s="1"/>
      <c r="W189" s="195"/>
      <c r="X189" s="195"/>
    </row>
    <row r="190" spans="1:24" x14ac:dyDescent="0.25">
      <c r="O190" s="190"/>
      <c r="P190" s="190"/>
      <c r="Q190" s="195"/>
      <c r="R190" s="195"/>
      <c r="S190" s="195"/>
      <c r="T190" s="195"/>
      <c r="U190" s="1"/>
      <c r="W190" s="195"/>
      <c r="X190" s="195"/>
    </row>
    <row r="191" spans="1:24" x14ac:dyDescent="0.25">
      <c r="O191" s="190"/>
      <c r="P191" s="190"/>
      <c r="Q191" s="195"/>
      <c r="R191" s="195"/>
      <c r="S191" s="195"/>
      <c r="T191" s="195"/>
      <c r="U191" s="1"/>
      <c r="W191" s="195"/>
      <c r="X191" s="195"/>
    </row>
    <row r="192" spans="1:24" x14ac:dyDescent="0.25">
      <c r="O192" s="190"/>
      <c r="P192" s="190"/>
      <c r="Q192" s="195"/>
      <c r="R192" s="195"/>
      <c r="S192" s="195"/>
      <c r="T192" s="195"/>
      <c r="U192" s="1"/>
      <c r="W192" s="195"/>
      <c r="X192" s="195"/>
    </row>
    <row r="193" spans="15:24" x14ac:dyDescent="0.25">
      <c r="O193" s="190"/>
      <c r="P193" s="190"/>
      <c r="Q193" s="195"/>
      <c r="R193" s="195"/>
      <c r="S193" s="195"/>
      <c r="T193" s="195"/>
      <c r="U193" s="1"/>
      <c r="W193" s="195"/>
      <c r="X193" s="195"/>
    </row>
    <row r="194" spans="15:24" x14ac:dyDescent="0.25">
      <c r="O194" s="190"/>
      <c r="P194" s="190"/>
      <c r="Q194" s="195"/>
      <c r="R194" s="195"/>
      <c r="S194" s="195"/>
      <c r="T194" s="195"/>
      <c r="U194" s="1"/>
      <c r="W194" s="195"/>
      <c r="X194" s="195"/>
    </row>
    <row r="195" spans="15:24" x14ac:dyDescent="0.25">
      <c r="O195" s="190"/>
      <c r="P195" s="190"/>
      <c r="Q195" s="195"/>
      <c r="R195" s="195"/>
      <c r="S195" s="195"/>
      <c r="T195" s="195"/>
      <c r="U195" s="1"/>
      <c r="W195" s="195"/>
      <c r="X195" s="195"/>
    </row>
    <row r="196" spans="15:24" x14ac:dyDescent="0.25">
      <c r="O196" s="190"/>
      <c r="P196" s="190"/>
      <c r="Q196" s="195"/>
      <c r="R196" s="195"/>
      <c r="S196" s="195"/>
      <c r="T196" s="195"/>
      <c r="U196" s="1"/>
      <c r="W196" s="195"/>
      <c r="X196" s="195"/>
    </row>
    <row r="197" spans="15:24" x14ac:dyDescent="0.25">
      <c r="O197" s="190"/>
      <c r="P197" s="190"/>
      <c r="Q197" s="195"/>
      <c r="R197" s="195"/>
      <c r="S197" s="195"/>
      <c r="T197" s="195"/>
      <c r="U197" s="1"/>
      <c r="W197" s="195"/>
      <c r="X197" s="195"/>
    </row>
    <row r="198" spans="15:24" x14ac:dyDescent="0.25">
      <c r="O198" s="190"/>
      <c r="P198" s="190"/>
      <c r="Q198" s="195"/>
      <c r="R198" s="195"/>
      <c r="S198" s="195"/>
      <c r="T198" s="195"/>
      <c r="U198" s="1"/>
      <c r="W198" s="195"/>
      <c r="X198" s="195"/>
    </row>
    <row r="199" spans="15:24" x14ac:dyDescent="0.25">
      <c r="O199" s="190"/>
      <c r="P199" s="190"/>
      <c r="Q199" s="195"/>
      <c r="R199" s="195"/>
      <c r="S199" s="195"/>
      <c r="T199" s="195"/>
      <c r="U199" s="1"/>
      <c r="W199" s="195"/>
      <c r="X199" s="195"/>
    </row>
    <row r="200" spans="15:24" x14ac:dyDescent="0.25">
      <c r="Q200" s="195"/>
      <c r="R200" s="195"/>
      <c r="S200" s="195"/>
      <c r="T200" s="195"/>
      <c r="U200" s="1"/>
      <c r="W200" s="195"/>
      <c r="X200" s="195"/>
    </row>
    <row r="201" spans="15:24" x14ac:dyDescent="0.25">
      <c r="Q201" s="195"/>
      <c r="R201" s="195"/>
      <c r="S201" s="195"/>
      <c r="T201" s="195"/>
      <c r="U201" s="1"/>
      <c r="W201" s="195"/>
      <c r="X201" s="195"/>
    </row>
    <row r="202" spans="15:24" x14ac:dyDescent="0.25">
      <c r="Q202" s="195"/>
      <c r="R202" s="195"/>
      <c r="S202" s="195"/>
      <c r="T202" s="195"/>
      <c r="U202" s="1"/>
      <c r="W202" s="195"/>
      <c r="X202" s="195"/>
    </row>
    <row r="203" spans="15:24" x14ac:dyDescent="0.25">
      <c r="Q203" s="195"/>
      <c r="R203" s="195"/>
      <c r="S203" s="195"/>
      <c r="T203" s="195"/>
      <c r="U203" s="1"/>
      <c r="W203" s="195"/>
      <c r="X203" s="195"/>
    </row>
    <row r="204" spans="15:24" x14ac:dyDescent="0.25">
      <c r="Q204" s="195"/>
      <c r="R204" s="195"/>
      <c r="S204" s="195"/>
      <c r="T204" s="195"/>
      <c r="U204" s="1"/>
      <c r="W204" s="195"/>
      <c r="X204" s="195"/>
    </row>
    <row r="205" spans="15:24" x14ac:dyDescent="0.25">
      <c r="Q205" s="195"/>
      <c r="R205" s="195"/>
      <c r="S205" s="195"/>
      <c r="T205" s="195"/>
      <c r="U205" s="1"/>
      <c r="W205" s="195"/>
      <c r="X205" s="195"/>
    </row>
    <row r="206" spans="15:24" x14ac:dyDescent="0.25">
      <c r="Q206" s="195"/>
      <c r="R206" s="195"/>
      <c r="S206" s="195"/>
      <c r="T206" s="195"/>
      <c r="U206" s="1"/>
      <c r="W206" s="195"/>
      <c r="X206" s="195"/>
    </row>
    <row r="207" spans="15:24" x14ac:dyDescent="0.25">
      <c r="Q207" s="195"/>
      <c r="R207" s="195"/>
      <c r="S207" s="195"/>
      <c r="T207" s="195"/>
      <c r="U207" s="1"/>
      <c r="W207" s="195"/>
      <c r="X207" s="195"/>
    </row>
    <row r="208" spans="15:24" x14ac:dyDescent="0.25">
      <c r="Q208" s="195"/>
      <c r="R208" s="195"/>
      <c r="S208" s="195"/>
      <c r="T208" s="195"/>
      <c r="U208" s="1"/>
      <c r="W208" s="195"/>
      <c r="X208" s="195"/>
    </row>
    <row r="209" spans="17:24" x14ac:dyDescent="0.25">
      <c r="Q209" s="195"/>
      <c r="R209" s="195"/>
      <c r="S209" s="195"/>
      <c r="T209" s="195"/>
      <c r="U209" s="1"/>
      <c r="W209" s="195"/>
      <c r="X209" s="195"/>
    </row>
    <row r="210" spans="17:24" x14ac:dyDescent="0.25">
      <c r="Q210" s="195"/>
      <c r="R210" s="195"/>
      <c r="S210" s="195"/>
      <c r="T210" s="195"/>
      <c r="U210" s="1"/>
      <c r="W210" s="195"/>
      <c r="X210" s="195"/>
    </row>
    <row r="211" spans="17:24" x14ac:dyDescent="0.25">
      <c r="Q211" s="195"/>
      <c r="R211" s="195"/>
      <c r="S211" s="195"/>
      <c r="T211" s="195"/>
      <c r="U211" s="1"/>
      <c r="W211" s="195"/>
      <c r="X211" s="195"/>
    </row>
    <row r="212" spans="17:24" x14ac:dyDescent="0.25">
      <c r="Q212" s="195"/>
      <c r="R212" s="195"/>
      <c r="S212" s="195"/>
      <c r="T212" s="195"/>
      <c r="U212" s="1"/>
      <c r="W212" s="195"/>
      <c r="X212" s="195"/>
    </row>
    <row r="213" spans="17:24" x14ac:dyDescent="0.25">
      <c r="Q213" s="195"/>
      <c r="R213" s="195"/>
      <c r="S213" s="195"/>
      <c r="T213" s="195"/>
      <c r="U213" s="1"/>
      <c r="W213" s="195"/>
      <c r="X213" s="195"/>
    </row>
    <row r="214" spans="17:24" x14ac:dyDescent="0.25">
      <c r="Q214" s="195"/>
      <c r="R214" s="195"/>
      <c r="S214" s="195"/>
      <c r="T214" s="195"/>
      <c r="U214" s="1"/>
      <c r="W214" s="195"/>
      <c r="X214" s="195"/>
    </row>
    <row r="215" spans="17:24" x14ac:dyDescent="0.25">
      <c r="Q215" s="195"/>
      <c r="R215" s="195"/>
      <c r="S215" s="195"/>
      <c r="T215" s="195"/>
      <c r="U215" s="1"/>
      <c r="W215" s="195"/>
      <c r="X215" s="195"/>
    </row>
    <row r="216" spans="17:24" x14ac:dyDescent="0.25">
      <c r="Q216" s="195"/>
      <c r="R216" s="195"/>
      <c r="S216" s="195"/>
      <c r="T216" s="195"/>
      <c r="U216" s="1"/>
      <c r="W216" s="195"/>
      <c r="X216" s="195"/>
    </row>
    <row r="217" spans="17:24" x14ac:dyDescent="0.25">
      <c r="Q217" s="195"/>
      <c r="R217" s="195"/>
      <c r="S217" s="195"/>
      <c r="T217" s="195"/>
      <c r="U217" s="1"/>
      <c r="W217" s="195"/>
      <c r="X217" s="195"/>
    </row>
    <row r="218" spans="17:24" x14ac:dyDescent="0.25">
      <c r="Q218" s="195"/>
      <c r="R218" s="195"/>
      <c r="S218" s="195"/>
      <c r="T218" s="195"/>
      <c r="U218" s="1"/>
      <c r="W218" s="195"/>
      <c r="X218" s="195"/>
    </row>
    <row r="219" spans="17:24" x14ac:dyDescent="0.25">
      <c r="Q219" s="195"/>
      <c r="R219" s="195"/>
      <c r="S219" s="195"/>
      <c r="T219" s="195"/>
      <c r="U219" s="1"/>
      <c r="W219" s="195"/>
      <c r="X219" s="195"/>
    </row>
    <row r="220" spans="17:24" x14ac:dyDescent="0.25">
      <c r="Q220" s="195"/>
      <c r="R220" s="195"/>
      <c r="S220" s="195"/>
      <c r="T220" s="195"/>
      <c r="U220" s="1"/>
      <c r="W220" s="195"/>
      <c r="X220" s="195"/>
    </row>
    <row r="221" spans="17:24" x14ac:dyDescent="0.25">
      <c r="Q221" s="195"/>
      <c r="R221" s="195"/>
      <c r="S221" s="195"/>
      <c r="T221" s="195"/>
      <c r="U221" s="1"/>
      <c r="W221" s="195"/>
      <c r="X221" s="195"/>
    </row>
    <row r="222" spans="17:24" x14ac:dyDescent="0.25">
      <c r="Q222" s="195"/>
      <c r="R222" s="195"/>
      <c r="S222" s="195"/>
      <c r="T222" s="195"/>
      <c r="U222" s="1"/>
      <c r="W222" s="195"/>
      <c r="X222" s="195"/>
    </row>
    <row r="223" spans="17:24" x14ac:dyDescent="0.25">
      <c r="Q223" s="195"/>
      <c r="R223" s="195"/>
      <c r="S223" s="195"/>
      <c r="T223" s="195"/>
      <c r="U223" s="1"/>
      <c r="W223" s="195"/>
      <c r="X223" s="195"/>
    </row>
    <row r="224" spans="17:24" x14ac:dyDescent="0.25">
      <c r="Q224" s="195"/>
      <c r="R224" s="195"/>
      <c r="S224" s="195"/>
      <c r="T224" s="195"/>
      <c r="U224" s="1"/>
      <c r="W224" s="195"/>
      <c r="X224" s="195"/>
    </row>
    <row r="225" spans="17:24" x14ac:dyDescent="0.25">
      <c r="Q225" s="195"/>
      <c r="R225" s="195"/>
      <c r="S225" s="195"/>
      <c r="T225" s="195"/>
      <c r="U225" s="1"/>
      <c r="W225" s="195"/>
      <c r="X225" s="195"/>
    </row>
    <row r="226" spans="17:24" x14ac:dyDescent="0.25">
      <c r="Q226" s="195"/>
      <c r="R226" s="195"/>
      <c r="S226" s="195"/>
      <c r="T226" s="195"/>
      <c r="U226" s="1"/>
      <c r="W226" s="195"/>
      <c r="X226" s="195"/>
    </row>
    <row r="227" spans="17:24" x14ac:dyDescent="0.25">
      <c r="Q227" s="195"/>
      <c r="R227" s="195"/>
      <c r="S227" s="195"/>
      <c r="T227" s="195"/>
      <c r="U227" s="1"/>
      <c r="W227" s="195"/>
      <c r="X227" s="195"/>
    </row>
    <row r="228" spans="17:24" x14ac:dyDescent="0.25">
      <c r="Q228" s="195"/>
      <c r="R228" s="195"/>
      <c r="S228" s="195"/>
      <c r="T228" s="195"/>
      <c r="U228" s="1"/>
      <c r="W228" s="195"/>
      <c r="X228" s="195"/>
    </row>
    <row r="229" spans="17:24" x14ac:dyDescent="0.25">
      <c r="Q229" s="195"/>
      <c r="R229" s="195"/>
      <c r="S229" s="195"/>
      <c r="T229" s="195"/>
      <c r="U229" s="1"/>
      <c r="W229" s="195"/>
      <c r="X229" s="195"/>
    </row>
    <row r="230" spans="17:24" x14ac:dyDescent="0.25">
      <c r="Q230" s="195"/>
      <c r="R230" s="195"/>
      <c r="S230" s="195"/>
      <c r="T230" s="195"/>
      <c r="U230" s="1"/>
      <c r="W230" s="195"/>
      <c r="X230" s="195"/>
    </row>
    <row r="231" spans="17:24" x14ac:dyDescent="0.25">
      <c r="Q231" s="195"/>
      <c r="R231" s="195"/>
      <c r="S231" s="195"/>
      <c r="T231" s="195"/>
      <c r="U231" s="1"/>
      <c r="W231" s="195"/>
      <c r="X231" s="195"/>
    </row>
    <row r="232" spans="17:24" x14ac:dyDescent="0.25">
      <c r="Q232" s="195"/>
      <c r="R232" s="195"/>
      <c r="S232" s="195"/>
      <c r="T232" s="195"/>
      <c r="U232" s="1"/>
      <c r="W232" s="195"/>
      <c r="X232" s="195"/>
    </row>
    <row r="233" spans="17:24" x14ac:dyDescent="0.25">
      <c r="Q233" s="195"/>
      <c r="R233" s="195"/>
      <c r="S233" s="195"/>
      <c r="T233" s="195"/>
      <c r="U233" s="1"/>
      <c r="W233" s="195"/>
      <c r="X233" s="195"/>
    </row>
    <row r="234" spans="17:24" x14ac:dyDescent="0.25">
      <c r="Q234" s="195"/>
      <c r="R234" s="195"/>
      <c r="S234" s="195"/>
      <c r="T234" s="195"/>
      <c r="U234" s="1"/>
      <c r="W234" s="195"/>
      <c r="X234" s="195"/>
    </row>
    <row r="235" spans="17:24" x14ac:dyDescent="0.25">
      <c r="Q235" s="195"/>
      <c r="R235" s="195"/>
      <c r="S235" s="195"/>
      <c r="T235" s="195"/>
      <c r="U235" s="1"/>
      <c r="W235" s="195"/>
      <c r="X235" s="195"/>
    </row>
    <row r="236" spans="17:24" x14ac:dyDescent="0.25">
      <c r="Q236" s="195"/>
      <c r="R236" s="195"/>
      <c r="S236" s="195"/>
      <c r="T236" s="195"/>
      <c r="U236" s="1"/>
      <c r="W236" s="195"/>
      <c r="X236" s="195"/>
    </row>
    <row r="237" spans="17:24" x14ac:dyDescent="0.25">
      <c r="Q237" s="195"/>
      <c r="R237" s="195"/>
      <c r="S237" s="195"/>
      <c r="T237" s="195"/>
      <c r="U237" s="1"/>
      <c r="W237" s="195"/>
      <c r="X237" s="195"/>
    </row>
    <row r="238" spans="17:24" x14ac:dyDescent="0.25">
      <c r="Q238" s="195"/>
      <c r="R238" s="195"/>
      <c r="S238" s="195"/>
      <c r="T238" s="195"/>
      <c r="U238" s="1"/>
      <c r="W238" s="195"/>
      <c r="X238" s="195"/>
    </row>
    <row r="239" spans="17:24" x14ac:dyDescent="0.25">
      <c r="Q239" s="195"/>
      <c r="R239" s="195"/>
      <c r="S239" s="195"/>
      <c r="T239" s="195"/>
      <c r="U239" s="1"/>
      <c r="W239" s="195"/>
      <c r="X239" s="195"/>
    </row>
    <row r="240" spans="17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  <row r="1672" spans="17:24" x14ac:dyDescent="0.25">
      <c r="Q1672" s="195"/>
      <c r="R1672" s="195"/>
      <c r="S1672" s="195"/>
      <c r="T1672" s="195"/>
      <c r="U1672" s="1"/>
      <c r="W1672" s="195"/>
      <c r="X1672" s="195"/>
    </row>
    <row r="1673" spans="17:24" x14ac:dyDescent="0.25">
      <c r="Q1673" s="195"/>
      <c r="R1673" s="195"/>
      <c r="S1673" s="195"/>
      <c r="T1673" s="195"/>
      <c r="U1673" s="1"/>
      <c r="W1673" s="195"/>
      <c r="X1673" s="195"/>
    </row>
    <row r="1674" spans="17:24" x14ac:dyDescent="0.25">
      <c r="Q1674" s="195"/>
      <c r="R1674" s="195"/>
      <c r="S1674" s="195"/>
      <c r="T1674" s="195"/>
      <c r="U1674" s="1"/>
      <c r="W1674" s="195"/>
      <c r="X1674" s="195"/>
    </row>
    <row r="1675" spans="17:24" x14ac:dyDescent="0.25">
      <c r="Q1675" s="195"/>
      <c r="R1675" s="195"/>
      <c r="S1675" s="195"/>
      <c r="T1675" s="195"/>
      <c r="U1675" s="1"/>
      <c r="W1675" s="195"/>
      <c r="X1675" s="195"/>
    </row>
    <row r="1676" spans="17:24" x14ac:dyDescent="0.25">
      <c r="Q1676" s="195"/>
      <c r="R1676" s="195"/>
      <c r="S1676" s="195"/>
      <c r="T1676" s="195"/>
      <c r="U1676" s="1"/>
      <c r="W1676" s="195"/>
      <c r="X1676" s="195"/>
    </row>
    <row r="1677" spans="17:24" x14ac:dyDescent="0.25">
      <c r="Q1677" s="195"/>
      <c r="R1677" s="195"/>
      <c r="S1677" s="195"/>
      <c r="T1677" s="195"/>
      <c r="U1677" s="1"/>
      <c r="W1677" s="195"/>
      <c r="X1677" s="195"/>
    </row>
    <row r="1678" spans="17:24" x14ac:dyDescent="0.25">
      <c r="Q1678" s="195"/>
      <c r="R1678" s="195"/>
      <c r="S1678" s="195"/>
      <c r="T1678" s="195"/>
      <c r="U1678" s="1"/>
      <c r="W1678" s="195"/>
      <c r="X1678" s="195"/>
    </row>
    <row r="1679" spans="17:24" x14ac:dyDescent="0.25">
      <c r="Q1679" s="195"/>
      <c r="R1679" s="195"/>
      <c r="S1679" s="195"/>
      <c r="T1679" s="195"/>
      <c r="U1679" s="1"/>
      <c r="W1679" s="195"/>
      <c r="X1679" s="195"/>
    </row>
    <row r="1680" spans="17:24" x14ac:dyDescent="0.25">
      <c r="Q1680" s="195"/>
      <c r="R1680" s="195"/>
      <c r="S1680" s="195"/>
      <c r="T1680" s="195"/>
      <c r="U1680" s="1"/>
      <c r="W1680" s="195"/>
      <c r="X1680" s="195"/>
    </row>
    <row r="1681" spans="17:24" x14ac:dyDescent="0.25">
      <c r="Q1681" s="195"/>
      <c r="R1681" s="195"/>
      <c r="S1681" s="195"/>
      <c r="T1681" s="195"/>
      <c r="U1681" s="1"/>
      <c r="W1681" s="195"/>
      <c r="X1681" s="195"/>
    </row>
    <row r="1682" spans="17:24" x14ac:dyDescent="0.25">
      <c r="Q1682" s="195"/>
      <c r="R1682" s="195"/>
      <c r="S1682" s="195"/>
      <c r="T1682" s="195"/>
      <c r="U1682" s="1"/>
      <c r="W1682" s="195"/>
      <c r="X1682" s="195"/>
    </row>
    <row r="1683" spans="17:24" x14ac:dyDescent="0.25">
      <c r="Q1683" s="195"/>
      <c r="R1683" s="195"/>
      <c r="S1683" s="195"/>
      <c r="T1683" s="195"/>
      <c r="U1683" s="1"/>
      <c r="W1683" s="195"/>
      <c r="X1683" s="195"/>
    </row>
    <row r="1684" spans="17:24" x14ac:dyDescent="0.25">
      <c r="Q1684" s="195"/>
      <c r="R1684" s="195"/>
      <c r="S1684" s="195"/>
      <c r="T1684" s="195"/>
      <c r="U1684" s="1"/>
      <c r="W1684" s="195"/>
      <c r="X1684" s="195"/>
    </row>
    <row r="1685" spans="17:24" x14ac:dyDescent="0.25">
      <c r="Q1685" s="195"/>
      <c r="R1685" s="195"/>
      <c r="S1685" s="195"/>
      <c r="T1685" s="195"/>
      <c r="U1685" s="1"/>
      <c r="W1685" s="195"/>
      <c r="X1685" s="195"/>
    </row>
    <row r="1686" spans="17:24" x14ac:dyDescent="0.25">
      <c r="Q1686" s="195"/>
      <c r="R1686" s="195"/>
      <c r="S1686" s="195"/>
      <c r="T1686" s="195"/>
      <c r="U1686" s="1"/>
      <c r="W1686" s="195"/>
      <c r="X1686" s="195"/>
    </row>
    <row r="1687" spans="17:24" x14ac:dyDescent="0.25">
      <c r="Q1687" s="195"/>
      <c r="R1687" s="195"/>
      <c r="S1687" s="195"/>
      <c r="T1687" s="195"/>
      <c r="U1687" s="1"/>
      <c r="W1687" s="195"/>
      <c r="X1687" s="195"/>
    </row>
    <row r="1688" spans="17:24" x14ac:dyDescent="0.25">
      <c r="Q1688" s="195"/>
      <c r="R1688" s="195"/>
      <c r="S1688" s="195"/>
      <c r="T1688" s="195"/>
      <c r="U1688" s="1"/>
      <c r="W1688" s="195"/>
      <c r="X1688" s="195"/>
    </row>
    <row r="1689" spans="17:24" x14ac:dyDescent="0.25">
      <c r="Q1689" s="195"/>
      <c r="R1689" s="195"/>
      <c r="S1689" s="195"/>
      <c r="T1689" s="195"/>
      <c r="U1689" s="1"/>
      <c r="W1689" s="195"/>
      <c r="X1689" s="195"/>
    </row>
    <row r="1690" spans="17:24" x14ac:dyDescent="0.25">
      <c r="Q1690" s="195"/>
      <c r="R1690" s="195"/>
      <c r="S1690" s="195"/>
      <c r="T1690" s="195"/>
      <c r="U1690" s="1"/>
      <c r="W1690" s="195"/>
      <c r="X1690" s="195"/>
    </row>
    <row r="1691" spans="17:24" x14ac:dyDescent="0.25">
      <c r="Q1691" s="195"/>
      <c r="R1691" s="195"/>
      <c r="S1691" s="195"/>
      <c r="T1691" s="195"/>
      <c r="U1691" s="1"/>
      <c r="W1691" s="195"/>
      <c r="X1691" s="195"/>
    </row>
    <row r="1692" spans="17:24" x14ac:dyDescent="0.25">
      <c r="Q1692" s="195"/>
      <c r="R1692" s="195"/>
      <c r="S1692" s="195"/>
      <c r="T1692" s="195"/>
      <c r="U1692" s="1"/>
      <c r="W1692" s="195"/>
      <c r="X1692" s="195"/>
    </row>
    <row r="1693" spans="17:24" x14ac:dyDescent="0.25">
      <c r="Q1693" s="195"/>
      <c r="R1693" s="195"/>
      <c r="S1693" s="195"/>
      <c r="T1693" s="195"/>
      <c r="U1693" s="1"/>
      <c r="W1693" s="195"/>
      <c r="X1693" s="195"/>
    </row>
    <row r="1694" spans="17:24" x14ac:dyDescent="0.25">
      <c r="Q1694" s="195"/>
      <c r="R1694" s="195"/>
      <c r="S1694" s="195"/>
      <c r="T1694" s="195"/>
      <c r="U1694" s="1"/>
      <c r="W1694" s="195"/>
      <c r="X1694" s="195"/>
    </row>
    <row r="1695" spans="17:24" x14ac:dyDescent="0.25">
      <c r="Q1695" s="195"/>
      <c r="R1695" s="195"/>
      <c r="S1695" s="195"/>
      <c r="T1695" s="195"/>
      <c r="U1695" s="1"/>
      <c r="W1695" s="195"/>
      <c r="X1695" s="195"/>
    </row>
  </sheetData>
  <mergeCells count="52">
    <mergeCell ref="A167:J167"/>
    <mergeCell ref="N167:Q167"/>
    <mergeCell ref="R167:U167"/>
    <mergeCell ref="D168:H168"/>
    <mergeCell ref="A161:J161"/>
    <mergeCell ref="N161:Q161"/>
    <mergeCell ref="R161:U161"/>
    <mergeCell ref="A162:J162"/>
    <mergeCell ref="A165:J165"/>
    <mergeCell ref="A166:J166"/>
    <mergeCell ref="N166:Q166"/>
    <mergeCell ref="R166:U166"/>
    <mergeCell ref="A159:J159"/>
    <mergeCell ref="K159:L159"/>
    <mergeCell ref="R159:T159"/>
    <mergeCell ref="A160:J160"/>
    <mergeCell ref="N160:Q160"/>
    <mergeCell ref="R160:U160"/>
    <mergeCell ref="A158:J158"/>
    <mergeCell ref="B50:F50"/>
    <mergeCell ref="B52:F52"/>
    <mergeCell ref="B60:F60"/>
    <mergeCell ref="B72:F72"/>
    <mergeCell ref="B84:F84"/>
    <mergeCell ref="B86:F86"/>
    <mergeCell ref="B106:F106"/>
    <mergeCell ref="B108:F108"/>
    <mergeCell ref="B114:F114"/>
    <mergeCell ref="B116:F116"/>
    <mergeCell ref="B133:G133"/>
    <mergeCell ref="B48:F48"/>
    <mergeCell ref="U7:U8"/>
    <mergeCell ref="V7:V8"/>
    <mergeCell ref="A9:I9"/>
    <mergeCell ref="J9:K9"/>
    <mergeCell ref="B18:F18"/>
    <mergeCell ref="B20:F20"/>
    <mergeCell ref="B28:G28"/>
    <mergeCell ref="B36:F36"/>
    <mergeCell ref="B38:F38"/>
    <mergeCell ref="B40:F40"/>
    <mergeCell ref="B46:F46"/>
    <mergeCell ref="A3:U3"/>
    <mergeCell ref="A4:U4"/>
    <mergeCell ref="A5:U5"/>
    <mergeCell ref="A7:I8"/>
    <mergeCell ref="J7:K8"/>
    <mergeCell ref="L7:L8"/>
    <mergeCell ref="M7:M8"/>
    <mergeCell ref="N7:N8"/>
    <mergeCell ref="O7:P7"/>
    <mergeCell ref="Q7:S7"/>
  </mergeCells>
  <pageMargins left="0.7" right="0.7" top="0.75" bottom="0.75" header="0.3" footer="0.3"/>
  <pageSetup paperSize="5" scale="67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95"/>
  <sheetViews>
    <sheetView topLeftCell="A134" zoomScale="70" zoomScaleNormal="70" workbookViewId="0">
      <selection activeCell="A89" sqref="A89:XFD103"/>
    </sheetView>
  </sheetViews>
  <sheetFormatPr defaultRowHeight="15.75" x14ac:dyDescent="0.25"/>
  <cols>
    <col min="1" max="1" width="3.140625" style="1" customWidth="1"/>
    <col min="2" max="2" width="3.7109375" style="1" customWidth="1"/>
    <col min="3" max="3" width="2" style="1" customWidth="1"/>
    <col min="4" max="5" width="8.7109375" style="1" customWidth="1"/>
    <col min="6" max="6" width="8.5703125" style="1" customWidth="1"/>
    <col min="7" max="7" width="8.5703125" style="1" hidden="1" customWidth="1"/>
    <col min="8" max="8" width="0.140625" style="1" hidden="1" customWidth="1"/>
    <col min="9" max="9" width="6.5703125" style="1" customWidth="1"/>
    <col min="10" max="10" width="7" style="1" hidden="1" customWidth="1"/>
    <col min="11" max="11" width="81.140625" style="1" customWidth="1"/>
    <col min="12" max="12" width="16.140625" style="1" hidden="1" customWidth="1"/>
    <col min="13" max="13" width="20.42578125" style="1" hidden="1" customWidth="1"/>
    <col min="14" max="14" width="23.42578125" style="1" customWidth="1"/>
    <col min="15" max="15" width="14.140625" style="1" hidden="1" customWidth="1"/>
    <col min="16" max="16" width="14.5703125" style="1" hidden="1" customWidth="1"/>
    <col min="17" max="17" width="19.7109375" style="1" customWidth="1"/>
    <col min="18" max="18" width="18.42578125" style="196" customWidth="1"/>
    <col min="19" max="19" width="20" style="1" customWidth="1"/>
    <col min="20" max="20" width="14.42578125" style="1" customWidth="1"/>
    <col min="21" max="21" width="18.5703125" style="4" customWidth="1"/>
    <col min="22" max="22" width="18.140625" style="1" hidden="1" customWidth="1"/>
    <col min="23" max="24" width="13.85546875" style="1" hidden="1" customWidth="1"/>
    <col min="25" max="31" width="9.140625" style="1"/>
    <col min="32" max="32" width="13" style="1" bestFit="1" customWidth="1"/>
    <col min="33" max="16384" width="9.140625" style="1"/>
  </cols>
  <sheetData>
    <row r="1" spans="1:26" x14ac:dyDescent="0.25">
      <c r="L1" s="2"/>
      <c r="M1" s="2"/>
      <c r="N1" s="2"/>
      <c r="O1" s="2"/>
      <c r="P1" s="2"/>
      <c r="Q1" s="2"/>
      <c r="R1" s="3"/>
      <c r="S1" s="2"/>
      <c r="T1" s="2"/>
      <c r="W1" s="2"/>
      <c r="X1" s="2"/>
    </row>
    <row r="2" spans="1:26" ht="18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6" ht="18" x14ac:dyDescent="0.2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5"/>
    </row>
    <row r="4" spans="1:26" ht="18" x14ac:dyDescent="0.25">
      <c r="A4" s="482" t="s">
        <v>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5"/>
    </row>
    <row r="5" spans="1:26" ht="18" x14ac:dyDescent="0.25">
      <c r="A5" s="482" t="s">
        <v>300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5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8"/>
      <c r="S6" s="9"/>
      <c r="T6" s="10"/>
      <c r="W6" s="10"/>
      <c r="X6" s="10"/>
    </row>
    <row r="7" spans="1:26" x14ac:dyDescent="0.25">
      <c r="A7" s="483" t="s">
        <v>4</v>
      </c>
      <c r="B7" s="483"/>
      <c r="C7" s="483"/>
      <c r="D7" s="483"/>
      <c r="E7" s="483"/>
      <c r="F7" s="483"/>
      <c r="G7" s="483"/>
      <c r="H7" s="483"/>
      <c r="I7" s="483"/>
      <c r="J7" s="484" t="s">
        <v>5</v>
      </c>
      <c r="K7" s="485"/>
      <c r="L7" s="488" t="s">
        <v>276</v>
      </c>
      <c r="M7" s="488" t="s">
        <v>7</v>
      </c>
      <c r="N7" s="488" t="s">
        <v>277</v>
      </c>
      <c r="O7" s="490" t="s">
        <v>9</v>
      </c>
      <c r="P7" s="490"/>
      <c r="Q7" s="491" t="s">
        <v>302</v>
      </c>
      <c r="R7" s="492"/>
      <c r="S7" s="492"/>
      <c r="T7" s="11"/>
      <c r="U7" s="493" t="s">
        <v>278</v>
      </c>
      <c r="V7" s="490" t="s">
        <v>12</v>
      </c>
      <c r="W7" s="11"/>
      <c r="X7" s="11"/>
    </row>
    <row r="8" spans="1:26" x14ac:dyDescent="0.25">
      <c r="A8" s="483"/>
      <c r="B8" s="483"/>
      <c r="C8" s="483"/>
      <c r="D8" s="483"/>
      <c r="E8" s="483"/>
      <c r="F8" s="483"/>
      <c r="G8" s="483"/>
      <c r="H8" s="483"/>
      <c r="I8" s="483"/>
      <c r="J8" s="486"/>
      <c r="K8" s="487"/>
      <c r="L8" s="489"/>
      <c r="M8" s="489"/>
      <c r="N8" s="489"/>
      <c r="O8" s="12" t="s">
        <v>13</v>
      </c>
      <c r="P8" s="473" t="s">
        <v>14</v>
      </c>
      <c r="Q8" s="473" t="s">
        <v>13</v>
      </c>
      <c r="R8" s="14" t="s">
        <v>14</v>
      </c>
      <c r="S8" s="473" t="s">
        <v>15</v>
      </c>
      <c r="T8" s="473" t="s">
        <v>16</v>
      </c>
      <c r="U8" s="493"/>
      <c r="V8" s="490"/>
      <c r="W8" s="473" t="s">
        <v>17</v>
      </c>
      <c r="X8" s="473" t="s">
        <v>17</v>
      </c>
    </row>
    <row r="9" spans="1:26" x14ac:dyDescent="0.25">
      <c r="A9" s="483" t="s">
        <v>18</v>
      </c>
      <c r="B9" s="483"/>
      <c r="C9" s="483"/>
      <c r="D9" s="483"/>
      <c r="E9" s="483"/>
      <c r="F9" s="483"/>
      <c r="G9" s="483"/>
      <c r="H9" s="483"/>
      <c r="I9" s="483"/>
      <c r="J9" s="491" t="s">
        <v>19</v>
      </c>
      <c r="K9" s="494"/>
      <c r="L9" s="473" t="s">
        <v>20</v>
      </c>
      <c r="M9" s="473" t="s">
        <v>21</v>
      </c>
      <c r="N9" s="473" t="s">
        <v>22</v>
      </c>
      <c r="O9" s="473" t="s">
        <v>22</v>
      </c>
      <c r="P9" s="473" t="s">
        <v>23</v>
      </c>
      <c r="Q9" s="473" t="s">
        <v>24</v>
      </c>
      <c r="R9" s="14" t="s">
        <v>25</v>
      </c>
      <c r="S9" s="473" t="s">
        <v>26</v>
      </c>
      <c r="T9" s="473" t="s">
        <v>27</v>
      </c>
      <c r="U9" s="473" t="s">
        <v>28</v>
      </c>
      <c r="V9" s="15"/>
      <c r="W9" s="473" t="s">
        <v>27</v>
      </c>
      <c r="X9" s="473" t="s">
        <v>27</v>
      </c>
    </row>
    <row r="10" spans="1:26" x14ac:dyDescent="0.25">
      <c r="A10" s="16"/>
      <c r="B10" s="17"/>
      <c r="C10" s="18"/>
      <c r="D10" s="16"/>
      <c r="E10" s="16"/>
      <c r="F10" s="16"/>
      <c r="G10" s="16"/>
      <c r="H10" s="16"/>
      <c r="I10" s="18"/>
      <c r="J10" s="18" t="s">
        <v>29</v>
      </c>
      <c r="K10" s="16" t="s">
        <v>30</v>
      </c>
      <c r="L10" s="19">
        <f>L12+L118</f>
        <v>2184252000</v>
      </c>
      <c r="M10" s="19">
        <f>M12+M118</f>
        <v>0</v>
      </c>
      <c r="N10" s="19">
        <f>N12+N118</f>
        <v>2184252000</v>
      </c>
      <c r="O10" s="19" t="e">
        <f>O12</f>
        <v>#REF!</v>
      </c>
      <c r="P10" s="19"/>
      <c r="Q10" s="19">
        <f>Q12+Q118</f>
        <v>242918383</v>
      </c>
      <c r="R10" s="19">
        <v>1329540561</v>
      </c>
      <c r="S10" s="19">
        <f>Q10+R10</f>
        <v>1572458944</v>
      </c>
      <c r="T10" s="20">
        <f>S10/N10*100</f>
        <v>71.99072927482726</v>
      </c>
      <c r="U10" s="21">
        <f>N10-S10</f>
        <v>611793056</v>
      </c>
      <c r="V10" s="21">
        <f>U10/2</f>
        <v>305896528</v>
      </c>
      <c r="W10" s="22">
        <f>Q10/N10*100</f>
        <v>11.121353351170104</v>
      </c>
      <c r="X10" s="22">
        <f>Q10/N10*100</f>
        <v>11.121353351170104</v>
      </c>
    </row>
    <row r="11" spans="1:26" x14ac:dyDescent="0.25">
      <c r="A11" s="23"/>
      <c r="B11" s="24"/>
      <c r="C11" s="25"/>
      <c r="D11" s="26"/>
      <c r="E11" s="26"/>
      <c r="F11" s="26"/>
      <c r="G11" s="27"/>
      <c r="H11" s="27"/>
      <c r="I11" s="26"/>
      <c r="J11" s="28"/>
      <c r="K11" s="29"/>
      <c r="L11" s="30"/>
      <c r="M11" s="30"/>
      <c r="N11" s="31"/>
      <c r="O11" s="30"/>
      <c r="P11" s="30"/>
      <c r="Q11" s="29"/>
      <c r="R11" s="29"/>
      <c r="S11" s="29"/>
      <c r="T11" s="32"/>
      <c r="U11" s="33"/>
      <c r="V11" s="33"/>
      <c r="W11" s="22"/>
      <c r="X11" s="22"/>
    </row>
    <row r="12" spans="1:26" x14ac:dyDescent="0.25">
      <c r="A12" s="34"/>
      <c r="B12" s="35" t="s">
        <v>31</v>
      </c>
      <c r="C12" s="36"/>
      <c r="D12" s="37"/>
      <c r="E12" s="37"/>
      <c r="F12" s="37"/>
      <c r="G12" s="38"/>
      <c r="H12" s="38"/>
      <c r="I12" s="37"/>
      <c r="J12" s="39"/>
      <c r="K12" s="40" t="s">
        <v>32</v>
      </c>
      <c r="L12" s="41">
        <f>L14+L16+L18+L20+L22+L28+L36+L38+L40+L46+L48+L50+L52+L60+L72+L84+L86+L106+L108+L114+L116</f>
        <v>1528107000</v>
      </c>
      <c r="M12" s="41">
        <f>M14+M16+M18+M20+M22+M28+M36+M38+M40+M46+M48+M50+M52+M60+M72+M84+M86+M106+M108+M114+M116</f>
        <v>0</v>
      </c>
      <c r="N12" s="41">
        <f>L12-M12</f>
        <v>1528107000</v>
      </c>
      <c r="O12" s="41" t="e">
        <f>#REF!</f>
        <v>#REF!</v>
      </c>
      <c r="P12" s="41"/>
      <c r="Q12" s="41">
        <f>Q14+Q16+Q18+Q20+Q22+Q28+Q36+Q38+Q40+Q46+Q48+Q50+Q52+Q60+Q72+Q84+Q86+Q106+Q108+Q114+Q116</f>
        <v>119164583</v>
      </c>
      <c r="R12" s="41">
        <v>1072920561</v>
      </c>
      <c r="S12" s="41">
        <f>Q12+R12</f>
        <v>1192085144</v>
      </c>
      <c r="T12" s="20">
        <f>S12/N12*100</f>
        <v>78.010580672688505</v>
      </c>
      <c r="U12" s="42">
        <f>N12-S12</f>
        <v>336021856</v>
      </c>
      <c r="V12" s="42">
        <f>U12/2</f>
        <v>168010928</v>
      </c>
      <c r="W12" s="22">
        <f t="shared" ref="W12:W36" si="0">Q12/N12*100</f>
        <v>7.7981831769633931</v>
      </c>
      <c r="X12" s="22">
        <f t="shared" ref="X12:X84" si="1">Q12/N12*100</f>
        <v>7.7981831769633931</v>
      </c>
    </row>
    <row r="13" spans="1:26" x14ac:dyDescent="0.25">
      <c r="A13" s="23"/>
      <c r="B13" s="24"/>
      <c r="C13" s="25"/>
      <c r="D13" s="26"/>
      <c r="E13" s="26"/>
      <c r="F13" s="26"/>
      <c r="G13" s="27"/>
      <c r="H13" s="27"/>
      <c r="I13" s="26"/>
      <c r="J13" s="28"/>
      <c r="K13" s="29"/>
      <c r="L13" s="30"/>
      <c r="M13" s="30"/>
      <c r="N13" s="31"/>
      <c r="O13" s="31"/>
      <c r="P13" s="31"/>
      <c r="Q13" s="29"/>
      <c r="R13" s="31"/>
      <c r="S13" s="31"/>
      <c r="T13" s="32"/>
      <c r="U13" s="43"/>
      <c r="V13" s="42">
        <f t="shared" ref="V13:V86" si="2">U13/2</f>
        <v>0</v>
      </c>
      <c r="W13" s="22"/>
      <c r="X13" s="22"/>
    </row>
    <row r="14" spans="1:26" ht="17.25" x14ac:dyDescent="0.3">
      <c r="A14" s="232"/>
      <c r="B14" s="313" t="s">
        <v>236</v>
      </c>
      <c r="C14" s="314"/>
      <c r="D14" s="315"/>
      <c r="E14" s="316"/>
      <c r="F14" s="316"/>
      <c r="G14" s="317"/>
      <c r="H14" s="318"/>
      <c r="I14" s="319"/>
      <c r="J14" s="318"/>
      <c r="K14" s="361" t="s">
        <v>184</v>
      </c>
      <c r="L14" s="43">
        <v>42000000</v>
      </c>
      <c r="M14" s="43">
        <v>0</v>
      </c>
      <c r="N14" s="43">
        <f>L14-M14</f>
        <v>42000000</v>
      </c>
      <c r="O14" s="337"/>
      <c r="P14" s="337"/>
      <c r="Q14" s="43">
        <v>2000000</v>
      </c>
      <c r="R14" s="43">
        <v>22000000</v>
      </c>
      <c r="S14" s="43">
        <f t="shared" ref="S14:S16" si="3">Q14+R14</f>
        <v>24000000</v>
      </c>
      <c r="T14" s="327">
        <f>S14/N14*100</f>
        <v>57.142857142857139</v>
      </c>
      <c r="U14" s="43">
        <f>N14-S14</f>
        <v>18000000</v>
      </c>
      <c r="V14" s="42">
        <f t="shared" si="2"/>
        <v>9000000</v>
      </c>
      <c r="W14" s="22">
        <f>Q14/N14*100</f>
        <v>4.7619047619047619</v>
      </c>
      <c r="X14" s="22">
        <f t="shared" si="1"/>
        <v>4.7619047619047619</v>
      </c>
      <c r="Z14" s="22">
        <f>Q14/N14*100</f>
        <v>4.7619047619047619</v>
      </c>
    </row>
    <row r="15" spans="1:26" x14ac:dyDescent="0.25">
      <c r="A15" s="240"/>
      <c r="B15" s="322"/>
      <c r="C15" s="322"/>
      <c r="D15" s="322"/>
      <c r="E15" s="323"/>
      <c r="F15" s="323"/>
      <c r="G15" s="323"/>
      <c r="H15" s="323"/>
      <c r="I15" s="323"/>
      <c r="J15" s="362"/>
      <c r="K15" s="363"/>
      <c r="L15" s="43"/>
      <c r="M15" s="43"/>
      <c r="N15" s="43"/>
      <c r="O15" s="43"/>
      <c r="P15" s="43"/>
      <c r="Q15" s="363"/>
      <c r="R15" s="364"/>
      <c r="S15" s="364"/>
      <c r="T15" s="327"/>
      <c r="U15" s="43"/>
      <c r="V15" s="42">
        <f t="shared" si="2"/>
        <v>0</v>
      </c>
      <c r="W15" s="22"/>
      <c r="X15" s="22"/>
      <c r="Z15" s="22" t="e">
        <f t="shared" ref="Z15:Z88" si="4">Q15/N15*100</f>
        <v>#DIV/0!</v>
      </c>
    </row>
    <row r="16" spans="1:26" ht="17.25" x14ac:dyDescent="0.3">
      <c r="A16" s="232"/>
      <c r="B16" s="313" t="s">
        <v>237</v>
      </c>
      <c r="C16" s="328"/>
      <c r="D16" s="315"/>
      <c r="E16" s="316"/>
      <c r="F16" s="316"/>
      <c r="G16" s="317"/>
      <c r="H16" s="318"/>
      <c r="I16" s="319"/>
      <c r="J16" s="318"/>
      <c r="K16" s="361" t="s">
        <v>185</v>
      </c>
      <c r="L16" s="43">
        <v>4740000</v>
      </c>
      <c r="M16" s="43">
        <v>0</v>
      </c>
      <c r="N16" s="43">
        <f>L16-M16</f>
        <v>4740000</v>
      </c>
      <c r="O16" s="337"/>
      <c r="P16" s="337"/>
      <c r="Q16" s="43">
        <v>0</v>
      </c>
      <c r="R16" s="43">
        <v>3130000</v>
      </c>
      <c r="S16" s="43">
        <f t="shared" si="3"/>
        <v>3130000</v>
      </c>
      <c r="T16" s="327">
        <f>S16/N16*100</f>
        <v>66.033755274261608</v>
      </c>
      <c r="U16" s="43">
        <f t="shared" ref="U16:U36" si="5">N16-S16</f>
        <v>1610000</v>
      </c>
      <c r="V16" s="42">
        <f t="shared" si="2"/>
        <v>805000</v>
      </c>
      <c r="W16" s="22">
        <f t="shared" si="0"/>
        <v>0</v>
      </c>
      <c r="X16" s="22">
        <f t="shared" si="1"/>
        <v>0</v>
      </c>
      <c r="Z16" s="65">
        <f t="shared" si="4"/>
        <v>0</v>
      </c>
    </row>
    <row r="17" spans="1:26" x14ac:dyDescent="0.25">
      <c r="A17" s="240"/>
      <c r="B17" s="329"/>
      <c r="C17" s="329"/>
      <c r="D17" s="322"/>
      <c r="E17" s="323"/>
      <c r="F17" s="323"/>
      <c r="G17" s="323"/>
      <c r="H17" s="323"/>
      <c r="I17" s="323"/>
      <c r="J17" s="362"/>
      <c r="K17" s="365"/>
      <c r="L17" s="43"/>
      <c r="M17" s="43"/>
      <c r="N17" s="43"/>
      <c r="O17" s="43"/>
      <c r="P17" s="43"/>
      <c r="Q17" s="363"/>
      <c r="R17" s="364"/>
      <c r="S17" s="364"/>
      <c r="T17" s="327"/>
      <c r="U17" s="43"/>
      <c r="V17" s="42">
        <f t="shared" si="2"/>
        <v>0</v>
      </c>
      <c r="W17" s="22"/>
      <c r="X17" s="22"/>
      <c r="Z17" s="22" t="e">
        <f t="shared" si="4"/>
        <v>#DIV/0!</v>
      </c>
    </row>
    <row r="18" spans="1:26" ht="17.25" x14ac:dyDescent="0.3">
      <c r="A18" s="394"/>
      <c r="B18" s="514" t="s">
        <v>43</v>
      </c>
      <c r="C18" s="515"/>
      <c r="D18" s="515"/>
      <c r="E18" s="515"/>
      <c r="F18" s="516"/>
      <c r="G18" s="395"/>
      <c r="H18" s="395"/>
      <c r="I18" s="395"/>
      <c r="J18" s="396"/>
      <c r="K18" s="397" t="s">
        <v>186</v>
      </c>
      <c r="L18" s="398">
        <v>19754000</v>
      </c>
      <c r="M18" s="398">
        <v>0</v>
      </c>
      <c r="N18" s="398">
        <f>L18-M18</f>
        <v>19754000</v>
      </c>
      <c r="O18" s="398"/>
      <c r="P18" s="398"/>
      <c r="Q18" s="399">
        <v>0</v>
      </c>
      <c r="R18" s="399">
        <v>19693400</v>
      </c>
      <c r="S18" s="399">
        <f>Q18+R18</f>
        <v>19693400</v>
      </c>
      <c r="T18" s="400">
        <f>S18/N18*100</f>
        <v>99.693226688265668</v>
      </c>
      <c r="U18" s="398">
        <f t="shared" si="5"/>
        <v>60600</v>
      </c>
      <c r="V18" s="42">
        <f t="shared" si="2"/>
        <v>30300</v>
      </c>
      <c r="W18" s="22">
        <f t="shared" si="0"/>
        <v>0</v>
      </c>
      <c r="X18" s="22">
        <f t="shared" si="1"/>
        <v>0</v>
      </c>
      <c r="Z18" s="65">
        <f t="shared" si="4"/>
        <v>0</v>
      </c>
    </row>
    <row r="19" spans="1:26" x14ac:dyDescent="0.25">
      <c r="A19" s="240"/>
      <c r="B19" s="329"/>
      <c r="C19" s="329"/>
      <c r="D19" s="322"/>
      <c r="E19" s="323"/>
      <c r="F19" s="323"/>
      <c r="G19" s="323"/>
      <c r="H19" s="323"/>
      <c r="I19" s="323"/>
      <c r="J19" s="362"/>
      <c r="K19" s="365"/>
      <c r="L19" s="43"/>
      <c r="M19" s="43"/>
      <c r="N19" s="43"/>
      <c r="O19" s="43"/>
      <c r="P19" s="43"/>
      <c r="Q19" s="363"/>
      <c r="R19" s="364"/>
      <c r="S19" s="364"/>
      <c r="T19" s="327"/>
      <c r="U19" s="43"/>
      <c r="V19" s="42">
        <f t="shared" si="2"/>
        <v>0</v>
      </c>
      <c r="W19" s="22"/>
      <c r="X19" s="22"/>
      <c r="Z19" s="22" t="e">
        <f t="shared" si="4"/>
        <v>#DIV/0!</v>
      </c>
    </row>
    <row r="20" spans="1:26" ht="17.25" x14ac:dyDescent="0.3">
      <c r="A20" s="394"/>
      <c r="B20" s="514" t="s">
        <v>238</v>
      </c>
      <c r="C20" s="515"/>
      <c r="D20" s="515"/>
      <c r="E20" s="515"/>
      <c r="F20" s="516"/>
      <c r="G20" s="401"/>
      <c r="H20" s="401"/>
      <c r="I20" s="395"/>
      <c r="J20" s="396"/>
      <c r="K20" s="397" t="s">
        <v>92</v>
      </c>
      <c r="L20" s="398">
        <v>4468000</v>
      </c>
      <c r="M20" s="398">
        <v>0</v>
      </c>
      <c r="N20" s="398">
        <f>L20-M20</f>
        <v>4468000</v>
      </c>
      <c r="O20" s="402"/>
      <c r="P20" s="402"/>
      <c r="Q20" s="399">
        <v>0</v>
      </c>
      <c r="R20" s="399">
        <v>2289000</v>
      </c>
      <c r="S20" s="399">
        <f>Q20+R20</f>
        <v>2289000</v>
      </c>
      <c r="T20" s="400">
        <f>S20/N20*100</f>
        <v>51.230975828111013</v>
      </c>
      <c r="U20" s="398">
        <f t="shared" si="5"/>
        <v>2179000</v>
      </c>
      <c r="V20" s="42">
        <f t="shared" si="2"/>
        <v>1089500</v>
      </c>
      <c r="W20" s="22">
        <f t="shared" si="0"/>
        <v>0</v>
      </c>
      <c r="X20" s="22">
        <f t="shared" si="1"/>
        <v>0</v>
      </c>
      <c r="Z20" s="65">
        <f t="shared" si="4"/>
        <v>0</v>
      </c>
    </row>
    <row r="21" spans="1:26" x14ac:dyDescent="0.25">
      <c r="A21" s="240"/>
      <c r="B21" s="329"/>
      <c r="C21" s="331"/>
      <c r="D21" s="323"/>
      <c r="E21" s="323"/>
      <c r="F21" s="323"/>
      <c r="G21" s="322"/>
      <c r="H21" s="322"/>
      <c r="I21" s="323"/>
      <c r="J21" s="362"/>
      <c r="K21" s="366"/>
      <c r="L21" s="43"/>
      <c r="M21" s="43"/>
      <c r="N21" s="43"/>
      <c r="O21" s="337"/>
      <c r="P21" s="337"/>
      <c r="Q21" s="363"/>
      <c r="R21" s="364"/>
      <c r="S21" s="364"/>
      <c r="T21" s="327"/>
      <c r="U21" s="43"/>
      <c r="V21" s="42">
        <f t="shared" si="2"/>
        <v>0</v>
      </c>
      <c r="W21" s="22"/>
      <c r="X21" s="22"/>
      <c r="Z21" s="22" t="e">
        <f t="shared" si="4"/>
        <v>#DIV/0!</v>
      </c>
    </row>
    <row r="22" spans="1:26" ht="17.25" x14ac:dyDescent="0.3">
      <c r="A22" s="403"/>
      <c r="B22" s="404" t="s">
        <v>239</v>
      </c>
      <c r="C22" s="405"/>
      <c r="D22" s="406"/>
      <c r="E22" s="407"/>
      <c r="F22" s="407"/>
      <c r="G22" s="408"/>
      <c r="H22" s="409"/>
      <c r="I22" s="409"/>
      <c r="J22" s="410"/>
      <c r="K22" s="397" t="s">
        <v>187</v>
      </c>
      <c r="L22" s="411">
        <f>L24+L26</f>
        <v>3020000</v>
      </c>
      <c r="M22" s="411">
        <v>0</v>
      </c>
      <c r="N22" s="398">
        <f>L22-M22</f>
        <v>3020000</v>
      </c>
      <c r="O22" s="411"/>
      <c r="P22" s="411"/>
      <c r="Q22" s="411">
        <f>Q24+Q26</f>
        <v>375000</v>
      </c>
      <c r="R22" s="411">
        <v>1948000</v>
      </c>
      <c r="S22" s="411">
        <f t="shared" ref="S22" si="6">Q22+R22</f>
        <v>2323000</v>
      </c>
      <c r="T22" s="400">
        <f>S22/N22*100</f>
        <v>76.920529801324506</v>
      </c>
      <c r="U22" s="398">
        <f t="shared" si="5"/>
        <v>697000</v>
      </c>
      <c r="V22" s="42">
        <f t="shared" si="2"/>
        <v>348500</v>
      </c>
      <c r="W22" s="22">
        <f t="shared" si="0"/>
        <v>12.417218543046356</v>
      </c>
      <c r="X22" s="22">
        <f t="shared" si="1"/>
        <v>12.417218543046356</v>
      </c>
      <c r="Z22" s="65">
        <f t="shared" si="4"/>
        <v>12.417218543046356</v>
      </c>
    </row>
    <row r="23" spans="1:26" ht="17.25" x14ac:dyDescent="0.3">
      <c r="A23" s="232"/>
      <c r="B23" s="313"/>
      <c r="C23" s="328"/>
      <c r="D23" s="315"/>
      <c r="E23" s="316"/>
      <c r="F23" s="316"/>
      <c r="G23" s="317"/>
      <c r="H23" s="319"/>
      <c r="I23" s="319"/>
      <c r="J23" s="312"/>
      <c r="K23" s="361"/>
      <c r="L23" s="367"/>
      <c r="M23" s="367"/>
      <c r="N23" s="43"/>
      <c r="O23" s="367"/>
      <c r="P23" s="367"/>
      <c r="Q23" s="367"/>
      <c r="R23" s="367"/>
      <c r="S23" s="367"/>
      <c r="T23" s="327"/>
      <c r="U23" s="43"/>
      <c r="V23" s="42"/>
      <c r="W23" s="22"/>
      <c r="X23" s="22"/>
      <c r="Z23" s="65"/>
    </row>
    <row r="24" spans="1:26" ht="17.25" x14ac:dyDescent="0.3">
      <c r="A24" s="232"/>
      <c r="B24" s="313"/>
      <c r="C24" s="328"/>
      <c r="D24" s="315"/>
      <c r="E24" s="316"/>
      <c r="F24" s="316"/>
      <c r="G24" s="317"/>
      <c r="H24" s="319"/>
      <c r="I24" s="319"/>
      <c r="J24" s="312"/>
      <c r="K24" s="361" t="s">
        <v>292</v>
      </c>
      <c r="L24" s="367">
        <v>1800000</v>
      </c>
      <c r="M24" s="367"/>
      <c r="N24" s="43">
        <f>L24-M24</f>
        <v>1800000</v>
      </c>
      <c r="O24" s="367"/>
      <c r="P24" s="367"/>
      <c r="Q24" s="367">
        <v>375000</v>
      </c>
      <c r="R24" s="367">
        <v>1425000</v>
      </c>
      <c r="S24" s="43">
        <f t="shared" ref="S24" si="7">Q24+R24</f>
        <v>1800000</v>
      </c>
      <c r="T24" s="327">
        <f>S24/N24*100</f>
        <v>100</v>
      </c>
      <c r="U24" s="43">
        <f t="shared" si="5"/>
        <v>0</v>
      </c>
      <c r="V24" s="42"/>
      <c r="W24" s="22"/>
      <c r="X24" s="22"/>
      <c r="Z24" s="65"/>
    </row>
    <row r="25" spans="1:26" ht="17.25" x14ac:dyDescent="0.3">
      <c r="A25" s="232"/>
      <c r="B25" s="313"/>
      <c r="C25" s="328"/>
      <c r="D25" s="315"/>
      <c r="E25" s="316"/>
      <c r="F25" s="316"/>
      <c r="G25" s="317"/>
      <c r="H25" s="319"/>
      <c r="I25" s="319"/>
      <c r="J25" s="312"/>
      <c r="K25" s="361"/>
      <c r="L25" s="367"/>
      <c r="M25" s="367"/>
      <c r="N25" s="43"/>
      <c r="O25" s="367"/>
      <c r="P25" s="367"/>
      <c r="Q25" s="367"/>
      <c r="R25" s="367"/>
      <c r="S25" s="367"/>
      <c r="T25" s="327"/>
      <c r="U25" s="43"/>
      <c r="V25" s="42"/>
      <c r="W25" s="22"/>
      <c r="X25" s="22"/>
      <c r="Z25" s="65"/>
    </row>
    <row r="26" spans="1:26" ht="17.25" x14ac:dyDescent="0.3">
      <c r="A26" s="232"/>
      <c r="B26" s="313"/>
      <c r="C26" s="328"/>
      <c r="D26" s="315"/>
      <c r="E26" s="316"/>
      <c r="F26" s="316"/>
      <c r="G26" s="317"/>
      <c r="H26" s="319"/>
      <c r="I26" s="319"/>
      <c r="J26" s="312"/>
      <c r="K26" s="361" t="s">
        <v>293</v>
      </c>
      <c r="L26" s="367">
        <v>1220000</v>
      </c>
      <c r="M26" s="367"/>
      <c r="N26" s="43">
        <f>L26-M26</f>
        <v>1220000</v>
      </c>
      <c r="O26" s="367"/>
      <c r="P26" s="367"/>
      <c r="Q26" s="367">
        <v>0</v>
      </c>
      <c r="R26" s="367">
        <v>522500</v>
      </c>
      <c r="S26" s="43">
        <f t="shared" ref="S26" si="8">Q26+R26</f>
        <v>522500</v>
      </c>
      <c r="T26" s="327">
        <f>S26/N26*100</f>
        <v>42.827868852459019</v>
      </c>
      <c r="U26" s="43">
        <f t="shared" si="5"/>
        <v>697500</v>
      </c>
      <c r="V26" s="42"/>
      <c r="W26" s="22"/>
      <c r="X26" s="22"/>
      <c r="Z26" s="65"/>
    </row>
    <row r="27" spans="1:26" x14ac:dyDescent="0.25">
      <c r="A27" s="240"/>
      <c r="B27" s="329"/>
      <c r="C27" s="331"/>
      <c r="D27" s="323"/>
      <c r="E27" s="323"/>
      <c r="F27" s="323"/>
      <c r="G27" s="322"/>
      <c r="H27" s="322"/>
      <c r="I27" s="323"/>
      <c r="J27" s="362"/>
      <c r="K27" s="368"/>
      <c r="L27" s="337"/>
      <c r="M27" s="337"/>
      <c r="N27" s="43"/>
      <c r="O27" s="337"/>
      <c r="P27" s="337"/>
      <c r="Q27" s="363"/>
      <c r="R27" s="364"/>
      <c r="S27" s="364"/>
      <c r="T27" s="327"/>
      <c r="U27" s="43"/>
      <c r="V27" s="42">
        <f t="shared" si="2"/>
        <v>0</v>
      </c>
      <c r="W27" s="22"/>
      <c r="X27" s="22"/>
      <c r="Z27" s="22" t="e">
        <f t="shared" si="4"/>
        <v>#DIV/0!</v>
      </c>
    </row>
    <row r="28" spans="1:26" ht="17.25" x14ac:dyDescent="0.3">
      <c r="A28" s="403"/>
      <c r="B28" s="514" t="s">
        <v>240</v>
      </c>
      <c r="C28" s="515"/>
      <c r="D28" s="515"/>
      <c r="E28" s="515"/>
      <c r="F28" s="515"/>
      <c r="G28" s="516"/>
      <c r="H28" s="412"/>
      <c r="I28" s="409"/>
      <c r="J28" s="410"/>
      <c r="K28" s="397" t="s">
        <v>88</v>
      </c>
      <c r="L28" s="398">
        <v>12200000</v>
      </c>
      <c r="M28" s="398">
        <v>0</v>
      </c>
      <c r="N28" s="398">
        <f>L28-M28</f>
        <v>12200000</v>
      </c>
      <c r="O28" s="398"/>
      <c r="P28" s="398"/>
      <c r="Q28" s="398">
        <f>Q30+Q32+Q34</f>
        <v>0</v>
      </c>
      <c r="R28" s="398">
        <v>9812000</v>
      </c>
      <c r="S28" s="398">
        <f t="shared" ref="S28" si="9">Q28+R28</f>
        <v>9812000</v>
      </c>
      <c r="T28" s="400">
        <f>S28/N28*100</f>
        <v>80.426229508196727</v>
      </c>
      <c r="U28" s="398">
        <f t="shared" si="5"/>
        <v>2388000</v>
      </c>
      <c r="V28" s="42">
        <f t="shared" si="2"/>
        <v>1194000</v>
      </c>
      <c r="W28" s="22">
        <f t="shared" si="0"/>
        <v>0</v>
      </c>
      <c r="X28" s="22">
        <f>Q28/N28*100</f>
        <v>0</v>
      </c>
      <c r="Z28" s="65">
        <f t="shared" si="4"/>
        <v>0</v>
      </c>
    </row>
    <row r="29" spans="1:26" ht="17.25" x14ac:dyDescent="0.3">
      <c r="A29" s="232"/>
      <c r="B29" s="477"/>
      <c r="C29" s="478"/>
      <c r="D29" s="478"/>
      <c r="E29" s="478"/>
      <c r="F29" s="478"/>
      <c r="G29" s="479"/>
      <c r="H29" s="318"/>
      <c r="I29" s="319"/>
      <c r="J29" s="312"/>
      <c r="K29" s="361"/>
      <c r="L29" s="43"/>
      <c r="M29" s="43"/>
      <c r="N29" s="43"/>
      <c r="O29" s="43"/>
      <c r="P29" s="43"/>
      <c r="Q29" s="43"/>
      <c r="R29" s="43"/>
      <c r="S29" s="43"/>
      <c r="T29" s="327"/>
      <c r="U29" s="43"/>
      <c r="V29" s="42"/>
      <c r="W29" s="22"/>
      <c r="X29" s="22"/>
      <c r="Z29" s="65"/>
    </row>
    <row r="30" spans="1:26" ht="17.25" x14ac:dyDescent="0.3">
      <c r="A30" s="232"/>
      <c r="B30" s="477"/>
      <c r="C30" s="478"/>
      <c r="D30" s="478"/>
      <c r="E30" s="478"/>
      <c r="F30" s="478"/>
      <c r="G30" s="479"/>
      <c r="H30" s="318"/>
      <c r="I30" s="319"/>
      <c r="J30" s="312"/>
      <c r="K30" s="361" t="s">
        <v>294</v>
      </c>
      <c r="L30" s="43">
        <v>6000000</v>
      </c>
      <c r="M30" s="43"/>
      <c r="N30" s="43">
        <v>6000000</v>
      </c>
      <c r="O30" s="43"/>
      <c r="P30" s="43"/>
      <c r="Q30" s="43">
        <v>0</v>
      </c>
      <c r="R30" s="43">
        <v>6000000</v>
      </c>
      <c r="S30" s="43">
        <f t="shared" ref="S30" si="10">Q30+R30</f>
        <v>6000000</v>
      </c>
      <c r="T30" s="327">
        <f>S30/N30*100</f>
        <v>100</v>
      </c>
      <c r="U30" s="43">
        <f t="shared" si="5"/>
        <v>0</v>
      </c>
      <c r="V30" s="42"/>
      <c r="W30" s="22"/>
      <c r="X30" s="22"/>
      <c r="Z30" s="65"/>
    </row>
    <row r="31" spans="1:26" ht="17.25" x14ac:dyDescent="0.3">
      <c r="A31" s="232"/>
      <c r="B31" s="477"/>
      <c r="C31" s="478"/>
      <c r="D31" s="478"/>
      <c r="E31" s="478"/>
      <c r="F31" s="478"/>
      <c r="G31" s="479"/>
      <c r="H31" s="318"/>
      <c r="I31" s="319"/>
      <c r="J31" s="312"/>
      <c r="K31" s="361"/>
      <c r="L31" s="43"/>
      <c r="M31" s="43"/>
      <c r="N31" s="43"/>
      <c r="O31" s="43"/>
      <c r="P31" s="43"/>
      <c r="Q31" s="43"/>
      <c r="R31" s="43"/>
      <c r="S31" s="43"/>
      <c r="T31" s="327"/>
      <c r="U31" s="43"/>
      <c r="V31" s="42"/>
      <c r="W31" s="22"/>
      <c r="X31" s="22"/>
      <c r="Z31" s="65"/>
    </row>
    <row r="32" spans="1:26" ht="17.25" x14ac:dyDescent="0.3">
      <c r="A32" s="232"/>
      <c r="B32" s="477"/>
      <c r="C32" s="478"/>
      <c r="D32" s="478"/>
      <c r="E32" s="478"/>
      <c r="F32" s="478"/>
      <c r="G32" s="479"/>
      <c r="H32" s="318"/>
      <c r="I32" s="319"/>
      <c r="J32" s="312"/>
      <c r="K32" s="361" t="s">
        <v>295</v>
      </c>
      <c r="L32" s="43">
        <v>3200000</v>
      </c>
      <c r="M32" s="43"/>
      <c r="N32" s="43">
        <v>3200000</v>
      </c>
      <c r="O32" s="43"/>
      <c r="P32" s="43"/>
      <c r="Q32" s="43">
        <v>0</v>
      </c>
      <c r="R32" s="43">
        <v>1480000</v>
      </c>
      <c r="S32" s="43">
        <f t="shared" ref="S32" si="11">Q32+R32</f>
        <v>1480000</v>
      </c>
      <c r="T32" s="327">
        <f>S32/N32*100</f>
        <v>46.25</v>
      </c>
      <c r="U32" s="43">
        <f t="shared" si="5"/>
        <v>1720000</v>
      </c>
      <c r="V32" s="42"/>
      <c r="W32" s="22"/>
      <c r="X32" s="22"/>
      <c r="Z32" s="65"/>
    </row>
    <row r="33" spans="1:26" ht="17.25" x14ac:dyDescent="0.3">
      <c r="A33" s="232"/>
      <c r="B33" s="477"/>
      <c r="C33" s="478"/>
      <c r="D33" s="478"/>
      <c r="E33" s="478"/>
      <c r="F33" s="478"/>
      <c r="G33" s="479"/>
      <c r="H33" s="318"/>
      <c r="I33" s="319"/>
      <c r="J33" s="312"/>
      <c r="K33" s="361"/>
      <c r="L33" s="43"/>
      <c r="M33" s="43"/>
      <c r="N33" s="43"/>
      <c r="O33" s="43"/>
      <c r="P33" s="43"/>
      <c r="Q33" s="43"/>
      <c r="R33" s="43"/>
      <c r="S33" s="43"/>
      <c r="T33" s="327"/>
      <c r="U33" s="43"/>
      <c r="V33" s="42"/>
      <c r="W33" s="22"/>
      <c r="X33" s="22"/>
      <c r="Z33" s="65"/>
    </row>
    <row r="34" spans="1:26" ht="17.25" x14ac:dyDescent="0.3">
      <c r="A34" s="232"/>
      <c r="B34" s="477"/>
      <c r="C34" s="478"/>
      <c r="D34" s="478"/>
      <c r="E34" s="478"/>
      <c r="F34" s="478"/>
      <c r="G34" s="479"/>
      <c r="H34" s="318"/>
      <c r="I34" s="319"/>
      <c r="J34" s="312"/>
      <c r="K34" s="361" t="s">
        <v>296</v>
      </c>
      <c r="L34" s="43">
        <v>3000000</v>
      </c>
      <c r="M34" s="43"/>
      <c r="N34" s="43">
        <v>3000000</v>
      </c>
      <c r="O34" s="43"/>
      <c r="P34" s="43"/>
      <c r="Q34" s="43">
        <v>0</v>
      </c>
      <c r="R34" s="43">
        <v>2332000</v>
      </c>
      <c r="S34" s="43">
        <f t="shared" ref="S34" si="12">Q34+R34</f>
        <v>2332000</v>
      </c>
      <c r="T34" s="327">
        <f>S34/N34*100</f>
        <v>77.733333333333334</v>
      </c>
      <c r="U34" s="43">
        <f t="shared" si="5"/>
        <v>668000</v>
      </c>
      <c r="V34" s="42"/>
      <c r="W34" s="22"/>
      <c r="X34" s="22"/>
      <c r="Z34" s="65"/>
    </row>
    <row r="35" spans="1:26" x14ac:dyDescent="0.25">
      <c r="A35" s="240"/>
      <c r="B35" s="329"/>
      <c r="C35" s="331"/>
      <c r="D35" s="323"/>
      <c r="E35" s="323"/>
      <c r="F35" s="323"/>
      <c r="G35" s="322"/>
      <c r="H35" s="322"/>
      <c r="I35" s="323"/>
      <c r="J35" s="362"/>
      <c r="K35" s="368"/>
      <c r="L35" s="337"/>
      <c r="M35" s="337"/>
      <c r="N35" s="337"/>
      <c r="O35" s="337"/>
      <c r="P35" s="337"/>
      <c r="Q35" s="363"/>
      <c r="R35" s="364"/>
      <c r="S35" s="364"/>
      <c r="T35" s="327"/>
      <c r="U35" s="43"/>
      <c r="V35" s="42">
        <f t="shared" si="2"/>
        <v>0</v>
      </c>
      <c r="W35" s="22"/>
      <c r="X35" s="22"/>
      <c r="Z35" s="22" t="e">
        <f t="shared" si="4"/>
        <v>#DIV/0!</v>
      </c>
    </row>
    <row r="36" spans="1:26" ht="17.25" x14ac:dyDescent="0.3">
      <c r="A36" s="394"/>
      <c r="B36" s="514" t="s">
        <v>241</v>
      </c>
      <c r="C36" s="515"/>
      <c r="D36" s="515"/>
      <c r="E36" s="515"/>
      <c r="F36" s="516"/>
      <c r="G36" s="401"/>
      <c r="H36" s="401"/>
      <c r="I36" s="395"/>
      <c r="J36" s="396"/>
      <c r="K36" s="397" t="s">
        <v>188</v>
      </c>
      <c r="L36" s="398">
        <v>3600000</v>
      </c>
      <c r="M36" s="398">
        <v>0</v>
      </c>
      <c r="N36" s="398">
        <f t="shared" ref="N36:N106" si="13">L36-M36</f>
        <v>3600000</v>
      </c>
      <c r="O36" s="402"/>
      <c r="P36" s="402"/>
      <c r="Q36" s="399">
        <v>300000</v>
      </c>
      <c r="R36" s="399">
        <v>2400000</v>
      </c>
      <c r="S36" s="399">
        <f>Q36+R36</f>
        <v>2700000</v>
      </c>
      <c r="T36" s="400">
        <f>S36/N36*100</f>
        <v>75</v>
      </c>
      <c r="U36" s="398">
        <f t="shared" si="5"/>
        <v>900000</v>
      </c>
      <c r="V36" s="42">
        <f t="shared" si="2"/>
        <v>450000</v>
      </c>
      <c r="W36" s="22">
        <f t="shared" si="0"/>
        <v>8.3333333333333321</v>
      </c>
      <c r="X36" s="22">
        <f t="shared" si="1"/>
        <v>8.3333333333333321</v>
      </c>
      <c r="Z36" s="65">
        <f t="shared" si="4"/>
        <v>8.3333333333333321</v>
      </c>
    </row>
    <row r="37" spans="1:26" x14ac:dyDescent="0.25">
      <c r="A37" s="240"/>
      <c r="B37" s="329"/>
      <c r="C37" s="331"/>
      <c r="D37" s="323"/>
      <c r="E37" s="323"/>
      <c r="F37" s="323"/>
      <c r="G37" s="322"/>
      <c r="H37" s="322"/>
      <c r="I37" s="323"/>
      <c r="J37" s="362"/>
      <c r="K37" s="368"/>
      <c r="L37" s="337"/>
      <c r="M37" s="337"/>
      <c r="N37" s="43"/>
      <c r="O37" s="337"/>
      <c r="P37" s="337"/>
      <c r="Q37" s="364"/>
      <c r="R37" s="364"/>
      <c r="S37" s="364"/>
      <c r="T37" s="327"/>
      <c r="U37" s="43"/>
      <c r="V37" s="42">
        <f t="shared" si="2"/>
        <v>0</v>
      </c>
      <c r="W37" s="22"/>
      <c r="X37" s="22"/>
      <c r="Z37" s="22" t="e">
        <f t="shared" si="4"/>
        <v>#DIV/0!</v>
      </c>
    </row>
    <row r="38" spans="1:26" ht="17.25" x14ac:dyDescent="0.3">
      <c r="A38" s="394"/>
      <c r="B38" s="514" t="s">
        <v>242</v>
      </c>
      <c r="C38" s="515"/>
      <c r="D38" s="515"/>
      <c r="E38" s="515"/>
      <c r="F38" s="516"/>
      <c r="G38" s="401"/>
      <c r="H38" s="401"/>
      <c r="I38" s="395"/>
      <c r="J38" s="396"/>
      <c r="K38" s="397" t="s">
        <v>189</v>
      </c>
      <c r="L38" s="398">
        <v>50388000</v>
      </c>
      <c r="M38" s="398">
        <v>0</v>
      </c>
      <c r="N38" s="398">
        <f t="shared" si="13"/>
        <v>50388000</v>
      </c>
      <c r="O38" s="402"/>
      <c r="P38" s="402"/>
      <c r="Q38" s="399">
        <v>6569000</v>
      </c>
      <c r="R38" s="399">
        <v>43787004</v>
      </c>
      <c r="S38" s="399">
        <f>Q38+R38</f>
        <v>50356004</v>
      </c>
      <c r="T38" s="400">
        <f>S38/N38*100</f>
        <v>99.936500754147815</v>
      </c>
      <c r="U38" s="398">
        <f t="shared" ref="U38:U112" si="14">N38-S38</f>
        <v>31996</v>
      </c>
      <c r="V38" s="42">
        <f t="shared" si="2"/>
        <v>15998</v>
      </c>
      <c r="W38" s="22">
        <f t="shared" ref="W38:W106" si="15">Q38/N38*100</f>
        <v>13.036834166865127</v>
      </c>
      <c r="X38" s="22">
        <f t="shared" si="1"/>
        <v>13.036834166865127</v>
      </c>
      <c r="Z38" s="65">
        <f t="shared" si="4"/>
        <v>13.036834166865127</v>
      </c>
    </row>
    <row r="39" spans="1:26" x14ac:dyDescent="0.25">
      <c r="A39" s="240"/>
      <c r="B39" s="329"/>
      <c r="C39" s="331"/>
      <c r="D39" s="323"/>
      <c r="E39" s="323"/>
      <c r="F39" s="323"/>
      <c r="G39" s="322"/>
      <c r="H39" s="322"/>
      <c r="I39" s="323"/>
      <c r="J39" s="362"/>
      <c r="K39" s="368"/>
      <c r="L39" s="337"/>
      <c r="M39" s="337"/>
      <c r="N39" s="337"/>
      <c r="O39" s="337"/>
      <c r="P39" s="337"/>
      <c r="Q39" s="363"/>
      <c r="R39" s="364"/>
      <c r="S39" s="364"/>
      <c r="T39" s="327"/>
      <c r="U39" s="43"/>
      <c r="V39" s="42">
        <f t="shared" si="2"/>
        <v>0</v>
      </c>
      <c r="W39" s="22"/>
      <c r="X39" s="22"/>
      <c r="Z39" s="22" t="e">
        <f t="shared" si="4"/>
        <v>#DIV/0!</v>
      </c>
    </row>
    <row r="40" spans="1:26" ht="17.25" x14ac:dyDescent="0.3">
      <c r="A40" s="394"/>
      <c r="B40" s="514" t="s">
        <v>243</v>
      </c>
      <c r="C40" s="515"/>
      <c r="D40" s="515"/>
      <c r="E40" s="515"/>
      <c r="F40" s="516"/>
      <c r="G40" s="401"/>
      <c r="H40" s="401"/>
      <c r="I40" s="395"/>
      <c r="J40" s="396"/>
      <c r="K40" s="397" t="s">
        <v>190</v>
      </c>
      <c r="L40" s="398">
        <f>L44+L42</f>
        <v>33005000</v>
      </c>
      <c r="M40" s="398">
        <v>0</v>
      </c>
      <c r="N40" s="398">
        <f t="shared" si="13"/>
        <v>33005000</v>
      </c>
      <c r="O40" s="402"/>
      <c r="P40" s="402"/>
      <c r="Q40" s="398">
        <f>Q42+Q44</f>
        <v>1629000</v>
      </c>
      <c r="R40" s="399">
        <v>25425250</v>
      </c>
      <c r="S40" s="399">
        <f>Q40+R40</f>
        <v>27054250</v>
      </c>
      <c r="T40" s="400">
        <f>S40/N40*100</f>
        <v>81.970156036964099</v>
      </c>
      <c r="U40" s="398">
        <f t="shared" si="14"/>
        <v>5950750</v>
      </c>
      <c r="V40" s="42">
        <f t="shared" si="2"/>
        <v>2975375</v>
      </c>
      <c r="W40" s="22"/>
      <c r="X40" s="22">
        <f t="shared" si="1"/>
        <v>4.9356158157854875</v>
      </c>
      <c r="Z40" s="22">
        <f t="shared" si="4"/>
        <v>4.9356158157854875</v>
      </c>
    </row>
    <row r="41" spans="1:26" x14ac:dyDescent="0.25">
      <c r="A41" s="240"/>
      <c r="B41" s="329"/>
      <c r="C41" s="331"/>
      <c r="D41" s="323"/>
      <c r="E41" s="323"/>
      <c r="F41" s="323"/>
      <c r="G41" s="322"/>
      <c r="H41" s="322"/>
      <c r="I41" s="323"/>
      <c r="J41" s="362"/>
      <c r="K41" s="433"/>
      <c r="L41" s="337"/>
      <c r="M41" s="337"/>
      <c r="N41" s="337"/>
      <c r="O41" s="337"/>
      <c r="P41" s="337"/>
      <c r="Q41" s="363"/>
      <c r="R41" s="364"/>
      <c r="S41" s="364"/>
      <c r="T41" s="327"/>
      <c r="U41" s="43"/>
      <c r="V41" s="42">
        <f t="shared" si="2"/>
        <v>0</v>
      </c>
      <c r="W41" s="22"/>
      <c r="X41" s="22"/>
      <c r="Z41" s="22" t="e">
        <f t="shared" si="4"/>
        <v>#DIV/0!</v>
      </c>
    </row>
    <row r="42" spans="1:26" x14ac:dyDescent="0.25">
      <c r="A42" s="240"/>
      <c r="B42" s="329"/>
      <c r="C42" s="331"/>
      <c r="D42" s="323"/>
      <c r="E42" s="323"/>
      <c r="F42" s="323"/>
      <c r="G42" s="322"/>
      <c r="H42" s="322"/>
      <c r="I42" s="323"/>
      <c r="J42" s="430"/>
      <c r="K42" s="434" t="s">
        <v>191</v>
      </c>
      <c r="L42" s="431">
        <v>15750000</v>
      </c>
      <c r="M42" s="337">
        <v>0</v>
      </c>
      <c r="N42" s="43">
        <f t="shared" si="13"/>
        <v>15750000</v>
      </c>
      <c r="O42" s="337"/>
      <c r="P42" s="337"/>
      <c r="Q42" s="363">
        <v>1060000</v>
      </c>
      <c r="R42" s="364">
        <v>13669000</v>
      </c>
      <c r="S42" s="364">
        <f>Q42+R42</f>
        <v>14729000</v>
      </c>
      <c r="T42" s="327">
        <f>S42/N42*100</f>
        <v>93.517460317460319</v>
      </c>
      <c r="U42" s="43">
        <f t="shared" si="14"/>
        <v>1021000</v>
      </c>
      <c r="V42" s="42"/>
      <c r="W42" s="22"/>
      <c r="X42" s="22">
        <f t="shared" si="1"/>
        <v>6.7301587301587311</v>
      </c>
      <c r="Z42" s="22"/>
    </row>
    <row r="43" spans="1:26" x14ac:dyDescent="0.25">
      <c r="A43" s="240"/>
      <c r="B43" s="329"/>
      <c r="C43" s="331"/>
      <c r="D43" s="323"/>
      <c r="E43" s="323"/>
      <c r="F43" s="323"/>
      <c r="G43" s="322"/>
      <c r="H43" s="322"/>
      <c r="I43" s="323"/>
      <c r="J43" s="430"/>
      <c r="K43" s="435"/>
      <c r="L43" s="431"/>
      <c r="M43" s="337"/>
      <c r="N43" s="337"/>
      <c r="O43" s="337"/>
      <c r="P43" s="337"/>
      <c r="Q43" s="363"/>
      <c r="R43" s="364"/>
      <c r="S43" s="364"/>
      <c r="T43" s="327"/>
      <c r="U43" s="43"/>
      <c r="V43" s="42"/>
      <c r="W43" s="22"/>
      <c r="X43" s="22"/>
      <c r="Z43" s="22"/>
    </row>
    <row r="44" spans="1:26" x14ac:dyDescent="0.25">
      <c r="A44" s="240"/>
      <c r="B44" s="329"/>
      <c r="C44" s="331"/>
      <c r="D44" s="323"/>
      <c r="E44" s="323"/>
      <c r="F44" s="323"/>
      <c r="G44" s="322"/>
      <c r="H44" s="322"/>
      <c r="I44" s="323"/>
      <c r="J44" s="430"/>
      <c r="K44" s="434" t="s">
        <v>192</v>
      </c>
      <c r="L44" s="432">
        <v>17255000</v>
      </c>
      <c r="M44" s="43">
        <v>0</v>
      </c>
      <c r="N44" s="43">
        <f t="shared" si="13"/>
        <v>17255000</v>
      </c>
      <c r="O44" s="337"/>
      <c r="P44" s="337"/>
      <c r="Q44" s="363">
        <v>569000</v>
      </c>
      <c r="R44" s="364">
        <v>11756250</v>
      </c>
      <c r="S44" s="364">
        <f>Q44+R44</f>
        <v>12325250</v>
      </c>
      <c r="T44" s="327">
        <f>S44/N44*100</f>
        <v>71.430020283975665</v>
      </c>
      <c r="U44" s="43">
        <f t="shared" si="14"/>
        <v>4929750</v>
      </c>
      <c r="V44" s="42">
        <f t="shared" si="2"/>
        <v>2464875</v>
      </c>
      <c r="W44" s="22"/>
      <c r="X44" s="22">
        <f t="shared" si="1"/>
        <v>3.2975949000289773</v>
      </c>
      <c r="Z44" s="22">
        <f t="shared" si="4"/>
        <v>3.2975949000289773</v>
      </c>
    </row>
    <row r="45" spans="1:26" x14ac:dyDescent="0.25">
      <c r="A45" s="240"/>
      <c r="B45" s="329"/>
      <c r="C45" s="331"/>
      <c r="D45" s="323"/>
      <c r="E45" s="323"/>
      <c r="F45" s="323"/>
      <c r="G45" s="322"/>
      <c r="H45" s="322"/>
      <c r="I45" s="323"/>
      <c r="J45" s="430"/>
      <c r="K45" s="435"/>
      <c r="L45" s="431"/>
      <c r="M45" s="337"/>
      <c r="N45" s="337"/>
      <c r="O45" s="337"/>
      <c r="P45" s="337"/>
      <c r="Q45" s="363"/>
      <c r="R45" s="364"/>
      <c r="S45" s="364"/>
      <c r="T45" s="327"/>
      <c r="U45" s="43"/>
      <c r="V45" s="42">
        <f t="shared" si="2"/>
        <v>0</v>
      </c>
      <c r="W45" s="22"/>
      <c r="X45" s="22"/>
      <c r="Z45" s="22" t="e">
        <f t="shared" si="4"/>
        <v>#DIV/0!</v>
      </c>
    </row>
    <row r="46" spans="1:26" ht="17.25" x14ac:dyDescent="0.3">
      <c r="A46" s="394"/>
      <c r="B46" s="514" t="s">
        <v>244</v>
      </c>
      <c r="C46" s="515"/>
      <c r="D46" s="515"/>
      <c r="E46" s="515"/>
      <c r="F46" s="516"/>
      <c r="G46" s="413"/>
      <c r="H46" s="413"/>
      <c r="I46" s="414"/>
      <c r="J46" s="415"/>
      <c r="K46" s="397" t="s">
        <v>193</v>
      </c>
      <c r="L46" s="398">
        <v>136360000</v>
      </c>
      <c r="M46" s="398">
        <v>0</v>
      </c>
      <c r="N46" s="398">
        <f t="shared" si="13"/>
        <v>136360000</v>
      </c>
      <c r="O46" s="402"/>
      <c r="P46" s="402"/>
      <c r="Q46" s="399">
        <v>17911000</v>
      </c>
      <c r="R46" s="399">
        <v>114294220</v>
      </c>
      <c r="S46" s="399">
        <f>Q46+R46</f>
        <v>132205220</v>
      </c>
      <c r="T46" s="400">
        <f>S46/N46*100</f>
        <v>96.953080082135529</v>
      </c>
      <c r="U46" s="398">
        <f t="shared" si="14"/>
        <v>4154780</v>
      </c>
      <c r="V46" s="42">
        <f t="shared" si="2"/>
        <v>2077390</v>
      </c>
      <c r="W46" s="22">
        <f t="shared" si="15"/>
        <v>13.135083602229392</v>
      </c>
      <c r="X46" s="22">
        <f t="shared" si="1"/>
        <v>13.135083602229392</v>
      </c>
      <c r="Z46" s="65">
        <f t="shared" si="4"/>
        <v>13.135083602229392</v>
      </c>
    </row>
    <row r="47" spans="1:26" x14ac:dyDescent="0.25">
      <c r="A47" s="240"/>
      <c r="B47" s="329"/>
      <c r="C47" s="331"/>
      <c r="D47" s="323"/>
      <c r="E47" s="323"/>
      <c r="F47" s="323"/>
      <c r="G47" s="322"/>
      <c r="H47" s="322"/>
      <c r="I47" s="323"/>
      <c r="J47" s="362"/>
      <c r="K47" s="368"/>
      <c r="L47" s="337"/>
      <c r="M47" s="337"/>
      <c r="N47" s="337"/>
      <c r="O47" s="337"/>
      <c r="P47" s="337"/>
      <c r="Q47" s="363"/>
      <c r="R47" s="364"/>
      <c r="S47" s="364"/>
      <c r="T47" s="327"/>
      <c r="U47" s="43"/>
      <c r="V47" s="42">
        <f t="shared" si="2"/>
        <v>0</v>
      </c>
      <c r="W47" s="22"/>
      <c r="X47" s="22"/>
      <c r="Z47" s="22" t="e">
        <f t="shared" si="4"/>
        <v>#DIV/0!</v>
      </c>
    </row>
    <row r="48" spans="1:26" ht="17.25" x14ac:dyDescent="0.3">
      <c r="A48" s="394"/>
      <c r="B48" s="514" t="s">
        <v>245</v>
      </c>
      <c r="C48" s="515"/>
      <c r="D48" s="515"/>
      <c r="E48" s="515"/>
      <c r="F48" s="516"/>
      <c r="G48" s="413"/>
      <c r="H48" s="413"/>
      <c r="I48" s="414"/>
      <c r="J48" s="415"/>
      <c r="K48" s="397" t="s">
        <v>194</v>
      </c>
      <c r="L48" s="398">
        <v>1980000</v>
      </c>
      <c r="M48" s="398">
        <v>0</v>
      </c>
      <c r="N48" s="398">
        <f t="shared" si="13"/>
        <v>1980000</v>
      </c>
      <c r="O48" s="402"/>
      <c r="P48" s="402"/>
      <c r="Q48" s="399">
        <v>0</v>
      </c>
      <c r="R48" s="399">
        <v>1980000</v>
      </c>
      <c r="S48" s="399">
        <f>Q48+R48</f>
        <v>1980000</v>
      </c>
      <c r="T48" s="400">
        <f>S48/N48*100</f>
        <v>100</v>
      </c>
      <c r="U48" s="398">
        <f t="shared" si="14"/>
        <v>0</v>
      </c>
      <c r="V48" s="42">
        <f t="shared" si="2"/>
        <v>0</v>
      </c>
      <c r="W48" s="22">
        <f t="shared" si="15"/>
        <v>0</v>
      </c>
      <c r="X48" s="22">
        <f t="shared" si="1"/>
        <v>0</v>
      </c>
      <c r="Z48" s="65">
        <f t="shared" si="4"/>
        <v>0</v>
      </c>
    </row>
    <row r="49" spans="1:26" x14ac:dyDescent="0.25">
      <c r="A49" s="240"/>
      <c r="B49" s="329"/>
      <c r="C49" s="331"/>
      <c r="D49" s="323"/>
      <c r="E49" s="323"/>
      <c r="F49" s="323"/>
      <c r="G49" s="322"/>
      <c r="H49" s="322"/>
      <c r="I49" s="323"/>
      <c r="J49" s="362"/>
      <c r="K49" s="368"/>
      <c r="L49" s="337"/>
      <c r="M49" s="337"/>
      <c r="N49" s="337"/>
      <c r="O49" s="337"/>
      <c r="P49" s="337"/>
      <c r="Q49" s="363"/>
      <c r="R49" s="364"/>
      <c r="S49" s="364"/>
      <c r="T49" s="327"/>
      <c r="U49" s="43"/>
      <c r="V49" s="42">
        <f t="shared" si="2"/>
        <v>0</v>
      </c>
      <c r="W49" s="22"/>
      <c r="X49" s="22"/>
      <c r="Z49" s="22" t="e">
        <f t="shared" si="4"/>
        <v>#DIV/0!</v>
      </c>
    </row>
    <row r="50" spans="1:26" ht="17.25" x14ac:dyDescent="0.3">
      <c r="A50" s="394"/>
      <c r="B50" s="514" t="s">
        <v>246</v>
      </c>
      <c r="C50" s="515"/>
      <c r="D50" s="515"/>
      <c r="E50" s="515"/>
      <c r="F50" s="516"/>
      <c r="G50" s="413"/>
      <c r="H50" s="413"/>
      <c r="I50" s="414"/>
      <c r="J50" s="415"/>
      <c r="K50" s="397" t="s">
        <v>195</v>
      </c>
      <c r="L50" s="398">
        <v>1700000</v>
      </c>
      <c r="M50" s="398">
        <v>0</v>
      </c>
      <c r="N50" s="398">
        <f t="shared" si="13"/>
        <v>1700000</v>
      </c>
      <c r="O50" s="402"/>
      <c r="P50" s="402"/>
      <c r="Q50" s="399">
        <v>0</v>
      </c>
      <c r="R50" s="399">
        <v>1000000</v>
      </c>
      <c r="S50" s="399">
        <f>Q50+R50</f>
        <v>1000000</v>
      </c>
      <c r="T50" s="400">
        <f>S50/N50*100</f>
        <v>58.82352941176471</v>
      </c>
      <c r="U50" s="398">
        <f t="shared" si="14"/>
        <v>700000</v>
      </c>
      <c r="V50" s="42">
        <f t="shared" si="2"/>
        <v>350000</v>
      </c>
      <c r="W50" s="22">
        <f t="shared" si="15"/>
        <v>0</v>
      </c>
      <c r="X50" s="22">
        <f t="shared" si="1"/>
        <v>0</v>
      </c>
      <c r="Z50" s="65">
        <f t="shared" si="4"/>
        <v>0</v>
      </c>
    </row>
    <row r="51" spans="1:26" x14ac:dyDescent="0.25">
      <c r="A51" s="240"/>
      <c r="B51" s="329"/>
      <c r="C51" s="331"/>
      <c r="D51" s="323"/>
      <c r="E51" s="323"/>
      <c r="F51" s="323"/>
      <c r="G51" s="322"/>
      <c r="H51" s="322"/>
      <c r="I51" s="323"/>
      <c r="J51" s="362"/>
      <c r="K51" s="368"/>
      <c r="L51" s="337"/>
      <c r="M51" s="337"/>
      <c r="N51" s="337"/>
      <c r="O51" s="337"/>
      <c r="P51" s="337"/>
      <c r="Q51" s="363"/>
      <c r="R51" s="364"/>
      <c r="S51" s="364"/>
      <c r="T51" s="327"/>
      <c r="U51" s="43"/>
      <c r="V51" s="42">
        <f t="shared" si="2"/>
        <v>0</v>
      </c>
      <c r="W51" s="22"/>
      <c r="X51" s="22"/>
      <c r="Z51" s="22" t="e">
        <f t="shared" si="4"/>
        <v>#DIV/0!</v>
      </c>
    </row>
    <row r="52" spans="1:26" ht="17.25" x14ac:dyDescent="0.3">
      <c r="A52" s="394"/>
      <c r="B52" s="514" t="s">
        <v>246</v>
      </c>
      <c r="C52" s="515"/>
      <c r="D52" s="515"/>
      <c r="E52" s="515"/>
      <c r="F52" s="516"/>
      <c r="G52" s="416"/>
      <c r="H52" s="416"/>
      <c r="I52" s="416"/>
      <c r="J52" s="417"/>
      <c r="K52" s="397" t="s">
        <v>196</v>
      </c>
      <c r="L52" s="418">
        <f>L54+L56+L58</f>
        <v>231900000</v>
      </c>
      <c r="M52" s="418">
        <f>M54+M56+M58</f>
        <v>0</v>
      </c>
      <c r="N52" s="398">
        <f t="shared" si="13"/>
        <v>231900000</v>
      </c>
      <c r="O52" s="402"/>
      <c r="P52" s="402"/>
      <c r="Q52" s="399">
        <f>Q54+Q56+Q58</f>
        <v>21436680</v>
      </c>
      <c r="R52" s="399">
        <v>143896766</v>
      </c>
      <c r="S52" s="399">
        <f>Q52+R52</f>
        <v>165333446</v>
      </c>
      <c r="T52" s="400">
        <f>S52/N52*100</f>
        <v>71.295147046140571</v>
      </c>
      <c r="U52" s="398">
        <f t="shared" si="14"/>
        <v>66566554</v>
      </c>
      <c r="V52" s="42">
        <f t="shared" si="2"/>
        <v>33283277</v>
      </c>
      <c r="W52" s="22">
        <f t="shared" si="15"/>
        <v>9.2439327296248397</v>
      </c>
      <c r="X52" s="22">
        <f t="shared" si="1"/>
        <v>9.2439327296248397</v>
      </c>
      <c r="Z52" s="22">
        <f t="shared" si="4"/>
        <v>9.2439327296248397</v>
      </c>
    </row>
    <row r="53" spans="1:26" x14ac:dyDescent="0.25">
      <c r="A53" s="240"/>
      <c r="B53" s="329"/>
      <c r="C53" s="331"/>
      <c r="D53" s="323"/>
      <c r="E53" s="323"/>
      <c r="F53" s="323"/>
      <c r="G53" s="322"/>
      <c r="H53" s="322"/>
      <c r="I53" s="323"/>
      <c r="J53" s="362"/>
      <c r="K53" s="433"/>
      <c r="L53" s="337"/>
      <c r="M53" s="337"/>
      <c r="N53" s="337"/>
      <c r="O53" s="337"/>
      <c r="P53" s="337"/>
      <c r="Q53" s="363"/>
      <c r="R53" s="364"/>
      <c r="S53" s="364"/>
      <c r="T53" s="327"/>
      <c r="U53" s="43"/>
      <c r="V53" s="42">
        <f t="shared" si="2"/>
        <v>0</v>
      </c>
      <c r="W53" s="22"/>
      <c r="X53" s="22"/>
      <c r="Z53" s="22" t="e">
        <f t="shared" si="4"/>
        <v>#DIV/0!</v>
      </c>
    </row>
    <row r="54" spans="1:26" x14ac:dyDescent="0.25">
      <c r="A54" s="240"/>
      <c r="B54" s="329"/>
      <c r="C54" s="331"/>
      <c r="D54" s="323"/>
      <c r="E54" s="323"/>
      <c r="F54" s="323"/>
      <c r="G54" s="322"/>
      <c r="H54" s="322"/>
      <c r="I54" s="323"/>
      <c r="J54" s="430"/>
      <c r="K54" s="435" t="s">
        <v>197</v>
      </c>
      <c r="L54" s="431">
        <v>27000000</v>
      </c>
      <c r="M54" s="337">
        <v>0</v>
      </c>
      <c r="N54" s="43">
        <f t="shared" si="13"/>
        <v>27000000</v>
      </c>
      <c r="O54" s="337"/>
      <c r="P54" s="337"/>
      <c r="Q54" s="363">
        <v>1835506</v>
      </c>
      <c r="R54" s="364">
        <v>14326915</v>
      </c>
      <c r="S54" s="364">
        <f>Q54+R54</f>
        <v>16162421</v>
      </c>
      <c r="T54" s="327">
        <f>S54/N54*100</f>
        <v>59.860818518518521</v>
      </c>
      <c r="U54" s="43">
        <f t="shared" si="14"/>
        <v>10837579</v>
      </c>
      <c r="V54" s="42"/>
      <c r="W54" s="22"/>
      <c r="X54" s="22">
        <f t="shared" si="1"/>
        <v>6.7981703703703698</v>
      </c>
      <c r="Z54" s="22"/>
    </row>
    <row r="55" spans="1:26" x14ac:dyDescent="0.25">
      <c r="A55" s="240"/>
      <c r="B55" s="329"/>
      <c r="C55" s="331"/>
      <c r="D55" s="323"/>
      <c r="E55" s="323"/>
      <c r="F55" s="323"/>
      <c r="G55" s="322"/>
      <c r="H55" s="322"/>
      <c r="I55" s="323"/>
      <c r="J55" s="430"/>
      <c r="K55" s="435"/>
      <c r="L55" s="431"/>
      <c r="M55" s="337"/>
      <c r="N55" s="337"/>
      <c r="O55" s="337"/>
      <c r="P55" s="337"/>
      <c r="Q55" s="363"/>
      <c r="R55" s="364"/>
      <c r="S55" s="364"/>
      <c r="T55" s="327"/>
      <c r="U55" s="43"/>
      <c r="V55" s="42"/>
      <c r="W55" s="22"/>
      <c r="X55" s="22"/>
      <c r="Z55" s="22"/>
    </row>
    <row r="56" spans="1:26" x14ac:dyDescent="0.25">
      <c r="A56" s="240"/>
      <c r="B56" s="329"/>
      <c r="C56" s="331"/>
      <c r="D56" s="323"/>
      <c r="E56" s="323"/>
      <c r="F56" s="323"/>
      <c r="G56" s="322"/>
      <c r="H56" s="322"/>
      <c r="I56" s="323"/>
      <c r="J56" s="430"/>
      <c r="K56" s="435" t="s">
        <v>198</v>
      </c>
      <c r="L56" s="431">
        <v>900000</v>
      </c>
      <c r="M56" s="337">
        <v>0</v>
      </c>
      <c r="N56" s="43">
        <f t="shared" si="13"/>
        <v>900000</v>
      </c>
      <c r="O56" s="337"/>
      <c r="P56" s="337"/>
      <c r="Q56" s="363">
        <v>45950</v>
      </c>
      <c r="R56" s="364">
        <v>367600</v>
      </c>
      <c r="S56" s="364">
        <f>Q56+R56</f>
        <v>413550</v>
      </c>
      <c r="T56" s="327">
        <f>S56/N56*100</f>
        <v>45.95</v>
      </c>
      <c r="U56" s="43">
        <f t="shared" si="14"/>
        <v>486450</v>
      </c>
      <c r="V56" s="42"/>
      <c r="W56" s="22"/>
      <c r="X56" s="22">
        <f t="shared" si="1"/>
        <v>5.1055555555555552</v>
      </c>
      <c r="Z56" s="22"/>
    </row>
    <row r="57" spans="1:26" x14ac:dyDescent="0.25">
      <c r="A57" s="240"/>
      <c r="B57" s="329"/>
      <c r="C57" s="331"/>
      <c r="D57" s="323"/>
      <c r="E57" s="323"/>
      <c r="F57" s="323"/>
      <c r="G57" s="322"/>
      <c r="H57" s="322"/>
      <c r="I57" s="323"/>
      <c r="J57" s="430"/>
      <c r="K57" s="435"/>
      <c r="L57" s="431"/>
      <c r="M57" s="337"/>
      <c r="N57" s="337"/>
      <c r="O57" s="337"/>
      <c r="P57" s="337"/>
      <c r="Q57" s="363"/>
      <c r="R57" s="364"/>
      <c r="S57" s="364"/>
      <c r="T57" s="327"/>
      <c r="U57" s="43"/>
      <c r="V57" s="42"/>
      <c r="W57" s="22"/>
      <c r="X57" s="22"/>
      <c r="Z57" s="22"/>
    </row>
    <row r="58" spans="1:26" x14ac:dyDescent="0.25">
      <c r="A58" s="240"/>
      <c r="B58" s="329"/>
      <c r="C58" s="331"/>
      <c r="D58" s="323"/>
      <c r="E58" s="323"/>
      <c r="F58" s="323"/>
      <c r="G58" s="322"/>
      <c r="H58" s="322"/>
      <c r="I58" s="323"/>
      <c r="J58" s="430"/>
      <c r="K58" s="434" t="s">
        <v>199</v>
      </c>
      <c r="L58" s="432">
        <v>204000000</v>
      </c>
      <c r="M58" s="43">
        <v>0</v>
      </c>
      <c r="N58" s="43">
        <v>204000000</v>
      </c>
      <c r="O58" s="337"/>
      <c r="P58" s="337"/>
      <c r="Q58" s="226">
        <v>19555224</v>
      </c>
      <c r="R58" s="364">
        <v>129202251</v>
      </c>
      <c r="S58" s="364">
        <f>Q58+R58</f>
        <v>148757475</v>
      </c>
      <c r="T58" s="327">
        <f>S58/N58*100</f>
        <v>72.920330882352943</v>
      </c>
      <c r="U58" s="43">
        <f>N58-S58</f>
        <v>55242525</v>
      </c>
      <c r="V58" s="42">
        <f t="shared" si="2"/>
        <v>27621262.5</v>
      </c>
      <c r="W58" s="22">
        <f t="shared" si="15"/>
        <v>9.5858941176470598</v>
      </c>
      <c r="X58" s="22">
        <f t="shared" si="1"/>
        <v>9.5858941176470598</v>
      </c>
      <c r="Z58" s="22">
        <f t="shared" si="4"/>
        <v>9.5858941176470598</v>
      </c>
    </row>
    <row r="59" spans="1:26" x14ac:dyDescent="0.25">
      <c r="A59" s="240"/>
      <c r="B59" s="329"/>
      <c r="C59" s="331"/>
      <c r="D59" s="323"/>
      <c r="E59" s="323"/>
      <c r="F59" s="323"/>
      <c r="G59" s="322"/>
      <c r="H59" s="322"/>
      <c r="I59" s="323"/>
      <c r="J59" s="430"/>
      <c r="K59" s="435"/>
      <c r="L59" s="431"/>
      <c r="M59" s="337"/>
      <c r="N59" s="337"/>
      <c r="O59" s="337"/>
      <c r="P59" s="337"/>
      <c r="Q59" s="363"/>
      <c r="R59" s="364"/>
      <c r="S59" s="364"/>
      <c r="T59" s="327"/>
      <c r="U59" s="43"/>
      <c r="V59" s="42">
        <f t="shared" si="2"/>
        <v>0</v>
      </c>
      <c r="W59" s="22"/>
      <c r="X59" s="22"/>
      <c r="Z59" s="22" t="e">
        <f t="shared" si="4"/>
        <v>#DIV/0!</v>
      </c>
    </row>
    <row r="60" spans="1:26" ht="17.25" x14ac:dyDescent="0.3">
      <c r="A60" s="394"/>
      <c r="B60" s="514" t="s">
        <v>247</v>
      </c>
      <c r="C60" s="515"/>
      <c r="D60" s="515"/>
      <c r="E60" s="515"/>
      <c r="F60" s="516"/>
      <c r="G60" s="416"/>
      <c r="H60" s="416"/>
      <c r="I60" s="416"/>
      <c r="J60" s="417"/>
      <c r="K60" s="397" t="s">
        <v>200</v>
      </c>
      <c r="L60" s="418">
        <f>L62+L64+L66+L68+L70</f>
        <v>727622000</v>
      </c>
      <c r="M60" s="418">
        <f>M62+M64+M66+M68+M70</f>
        <v>0</v>
      </c>
      <c r="N60" s="398">
        <f t="shared" si="13"/>
        <v>727622000</v>
      </c>
      <c r="O60" s="402"/>
      <c r="P60" s="402"/>
      <c r="Q60" s="419">
        <f>Q62+Q64+Q66+Q68+Q70</f>
        <v>54433623</v>
      </c>
      <c r="R60" s="399">
        <v>489363910</v>
      </c>
      <c r="S60" s="399">
        <f>Q60+R60</f>
        <v>543797533</v>
      </c>
      <c r="T60" s="400">
        <f>S60/N60*100</f>
        <v>74.736268694459483</v>
      </c>
      <c r="U60" s="398">
        <f t="shared" si="14"/>
        <v>183824467</v>
      </c>
      <c r="V60" s="42">
        <f t="shared" si="2"/>
        <v>91912233.5</v>
      </c>
      <c r="W60" s="22">
        <f t="shared" si="15"/>
        <v>7.4810303976515282</v>
      </c>
      <c r="X60" s="22">
        <f t="shared" si="1"/>
        <v>7.4810303976515282</v>
      </c>
      <c r="Z60" s="65">
        <f t="shared" si="4"/>
        <v>7.4810303976515282</v>
      </c>
    </row>
    <row r="61" spans="1:26" x14ac:dyDescent="0.25">
      <c r="A61" s="240"/>
      <c r="B61" s="329"/>
      <c r="C61" s="331"/>
      <c r="D61" s="323"/>
      <c r="E61" s="323"/>
      <c r="F61" s="323"/>
      <c r="G61" s="322"/>
      <c r="H61" s="322"/>
      <c r="I61" s="323"/>
      <c r="J61" s="362"/>
      <c r="K61" s="433"/>
      <c r="L61" s="337"/>
      <c r="M61" s="43"/>
      <c r="N61" s="337"/>
      <c r="O61" s="337"/>
      <c r="P61" s="337"/>
      <c r="Q61" s="363"/>
      <c r="R61" s="364"/>
      <c r="S61" s="364"/>
      <c r="T61" s="327"/>
      <c r="U61" s="43"/>
      <c r="V61" s="42">
        <f t="shared" si="2"/>
        <v>0</v>
      </c>
      <c r="W61" s="22"/>
      <c r="X61" s="22"/>
      <c r="Z61" s="22" t="e">
        <f t="shared" si="4"/>
        <v>#DIV/0!</v>
      </c>
    </row>
    <row r="62" spans="1:26" x14ac:dyDescent="0.25">
      <c r="A62" s="240"/>
      <c r="B62" s="329"/>
      <c r="C62" s="331"/>
      <c r="D62" s="323"/>
      <c r="E62" s="323"/>
      <c r="F62" s="323"/>
      <c r="G62" s="322"/>
      <c r="H62" s="322"/>
      <c r="I62" s="323"/>
      <c r="J62" s="430"/>
      <c r="K62" s="434" t="s">
        <v>201</v>
      </c>
      <c r="L62" s="431">
        <v>3300000</v>
      </c>
      <c r="M62" s="43">
        <v>0</v>
      </c>
      <c r="N62" s="43">
        <f t="shared" si="13"/>
        <v>3300000</v>
      </c>
      <c r="O62" s="337"/>
      <c r="P62" s="337"/>
      <c r="Q62" s="363">
        <v>275000</v>
      </c>
      <c r="R62" s="364">
        <v>1925000</v>
      </c>
      <c r="S62" s="364">
        <f>Q62+R62</f>
        <v>2200000</v>
      </c>
      <c r="T62" s="327">
        <f>S62/N62*100</f>
        <v>66.666666666666657</v>
      </c>
      <c r="U62" s="43">
        <f t="shared" si="14"/>
        <v>1100000</v>
      </c>
      <c r="V62" s="42"/>
      <c r="W62" s="22"/>
      <c r="X62" s="22">
        <f t="shared" si="1"/>
        <v>8.3333333333333321</v>
      </c>
      <c r="Z62" s="22"/>
    </row>
    <row r="63" spans="1:26" x14ac:dyDescent="0.25">
      <c r="A63" s="240"/>
      <c r="B63" s="329"/>
      <c r="C63" s="331"/>
      <c r="D63" s="323"/>
      <c r="E63" s="323"/>
      <c r="F63" s="323"/>
      <c r="G63" s="322"/>
      <c r="H63" s="322"/>
      <c r="I63" s="323"/>
      <c r="J63" s="430"/>
      <c r="K63" s="434"/>
      <c r="L63" s="431"/>
      <c r="M63" s="43"/>
      <c r="N63" s="337"/>
      <c r="O63" s="337"/>
      <c r="P63" s="337"/>
      <c r="Q63" s="363"/>
      <c r="R63" s="364"/>
      <c r="S63" s="364"/>
      <c r="T63" s="327"/>
      <c r="U63" s="43"/>
      <c r="V63" s="42"/>
      <c r="W63" s="22"/>
      <c r="X63" s="22"/>
      <c r="Z63" s="22"/>
    </row>
    <row r="64" spans="1:26" x14ac:dyDescent="0.25">
      <c r="A64" s="240"/>
      <c r="B64" s="329"/>
      <c r="C64" s="331"/>
      <c r="D64" s="323"/>
      <c r="E64" s="323"/>
      <c r="F64" s="323"/>
      <c r="G64" s="322"/>
      <c r="H64" s="322"/>
      <c r="I64" s="323"/>
      <c r="J64" s="430"/>
      <c r="K64" s="434" t="s">
        <v>202</v>
      </c>
      <c r="L64" s="431">
        <v>314472000</v>
      </c>
      <c r="M64" s="43">
        <v>0</v>
      </c>
      <c r="N64" s="43">
        <f t="shared" si="13"/>
        <v>314472000</v>
      </c>
      <c r="O64" s="337"/>
      <c r="P64" s="337"/>
      <c r="Q64" s="76">
        <v>24018733</v>
      </c>
      <c r="R64" s="364">
        <v>217402539</v>
      </c>
      <c r="S64" s="364">
        <f>Q64+R64</f>
        <v>241421272</v>
      </c>
      <c r="T64" s="327">
        <f>S64/N64*100</f>
        <v>76.770355389351039</v>
      </c>
      <c r="U64" s="43">
        <f t="shared" si="14"/>
        <v>73050728</v>
      </c>
      <c r="V64" s="42"/>
      <c r="W64" s="22"/>
      <c r="X64" s="22">
        <f t="shared" si="1"/>
        <v>7.6377970057747584</v>
      </c>
      <c r="Z64" s="22"/>
    </row>
    <row r="65" spans="1:27" x14ac:dyDescent="0.25">
      <c r="A65" s="240"/>
      <c r="B65" s="329"/>
      <c r="C65" s="331"/>
      <c r="D65" s="323"/>
      <c r="E65" s="323"/>
      <c r="F65" s="323"/>
      <c r="G65" s="322"/>
      <c r="H65" s="322"/>
      <c r="I65" s="323"/>
      <c r="J65" s="430"/>
      <c r="K65" s="434"/>
      <c r="L65" s="431"/>
      <c r="M65" s="43"/>
      <c r="N65" s="337"/>
      <c r="O65" s="337"/>
      <c r="P65" s="337"/>
      <c r="Q65" s="363"/>
      <c r="R65" s="364"/>
      <c r="S65" s="364"/>
      <c r="T65" s="327"/>
      <c r="U65" s="43"/>
      <c r="V65" s="42"/>
      <c r="W65" s="22"/>
      <c r="X65" s="22"/>
      <c r="Z65" s="22"/>
    </row>
    <row r="66" spans="1:27" x14ac:dyDescent="0.25">
      <c r="A66" s="240"/>
      <c r="B66" s="329"/>
      <c r="C66" s="331"/>
      <c r="D66" s="323"/>
      <c r="E66" s="323"/>
      <c r="F66" s="323"/>
      <c r="G66" s="322"/>
      <c r="H66" s="322"/>
      <c r="I66" s="323"/>
      <c r="J66" s="430"/>
      <c r="K66" s="434" t="s">
        <v>203</v>
      </c>
      <c r="L66" s="431">
        <v>357430000</v>
      </c>
      <c r="M66" s="43">
        <v>0</v>
      </c>
      <c r="N66" s="43">
        <f t="shared" si="13"/>
        <v>357430000</v>
      </c>
      <c r="O66" s="337"/>
      <c r="P66" s="337"/>
      <c r="Q66" s="76">
        <v>26309478</v>
      </c>
      <c r="R66" s="364">
        <v>238301436</v>
      </c>
      <c r="S66" s="364">
        <f>Q66+R66</f>
        <v>264610914</v>
      </c>
      <c r="T66" s="327">
        <f>S66/N66*100</f>
        <v>74.031534566208762</v>
      </c>
      <c r="U66" s="43">
        <f t="shared" si="14"/>
        <v>92819086</v>
      </c>
      <c r="V66" s="42"/>
      <c r="W66" s="22"/>
      <c r="X66" s="22">
        <f t="shared" si="1"/>
        <v>7.3607358084100376</v>
      </c>
      <c r="Z66" s="22"/>
    </row>
    <row r="67" spans="1:27" x14ac:dyDescent="0.25">
      <c r="A67" s="240"/>
      <c r="B67" s="329"/>
      <c r="C67" s="331"/>
      <c r="D67" s="323"/>
      <c r="E67" s="323"/>
      <c r="F67" s="323"/>
      <c r="G67" s="322"/>
      <c r="H67" s="322"/>
      <c r="I67" s="323"/>
      <c r="J67" s="430"/>
      <c r="K67" s="434"/>
      <c r="L67" s="431"/>
      <c r="M67" s="43"/>
      <c r="N67" s="337"/>
      <c r="O67" s="337"/>
      <c r="P67" s="337"/>
      <c r="Q67" s="363"/>
      <c r="R67" s="364"/>
      <c r="S67" s="364"/>
      <c r="T67" s="327"/>
      <c r="U67" s="43"/>
      <c r="V67" s="42"/>
      <c r="W67" s="22"/>
      <c r="X67" s="22"/>
      <c r="Z67" s="22"/>
    </row>
    <row r="68" spans="1:27" x14ac:dyDescent="0.25">
      <c r="A68" s="240"/>
      <c r="B68" s="329"/>
      <c r="C68" s="331"/>
      <c r="D68" s="323"/>
      <c r="E68" s="323"/>
      <c r="F68" s="323"/>
      <c r="G68" s="322"/>
      <c r="H68" s="322"/>
      <c r="I68" s="323"/>
      <c r="J68" s="430"/>
      <c r="K68" s="434" t="s">
        <v>204</v>
      </c>
      <c r="L68" s="431">
        <v>10800000</v>
      </c>
      <c r="M68" s="43">
        <v>0</v>
      </c>
      <c r="N68" s="43">
        <f t="shared" si="13"/>
        <v>10800000</v>
      </c>
      <c r="O68" s="337"/>
      <c r="P68" s="337"/>
      <c r="Q68" s="363">
        <v>900000</v>
      </c>
      <c r="R68" s="364">
        <v>7200000</v>
      </c>
      <c r="S68" s="364">
        <f>Q68+R68</f>
        <v>8100000</v>
      </c>
      <c r="T68" s="327">
        <f>S68/N68*100</f>
        <v>75</v>
      </c>
      <c r="U68" s="43">
        <f t="shared" si="14"/>
        <v>2700000</v>
      </c>
      <c r="V68" s="42"/>
      <c r="W68" s="22"/>
      <c r="X68" s="22">
        <f t="shared" si="1"/>
        <v>8.3333333333333321</v>
      </c>
      <c r="Z68" s="22"/>
    </row>
    <row r="69" spans="1:27" x14ac:dyDescent="0.25">
      <c r="A69" s="240"/>
      <c r="B69" s="329"/>
      <c r="C69" s="331"/>
      <c r="D69" s="323"/>
      <c r="E69" s="323"/>
      <c r="F69" s="323"/>
      <c r="G69" s="322"/>
      <c r="H69" s="322"/>
      <c r="I69" s="323"/>
      <c r="J69" s="430"/>
      <c r="K69" s="435"/>
      <c r="L69" s="431"/>
      <c r="M69" s="43"/>
      <c r="N69" s="337"/>
      <c r="O69" s="337"/>
      <c r="P69" s="337"/>
      <c r="Q69" s="363"/>
      <c r="R69" s="364"/>
      <c r="S69" s="364"/>
      <c r="T69" s="327"/>
      <c r="U69" s="43"/>
      <c r="V69" s="42"/>
      <c r="W69" s="22"/>
      <c r="X69" s="22"/>
      <c r="Z69" s="22"/>
    </row>
    <row r="70" spans="1:27" x14ac:dyDescent="0.25">
      <c r="A70" s="240"/>
      <c r="B70" s="329"/>
      <c r="C70" s="331"/>
      <c r="D70" s="323"/>
      <c r="E70" s="323"/>
      <c r="F70" s="323"/>
      <c r="G70" s="322"/>
      <c r="H70" s="322"/>
      <c r="I70" s="323"/>
      <c r="J70" s="430"/>
      <c r="K70" s="434" t="s">
        <v>205</v>
      </c>
      <c r="L70" s="432">
        <v>41620000</v>
      </c>
      <c r="M70" s="43">
        <v>0</v>
      </c>
      <c r="N70" s="43">
        <f t="shared" si="13"/>
        <v>41620000</v>
      </c>
      <c r="O70" s="337"/>
      <c r="P70" s="337"/>
      <c r="Q70" s="226">
        <v>2930412</v>
      </c>
      <c r="R70" s="364">
        <v>24534935</v>
      </c>
      <c r="S70" s="364">
        <f>Q70+R70</f>
        <v>27465347</v>
      </c>
      <c r="T70" s="327">
        <f>S70/N70*100</f>
        <v>65.990742431523302</v>
      </c>
      <c r="U70" s="43">
        <f t="shared" si="14"/>
        <v>14154653</v>
      </c>
      <c r="V70" s="42">
        <f t="shared" si="2"/>
        <v>7077326.5</v>
      </c>
      <c r="W70" s="22">
        <f t="shared" si="15"/>
        <v>7.0408745795290733</v>
      </c>
      <c r="X70" s="22">
        <f t="shared" si="1"/>
        <v>7.0408745795290733</v>
      </c>
      <c r="Z70" s="22">
        <f t="shared" si="4"/>
        <v>7.0408745795290733</v>
      </c>
    </row>
    <row r="71" spans="1:27" x14ac:dyDescent="0.25">
      <c r="A71" s="240"/>
      <c r="B71" s="329"/>
      <c r="C71" s="331"/>
      <c r="D71" s="323"/>
      <c r="E71" s="323"/>
      <c r="F71" s="323"/>
      <c r="G71" s="322"/>
      <c r="H71" s="322"/>
      <c r="I71" s="323"/>
      <c r="J71" s="362"/>
      <c r="K71" s="436"/>
      <c r="L71" s="337"/>
      <c r="M71" s="337"/>
      <c r="N71" s="337"/>
      <c r="O71" s="337"/>
      <c r="P71" s="337"/>
      <c r="Q71" s="363"/>
      <c r="R71" s="364"/>
      <c r="S71" s="364"/>
      <c r="T71" s="327"/>
      <c r="U71" s="43"/>
      <c r="V71" s="42">
        <f t="shared" si="2"/>
        <v>0</v>
      </c>
      <c r="W71" s="22"/>
      <c r="X71" s="22"/>
      <c r="Z71" s="22" t="e">
        <f t="shared" si="4"/>
        <v>#DIV/0!</v>
      </c>
    </row>
    <row r="72" spans="1:27" ht="17.25" x14ac:dyDescent="0.3">
      <c r="A72" s="394"/>
      <c r="B72" s="514" t="s">
        <v>248</v>
      </c>
      <c r="C72" s="515"/>
      <c r="D72" s="515"/>
      <c r="E72" s="515"/>
      <c r="F72" s="516"/>
      <c r="G72" s="413"/>
      <c r="H72" s="413"/>
      <c r="I72" s="414"/>
      <c r="J72" s="415"/>
      <c r="K72" s="420" t="s">
        <v>206</v>
      </c>
      <c r="L72" s="398">
        <f>L74+L76+L78+L80+L82</f>
        <v>108870000</v>
      </c>
      <c r="M72" s="398">
        <f>M80+M82</f>
        <v>0</v>
      </c>
      <c r="N72" s="398">
        <f t="shared" si="13"/>
        <v>108870000</v>
      </c>
      <c r="O72" s="402"/>
      <c r="P72" s="402"/>
      <c r="Q72" s="399">
        <f>Q73+Q76+Q78+Q80+Q82</f>
        <v>8451000</v>
      </c>
      <c r="R72" s="399">
        <v>67417681</v>
      </c>
      <c r="S72" s="399">
        <f>Q72+R72</f>
        <v>75868681</v>
      </c>
      <c r="T72" s="400">
        <f>S72/N72*100</f>
        <v>69.6874079177</v>
      </c>
      <c r="U72" s="398">
        <f t="shared" si="14"/>
        <v>33001319</v>
      </c>
      <c r="V72" s="42">
        <f t="shared" si="2"/>
        <v>16500659.5</v>
      </c>
      <c r="W72" s="22">
        <f t="shared" si="15"/>
        <v>7.762468999724442</v>
      </c>
      <c r="X72" s="22">
        <f t="shared" si="1"/>
        <v>7.762468999724442</v>
      </c>
      <c r="Z72" s="65">
        <f t="shared" si="4"/>
        <v>7.762468999724442</v>
      </c>
      <c r="AA72" s="1" t="s">
        <v>114</v>
      </c>
    </row>
    <row r="73" spans="1:27" hidden="1" x14ac:dyDescent="0.25">
      <c r="A73" s="240"/>
      <c r="B73" s="329"/>
      <c r="C73" s="331"/>
      <c r="D73" s="323"/>
      <c r="E73" s="323"/>
      <c r="F73" s="323"/>
      <c r="G73" s="322"/>
      <c r="H73" s="322"/>
      <c r="I73" s="323"/>
      <c r="J73" s="430"/>
      <c r="K73" s="435" t="s">
        <v>274</v>
      </c>
      <c r="L73" s="431">
        <v>60090000</v>
      </c>
      <c r="M73" s="337"/>
      <c r="N73" s="337">
        <v>60090000</v>
      </c>
      <c r="O73" s="337"/>
      <c r="P73" s="337"/>
      <c r="Q73" s="363">
        <v>5600000</v>
      </c>
      <c r="R73" s="364">
        <v>40600000</v>
      </c>
      <c r="S73" s="364">
        <f>Q73+R73</f>
        <v>46200000</v>
      </c>
      <c r="T73" s="327"/>
      <c r="U73" s="43">
        <f t="shared" si="14"/>
        <v>13890000</v>
      </c>
      <c r="V73" s="42">
        <f t="shared" si="2"/>
        <v>6945000</v>
      </c>
      <c r="W73" s="22"/>
      <c r="X73" s="22"/>
      <c r="Z73" s="22">
        <f t="shared" si="4"/>
        <v>9.3193543018805123</v>
      </c>
    </row>
    <row r="74" spans="1:27" hidden="1" x14ac:dyDescent="0.25">
      <c r="A74" s="240"/>
      <c r="B74" s="329"/>
      <c r="C74" s="331"/>
      <c r="D74" s="323"/>
      <c r="E74" s="323"/>
      <c r="F74" s="323"/>
      <c r="G74" s="322"/>
      <c r="H74" s="322"/>
      <c r="I74" s="323"/>
      <c r="J74" s="430"/>
      <c r="K74" s="435" t="s">
        <v>207</v>
      </c>
      <c r="L74" s="431">
        <v>60090000</v>
      </c>
      <c r="M74" s="337">
        <v>0</v>
      </c>
      <c r="N74" s="43">
        <f t="shared" si="13"/>
        <v>60090000</v>
      </c>
      <c r="O74" s="337"/>
      <c r="P74" s="337"/>
      <c r="Q74" s="363">
        <v>5600000</v>
      </c>
      <c r="R74" s="364">
        <v>40600000</v>
      </c>
      <c r="S74" s="364">
        <f>Q74+R74</f>
        <v>46200000</v>
      </c>
      <c r="T74" s="327">
        <f>S74/N74*100</f>
        <v>76.884672990514218</v>
      </c>
      <c r="U74" s="43">
        <f t="shared" si="14"/>
        <v>13890000</v>
      </c>
      <c r="V74" s="42"/>
      <c r="W74" s="22"/>
      <c r="X74" s="22">
        <f t="shared" si="1"/>
        <v>9.3193543018805123</v>
      </c>
      <c r="Z74" s="22"/>
    </row>
    <row r="75" spans="1:27" hidden="1" x14ac:dyDescent="0.25">
      <c r="A75" s="240"/>
      <c r="B75" s="329"/>
      <c r="C75" s="331"/>
      <c r="D75" s="323"/>
      <c r="E75" s="323"/>
      <c r="F75" s="323"/>
      <c r="G75" s="322"/>
      <c r="H75" s="322"/>
      <c r="I75" s="323"/>
      <c r="J75" s="430"/>
      <c r="K75" s="435"/>
      <c r="L75" s="431"/>
      <c r="M75" s="337"/>
      <c r="N75" s="337"/>
      <c r="O75" s="337"/>
      <c r="P75" s="337"/>
      <c r="Q75" s="363"/>
      <c r="R75" s="364"/>
      <c r="S75" s="364"/>
      <c r="T75" s="327"/>
      <c r="U75" s="43"/>
      <c r="V75" s="42"/>
      <c r="W75" s="22"/>
      <c r="X75" s="22"/>
      <c r="Z75" s="22"/>
    </row>
    <row r="76" spans="1:27" hidden="1" x14ac:dyDescent="0.25">
      <c r="A76" s="240"/>
      <c r="B76" s="329"/>
      <c r="C76" s="331"/>
      <c r="D76" s="323"/>
      <c r="E76" s="323"/>
      <c r="F76" s="323"/>
      <c r="G76" s="322"/>
      <c r="H76" s="322"/>
      <c r="I76" s="323"/>
      <c r="J76" s="430"/>
      <c r="K76" s="435" t="s">
        <v>208</v>
      </c>
      <c r="L76" s="431">
        <v>25700000</v>
      </c>
      <c r="M76" s="337">
        <v>0</v>
      </c>
      <c r="N76" s="43">
        <f t="shared" si="13"/>
        <v>25700000</v>
      </c>
      <c r="O76" s="337"/>
      <c r="P76" s="337"/>
      <c r="Q76" s="76">
        <v>0</v>
      </c>
      <c r="R76" s="364">
        <v>15906710</v>
      </c>
      <c r="S76" s="364">
        <f>Q76+R76</f>
        <v>15906710</v>
      </c>
      <c r="T76" s="327">
        <f>S76/N76*100</f>
        <v>61.893813229571983</v>
      </c>
      <c r="U76" s="43">
        <f t="shared" si="14"/>
        <v>9793290</v>
      </c>
      <c r="V76" s="42"/>
      <c r="W76" s="22"/>
      <c r="X76" s="22">
        <f t="shared" si="1"/>
        <v>0</v>
      </c>
      <c r="Z76" s="22"/>
    </row>
    <row r="77" spans="1:27" hidden="1" x14ac:dyDescent="0.25">
      <c r="A77" s="240"/>
      <c r="B77" s="329"/>
      <c r="C77" s="331"/>
      <c r="D77" s="323"/>
      <c r="E77" s="323"/>
      <c r="F77" s="323"/>
      <c r="G77" s="322"/>
      <c r="H77" s="322"/>
      <c r="I77" s="323"/>
      <c r="J77" s="430"/>
      <c r="K77" s="435"/>
      <c r="L77" s="431"/>
      <c r="M77" s="337"/>
      <c r="N77" s="337"/>
      <c r="O77" s="337"/>
      <c r="P77" s="337"/>
      <c r="Q77" s="363"/>
      <c r="R77" s="364"/>
      <c r="S77" s="364"/>
      <c r="T77" s="327"/>
      <c r="U77" s="43"/>
      <c r="V77" s="42"/>
      <c r="W77" s="22"/>
      <c r="X77" s="22"/>
      <c r="Z77" s="22"/>
    </row>
    <row r="78" spans="1:27" hidden="1" x14ac:dyDescent="0.25">
      <c r="A78" s="240"/>
      <c r="B78" s="329"/>
      <c r="C78" s="331"/>
      <c r="D78" s="323"/>
      <c r="E78" s="323"/>
      <c r="F78" s="323"/>
      <c r="G78" s="322"/>
      <c r="H78" s="322"/>
      <c r="I78" s="323"/>
      <c r="J78" s="430"/>
      <c r="K78" s="435" t="s">
        <v>209</v>
      </c>
      <c r="L78" s="431">
        <v>11180000</v>
      </c>
      <c r="M78" s="337">
        <v>0</v>
      </c>
      <c r="N78" s="43">
        <f t="shared" si="13"/>
        <v>11180000</v>
      </c>
      <c r="O78" s="337"/>
      <c r="P78" s="337"/>
      <c r="Q78" s="76">
        <v>0</v>
      </c>
      <c r="R78" s="364">
        <v>10377971</v>
      </c>
      <c r="S78" s="364">
        <f>Q78+R78</f>
        <v>10377971</v>
      </c>
      <c r="T78" s="327">
        <f>S78/N78*100</f>
        <v>92.826216457960641</v>
      </c>
      <c r="U78" s="43">
        <f t="shared" si="14"/>
        <v>802029</v>
      </c>
      <c r="V78" s="42"/>
      <c r="W78" s="22"/>
      <c r="X78" s="22">
        <f t="shared" si="1"/>
        <v>0</v>
      </c>
      <c r="Z78" s="22"/>
    </row>
    <row r="79" spans="1:27" hidden="1" x14ac:dyDescent="0.25">
      <c r="A79" s="240"/>
      <c r="B79" s="329"/>
      <c r="C79" s="331"/>
      <c r="D79" s="323"/>
      <c r="E79" s="323"/>
      <c r="F79" s="323"/>
      <c r="G79" s="322"/>
      <c r="H79" s="322"/>
      <c r="I79" s="323"/>
      <c r="J79" s="430"/>
      <c r="K79" s="435"/>
      <c r="L79" s="431"/>
      <c r="M79" s="337"/>
      <c r="N79" s="337"/>
      <c r="O79" s="337"/>
      <c r="P79" s="337"/>
      <c r="Q79" s="363"/>
      <c r="R79" s="364"/>
      <c r="S79" s="364"/>
      <c r="T79" s="327"/>
      <c r="U79" s="43"/>
      <c r="V79" s="42"/>
      <c r="W79" s="22"/>
      <c r="X79" s="22"/>
      <c r="Z79" s="22"/>
    </row>
    <row r="80" spans="1:27" hidden="1" x14ac:dyDescent="0.25">
      <c r="A80" s="240"/>
      <c r="B80" s="329"/>
      <c r="C80" s="331"/>
      <c r="D80" s="323"/>
      <c r="E80" s="323"/>
      <c r="F80" s="323"/>
      <c r="G80" s="322"/>
      <c r="H80" s="322"/>
      <c r="I80" s="323"/>
      <c r="J80" s="430"/>
      <c r="K80" s="434" t="s">
        <v>210</v>
      </c>
      <c r="L80" s="432">
        <v>11500000</v>
      </c>
      <c r="M80" s="43">
        <v>0</v>
      </c>
      <c r="N80" s="43">
        <f t="shared" si="13"/>
        <v>11500000</v>
      </c>
      <c r="O80" s="337"/>
      <c r="P80" s="337"/>
      <c r="Q80" s="76">
        <v>2851000</v>
      </c>
      <c r="R80" s="364">
        <v>203000</v>
      </c>
      <c r="S80" s="364">
        <f>Q80+R80</f>
        <v>3054000</v>
      </c>
      <c r="T80" s="327">
        <f>S80/N80*100</f>
        <v>26.556521739130435</v>
      </c>
      <c r="U80" s="43">
        <f t="shared" si="14"/>
        <v>8446000</v>
      </c>
      <c r="V80" s="42">
        <f t="shared" si="2"/>
        <v>4223000</v>
      </c>
      <c r="W80" s="22">
        <f t="shared" si="15"/>
        <v>24.791304347826088</v>
      </c>
      <c r="X80" s="22">
        <f t="shared" si="1"/>
        <v>24.791304347826088</v>
      </c>
      <c r="Z80" s="22">
        <f t="shared" si="4"/>
        <v>24.791304347826088</v>
      </c>
    </row>
    <row r="81" spans="1:26" hidden="1" x14ac:dyDescent="0.25">
      <c r="A81" s="240"/>
      <c r="B81" s="329"/>
      <c r="C81" s="331"/>
      <c r="D81" s="323"/>
      <c r="E81" s="323"/>
      <c r="F81" s="323"/>
      <c r="G81" s="322"/>
      <c r="H81" s="322"/>
      <c r="I81" s="323"/>
      <c r="J81" s="430"/>
      <c r="K81" s="434"/>
      <c r="L81" s="432" t="s">
        <v>212</v>
      </c>
      <c r="M81" s="43"/>
      <c r="N81" s="337"/>
      <c r="O81" s="337"/>
      <c r="P81" s="337"/>
      <c r="Q81" s="364"/>
      <c r="R81" s="364"/>
      <c r="S81" s="364"/>
      <c r="T81" s="327"/>
      <c r="U81" s="43"/>
      <c r="V81" s="42">
        <f t="shared" si="2"/>
        <v>0</v>
      </c>
      <c r="W81" s="22"/>
      <c r="X81" s="22"/>
      <c r="Z81" s="22" t="e">
        <f t="shared" si="4"/>
        <v>#DIV/0!</v>
      </c>
    </row>
    <row r="82" spans="1:26" hidden="1" x14ac:dyDescent="0.25">
      <c r="A82" s="240"/>
      <c r="B82" s="329"/>
      <c r="C82" s="331"/>
      <c r="D82" s="323"/>
      <c r="E82" s="323"/>
      <c r="F82" s="323"/>
      <c r="G82" s="322"/>
      <c r="H82" s="322"/>
      <c r="I82" s="323"/>
      <c r="J82" s="430"/>
      <c r="K82" s="434" t="s">
        <v>211</v>
      </c>
      <c r="L82" s="432">
        <v>400000</v>
      </c>
      <c r="M82" s="43">
        <v>0</v>
      </c>
      <c r="N82" s="43">
        <f t="shared" si="13"/>
        <v>400000</v>
      </c>
      <c r="O82" s="337"/>
      <c r="P82" s="337"/>
      <c r="Q82" s="364">
        <v>0</v>
      </c>
      <c r="R82" s="364">
        <v>330000</v>
      </c>
      <c r="S82" s="364">
        <f>Q82+R82</f>
        <v>330000</v>
      </c>
      <c r="T82" s="327">
        <f>S82/N82*100</f>
        <v>82.5</v>
      </c>
      <c r="U82" s="43">
        <f t="shared" si="14"/>
        <v>70000</v>
      </c>
      <c r="V82" s="42">
        <f t="shared" si="2"/>
        <v>35000</v>
      </c>
      <c r="W82" s="22">
        <f t="shared" si="15"/>
        <v>0</v>
      </c>
      <c r="X82" s="22">
        <f t="shared" si="1"/>
        <v>0</v>
      </c>
      <c r="Z82" s="22">
        <f t="shared" si="4"/>
        <v>0</v>
      </c>
    </row>
    <row r="83" spans="1:26" hidden="1" x14ac:dyDescent="0.25">
      <c r="A83" s="240"/>
      <c r="B83" s="329"/>
      <c r="C83" s="331"/>
      <c r="D83" s="323"/>
      <c r="E83" s="323"/>
      <c r="F83" s="323"/>
      <c r="G83" s="322"/>
      <c r="H83" s="322"/>
      <c r="I83" s="323"/>
      <c r="J83" s="430"/>
      <c r="K83" s="435"/>
      <c r="L83" s="431"/>
      <c r="M83" s="337"/>
      <c r="N83" s="337"/>
      <c r="O83" s="337"/>
      <c r="P83" s="337"/>
      <c r="Q83" s="363"/>
      <c r="R83" s="364"/>
      <c r="S83" s="364"/>
      <c r="T83" s="327"/>
      <c r="U83" s="43"/>
      <c r="V83" s="42">
        <f t="shared" si="2"/>
        <v>0</v>
      </c>
      <c r="W83" s="22"/>
      <c r="X83" s="22"/>
      <c r="Z83" s="22" t="e">
        <f t="shared" si="4"/>
        <v>#DIV/0!</v>
      </c>
    </row>
    <row r="84" spans="1:26" ht="17.25" x14ac:dyDescent="0.3">
      <c r="A84" s="394"/>
      <c r="B84" s="514" t="s">
        <v>249</v>
      </c>
      <c r="C84" s="515"/>
      <c r="D84" s="515"/>
      <c r="E84" s="515"/>
      <c r="F84" s="516"/>
      <c r="G84" s="413"/>
      <c r="H84" s="413"/>
      <c r="I84" s="414"/>
      <c r="J84" s="415"/>
      <c r="K84" s="397" t="s">
        <v>213</v>
      </c>
      <c r="L84" s="398">
        <v>1000000</v>
      </c>
      <c r="M84" s="398">
        <v>0</v>
      </c>
      <c r="N84" s="398">
        <f t="shared" si="13"/>
        <v>1000000</v>
      </c>
      <c r="O84" s="402"/>
      <c r="P84" s="402"/>
      <c r="Q84" s="399">
        <v>500000</v>
      </c>
      <c r="R84" s="399">
        <v>500000</v>
      </c>
      <c r="S84" s="399">
        <f>Q84+R84</f>
        <v>1000000</v>
      </c>
      <c r="T84" s="400">
        <f>S84/N84*100</f>
        <v>100</v>
      </c>
      <c r="U84" s="398">
        <f t="shared" si="14"/>
        <v>0</v>
      </c>
      <c r="V84" s="42">
        <f t="shared" si="2"/>
        <v>0</v>
      </c>
      <c r="W84" s="22">
        <f t="shared" si="15"/>
        <v>50</v>
      </c>
      <c r="X84" s="22">
        <f t="shared" si="1"/>
        <v>50</v>
      </c>
      <c r="Z84" s="65">
        <f t="shared" si="4"/>
        <v>50</v>
      </c>
    </row>
    <row r="85" spans="1:26" x14ac:dyDescent="0.25">
      <c r="A85" s="240"/>
      <c r="B85" s="329"/>
      <c r="C85" s="331"/>
      <c r="D85" s="323"/>
      <c r="E85" s="323"/>
      <c r="F85" s="323"/>
      <c r="G85" s="322"/>
      <c r="H85" s="322"/>
      <c r="I85" s="323"/>
      <c r="J85" s="362"/>
      <c r="K85" s="368"/>
      <c r="L85" s="337"/>
      <c r="M85" s="337"/>
      <c r="N85" s="337"/>
      <c r="O85" s="337"/>
      <c r="P85" s="337"/>
      <c r="Q85" s="363"/>
      <c r="R85" s="364"/>
      <c r="S85" s="364"/>
      <c r="T85" s="327"/>
      <c r="U85" s="43"/>
      <c r="V85" s="42">
        <f t="shared" si="2"/>
        <v>0</v>
      </c>
      <c r="W85" s="22"/>
      <c r="X85" s="22"/>
      <c r="Z85" s="22" t="e">
        <f t="shared" si="4"/>
        <v>#DIV/0!</v>
      </c>
    </row>
    <row r="86" spans="1:26" x14ac:dyDescent="0.25">
      <c r="A86" s="394"/>
      <c r="B86" s="514" t="s">
        <v>250</v>
      </c>
      <c r="C86" s="515"/>
      <c r="D86" s="515"/>
      <c r="E86" s="515"/>
      <c r="F86" s="516"/>
      <c r="G86" s="413"/>
      <c r="H86" s="413"/>
      <c r="I86" s="414"/>
      <c r="J86" s="415"/>
      <c r="K86" s="421" t="s">
        <v>214</v>
      </c>
      <c r="L86" s="398">
        <f>L88+L104</f>
        <v>60000000</v>
      </c>
      <c r="M86" s="398">
        <f>M88+M104</f>
        <v>0</v>
      </c>
      <c r="N86" s="398">
        <f t="shared" si="13"/>
        <v>60000000</v>
      </c>
      <c r="O86" s="402"/>
      <c r="P86" s="402"/>
      <c r="Q86" s="399">
        <f>Q88+Q104</f>
        <v>5459280</v>
      </c>
      <c r="R86" s="399">
        <v>46204130</v>
      </c>
      <c r="S86" s="399">
        <f>Q86+R86</f>
        <v>51663410</v>
      </c>
      <c r="T86" s="400">
        <f>S86/N86*100</f>
        <v>86.105683333333332</v>
      </c>
      <c r="U86" s="398">
        <f t="shared" si="14"/>
        <v>8336590</v>
      </c>
      <c r="V86" s="42">
        <f t="shared" si="2"/>
        <v>4168295</v>
      </c>
      <c r="W86" s="22">
        <f t="shared" si="15"/>
        <v>9.0988000000000007</v>
      </c>
      <c r="X86" s="22">
        <f t="shared" ref="X86:X154" si="16">Q86/N86*100</f>
        <v>9.0988000000000007</v>
      </c>
      <c r="Z86" s="65">
        <f t="shared" si="4"/>
        <v>9.0988000000000007</v>
      </c>
    </row>
    <row r="87" spans="1:26" x14ac:dyDescent="0.25">
      <c r="A87" s="240"/>
      <c r="B87" s="329"/>
      <c r="C87" s="331"/>
      <c r="D87" s="323"/>
      <c r="E87" s="323"/>
      <c r="F87" s="323"/>
      <c r="G87" s="322"/>
      <c r="H87" s="322"/>
      <c r="I87" s="323"/>
      <c r="J87" s="362"/>
      <c r="K87" s="368"/>
      <c r="L87" s="337"/>
      <c r="M87" s="337"/>
      <c r="N87" s="337"/>
      <c r="O87" s="337"/>
      <c r="P87" s="337"/>
      <c r="Q87" s="363"/>
      <c r="R87" s="364"/>
      <c r="S87" s="364"/>
      <c r="T87" s="327"/>
      <c r="U87" s="43"/>
      <c r="V87" s="42">
        <f t="shared" ref="V87:V154" si="17">U87/2</f>
        <v>0</v>
      </c>
      <c r="W87" s="22"/>
      <c r="X87" s="22"/>
      <c r="Z87" s="22" t="e">
        <f t="shared" si="4"/>
        <v>#DIV/0!</v>
      </c>
    </row>
    <row r="88" spans="1:26" x14ac:dyDescent="0.25">
      <c r="A88" s="445"/>
      <c r="B88" s="446"/>
      <c r="C88" s="447"/>
      <c r="D88" s="448"/>
      <c r="E88" s="448"/>
      <c r="F88" s="448"/>
      <c r="G88" s="449"/>
      <c r="H88" s="449"/>
      <c r="I88" s="448"/>
      <c r="J88" s="450"/>
      <c r="K88" s="439" t="s">
        <v>128</v>
      </c>
      <c r="L88" s="440">
        <f>L90+L92+L94+L96+L98+L100+L102</f>
        <v>28000000</v>
      </c>
      <c r="M88" s="440">
        <v>0</v>
      </c>
      <c r="N88" s="440">
        <f t="shared" si="13"/>
        <v>28000000</v>
      </c>
      <c r="O88" s="441"/>
      <c r="P88" s="441"/>
      <c r="Q88" s="442">
        <f>Q90+Q92+Q94+Q96+Q98+Q100+Q102</f>
        <v>100000</v>
      </c>
      <c r="R88" s="443">
        <v>20563130</v>
      </c>
      <c r="S88" s="443">
        <f>Q88+R88</f>
        <v>20663130</v>
      </c>
      <c r="T88" s="444">
        <f>S88/N88*100</f>
        <v>73.796892857142865</v>
      </c>
      <c r="U88" s="440">
        <f t="shared" si="14"/>
        <v>7336870</v>
      </c>
      <c r="V88" s="42">
        <f t="shared" si="17"/>
        <v>3668435</v>
      </c>
      <c r="W88" s="22">
        <f t="shared" si="15"/>
        <v>0.35714285714285715</v>
      </c>
      <c r="X88" s="22">
        <f t="shared" si="16"/>
        <v>0.35714285714285715</v>
      </c>
      <c r="Z88" s="22">
        <f t="shared" si="4"/>
        <v>0.35714285714285715</v>
      </c>
    </row>
    <row r="89" spans="1:26" hidden="1" x14ac:dyDescent="0.25">
      <c r="A89" s="240"/>
      <c r="B89" s="329"/>
      <c r="C89" s="331"/>
      <c r="D89" s="323"/>
      <c r="E89" s="323"/>
      <c r="F89" s="323"/>
      <c r="G89" s="322"/>
      <c r="H89" s="322"/>
      <c r="I89" s="323"/>
      <c r="J89" s="362"/>
      <c r="K89" s="437"/>
      <c r="L89" s="43"/>
      <c r="M89" s="43"/>
      <c r="N89" s="43"/>
      <c r="O89" s="337"/>
      <c r="P89" s="337"/>
      <c r="Q89" s="76"/>
      <c r="R89" s="364"/>
      <c r="S89" s="364"/>
      <c r="T89" s="327"/>
      <c r="U89" s="43"/>
      <c r="V89" s="42"/>
      <c r="W89" s="22"/>
      <c r="X89" s="22"/>
      <c r="Z89" s="22"/>
    </row>
    <row r="90" spans="1:26" hidden="1" x14ac:dyDescent="0.25">
      <c r="A90" s="240"/>
      <c r="B90" s="329"/>
      <c r="C90" s="331"/>
      <c r="D90" s="323"/>
      <c r="E90" s="323"/>
      <c r="F90" s="323"/>
      <c r="G90" s="322"/>
      <c r="H90" s="322"/>
      <c r="I90" s="323"/>
      <c r="J90" s="430"/>
      <c r="K90" s="434" t="s">
        <v>285</v>
      </c>
      <c r="L90" s="432">
        <v>12000000</v>
      </c>
      <c r="M90" s="43">
        <v>0</v>
      </c>
      <c r="N90" s="43">
        <f t="shared" si="13"/>
        <v>12000000</v>
      </c>
      <c r="O90" s="337"/>
      <c r="P90" s="337"/>
      <c r="Q90" s="76">
        <v>0</v>
      </c>
      <c r="R90" s="364">
        <v>8528130</v>
      </c>
      <c r="S90" s="364">
        <f>Q90+R90</f>
        <v>8528130</v>
      </c>
      <c r="T90" s="327">
        <f>S90/N90*100</f>
        <v>71.06774999999999</v>
      </c>
      <c r="U90" s="43">
        <f t="shared" si="14"/>
        <v>3471870</v>
      </c>
      <c r="V90" s="42"/>
      <c r="W90" s="22"/>
      <c r="X90" s="22"/>
      <c r="Z90" s="22"/>
    </row>
    <row r="91" spans="1:26" hidden="1" x14ac:dyDescent="0.25">
      <c r="A91" s="240"/>
      <c r="B91" s="329"/>
      <c r="C91" s="331"/>
      <c r="D91" s="323"/>
      <c r="E91" s="323"/>
      <c r="F91" s="323"/>
      <c r="G91" s="322"/>
      <c r="H91" s="322"/>
      <c r="I91" s="323"/>
      <c r="J91" s="430"/>
      <c r="K91" s="434"/>
      <c r="L91" s="432"/>
      <c r="M91" s="43"/>
      <c r="N91" s="43"/>
      <c r="O91" s="337"/>
      <c r="P91" s="337"/>
      <c r="Q91" s="76"/>
      <c r="R91" s="364"/>
      <c r="S91" s="364"/>
      <c r="T91" s="327"/>
      <c r="U91" s="43"/>
      <c r="V91" s="42"/>
      <c r="W91" s="22"/>
      <c r="X91" s="22"/>
      <c r="Z91" s="22"/>
    </row>
    <row r="92" spans="1:26" hidden="1" x14ac:dyDescent="0.25">
      <c r="A92" s="240"/>
      <c r="B92" s="329"/>
      <c r="C92" s="331"/>
      <c r="D92" s="323"/>
      <c r="E92" s="323"/>
      <c r="F92" s="323"/>
      <c r="G92" s="322"/>
      <c r="H92" s="322"/>
      <c r="I92" s="323"/>
      <c r="J92" s="430"/>
      <c r="K92" s="434" t="s">
        <v>286</v>
      </c>
      <c r="L92" s="432">
        <v>5300000</v>
      </c>
      <c r="M92" s="43"/>
      <c r="N92" s="43">
        <f t="shared" si="13"/>
        <v>5300000</v>
      </c>
      <c r="O92" s="337"/>
      <c r="P92" s="337"/>
      <c r="Q92" s="76">
        <v>100000</v>
      </c>
      <c r="R92" s="364">
        <v>5110000</v>
      </c>
      <c r="S92" s="364">
        <f>Q92+R92</f>
        <v>5210000</v>
      </c>
      <c r="T92" s="327">
        <f>S92/N92*100</f>
        <v>98.301886792452834</v>
      </c>
      <c r="U92" s="43">
        <f t="shared" si="14"/>
        <v>90000</v>
      </c>
      <c r="V92" s="42"/>
      <c r="W92" s="22"/>
      <c r="X92" s="22"/>
      <c r="Z92" s="22"/>
    </row>
    <row r="93" spans="1:26" hidden="1" x14ac:dyDescent="0.25">
      <c r="A93" s="240"/>
      <c r="B93" s="329"/>
      <c r="C93" s="331"/>
      <c r="D93" s="323"/>
      <c r="E93" s="323"/>
      <c r="F93" s="323"/>
      <c r="G93" s="322"/>
      <c r="H93" s="322"/>
      <c r="I93" s="323"/>
      <c r="J93" s="430"/>
      <c r="K93" s="434"/>
      <c r="L93" s="432"/>
      <c r="M93" s="43"/>
      <c r="N93" s="43"/>
      <c r="O93" s="337"/>
      <c r="P93" s="337"/>
      <c r="Q93" s="76"/>
      <c r="R93" s="364"/>
      <c r="S93" s="364"/>
      <c r="T93" s="327"/>
      <c r="U93" s="43"/>
      <c r="V93" s="42"/>
      <c r="W93" s="22"/>
      <c r="X93" s="22"/>
      <c r="Z93" s="22"/>
    </row>
    <row r="94" spans="1:26" hidden="1" x14ac:dyDescent="0.25">
      <c r="A94" s="240"/>
      <c r="B94" s="329"/>
      <c r="C94" s="331"/>
      <c r="D94" s="323"/>
      <c r="E94" s="323"/>
      <c r="F94" s="323"/>
      <c r="G94" s="322"/>
      <c r="H94" s="322"/>
      <c r="I94" s="323"/>
      <c r="J94" s="430"/>
      <c r="K94" s="434" t="s">
        <v>287</v>
      </c>
      <c r="L94" s="432">
        <v>5000000</v>
      </c>
      <c r="M94" s="43"/>
      <c r="N94" s="43">
        <f t="shared" si="13"/>
        <v>5000000</v>
      </c>
      <c r="O94" s="337"/>
      <c r="P94" s="337"/>
      <c r="Q94" s="76">
        <v>0</v>
      </c>
      <c r="R94" s="364">
        <v>1500000</v>
      </c>
      <c r="S94" s="364">
        <f>Q94+R94</f>
        <v>1500000</v>
      </c>
      <c r="T94" s="327">
        <f>S94/N94*100</f>
        <v>30</v>
      </c>
      <c r="U94" s="43">
        <f t="shared" si="14"/>
        <v>3500000</v>
      </c>
      <c r="V94" s="42"/>
      <c r="W94" s="22"/>
      <c r="X94" s="22"/>
      <c r="Z94" s="22"/>
    </row>
    <row r="95" spans="1:26" hidden="1" x14ac:dyDescent="0.25">
      <c r="A95" s="240"/>
      <c r="B95" s="329"/>
      <c r="C95" s="331"/>
      <c r="D95" s="323"/>
      <c r="E95" s="323"/>
      <c r="F95" s="323"/>
      <c r="G95" s="322"/>
      <c r="H95" s="322"/>
      <c r="I95" s="323"/>
      <c r="J95" s="430"/>
      <c r="K95" s="434"/>
      <c r="L95" s="432"/>
      <c r="M95" s="43"/>
      <c r="N95" s="43"/>
      <c r="O95" s="337"/>
      <c r="P95" s="337"/>
      <c r="Q95" s="76"/>
      <c r="R95" s="364"/>
      <c r="S95" s="364"/>
      <c r="T95" s="327"/>
      <c r="U95" s="43"/>
      <c r="V95" s="42"/>
      <c r="W95" s="22"/>
      <c r="X95" s="22"/>
      <c r="Z95" s="22"/>
    </row>
    <row r="96" spans="1:26" hidden="1" x14ac:dyDescent="0.25">
      <c r="A96" s="240"/>
      <c r="B96" s="329"/>
      <c r="C96" s="331"/>
      <c r="D96" s="323"/>
      <c r="E96" s="323"/>
      <c r="F96" s="323"/>
      <c r="G96" s="322"/>
      <c r="H96" s="322"/>
      <c r="I96" s="323"/>
      <c r="J96" s="430"/>
      <c r="K96" s="434" t="s">
        <v>288</v>
      </c>
      <c r="L96" s="432">
        <v>200000</v>
      </c>
      <c r="M96" s="43"/>
      <c r="N96" s="43">
        <f t="shared" si="13"/>
        <v>200000</v>
      </c>
      <c r="O96" s="337"/>
      <c r="P96" s="337"/>
      <c r="Q96" s="76">
        <v>0</v>
      </c>
      <c r="R96" s="364">
        <v>0</v>
      </c>
      <c r="S96" s="364">
        <f>Q96+R96</f>
        <v>0</v>
      </c>
      <c r="T96" s="327">
        <f>S96/N96*100</f>
        <v>0</v>
      </c>
      <c r="U96" s="43">
        <f t="shared" si="14"/>
        <v>200000</v>
      </c>
      <c r="V96" s="42"/>
      <c r="W96" s="22"/>
      <c r="X96" s="22"/>
      <c r="Z96" s="22"/>
    </row>
    <row r="97" spans="1:26" hidden="1" x14ac:dyDescent="0.25">
      <c r="A97" s="240"/>
      <c r="B97" s="329"/>
      <c r="C97" s="331"/>
      <c r="D97" s="323"/>
      <c r="E97" s="323"/>
      <c r="F97" s="323"/>
      <c r="G97" s="322"/>
      <c r="H97" s="322"/>
      <c r="I97" s="323"/>
      <c r="J97" s="430"/>
      <c r="K97" s="434"/>
      <c r="L97" s="432"/>
      <c r="M97" s="43"/>
      <c r="N97" s="43"/>
      <c r="O97" s="337"/>
      <c r="P97" s="337"/>
      <c r="Q97" s="76"/>
      <c r="R97" s="364"/>
      <c r="S97" s="364"/>
      <c r="T97" s="327"/>
      <c r="U97" s="43"/>
      <c r="V97" s="42"/>
      <c r="W97" s="22"/>
      <c r="X97" s="22"/>
      <c r="Z97" s="22"/>
    </row>
    <row r="98" spans="1:26" hidden="1" x14ac:dyDescent="0.25">
      <c r="A98" s="240"/>
      <c r="B98" s="329"/>
      <c r="C98" s="331"/>
      <c r="D98" s="323"/>
      <c r="E98" s="323"/>
      <c r="F98" s="323"/>
      <c r="G98" s="322"/>
      <c r="H98" s="322"/>
      <c r="I98" s="323"/>
      <c r="J98" s="430"/>
      <c r="K98" s="434" t="s">
        <v>289</v>
      </c>
      <c r="L98" s="432">
        <v>1000000</v>
      </c>
      <c r="M98" s="43"/>
      <c r="N98" s="43">
        <f t="shared" si="13"/>
        <v>1000000</v>
      </c>
      <c r="O98" s="337"/>
      <c r="P98" s="337"/>
      <c r="Q98" s="76">
        <v>0</v>
      </c>
      <c r="R98" s="364">
        <v>950000</v>
      </c>
      <c r="S98" s="364">
        <f>Q98+R98</f>
        <v>950000</v>
      </c>
      <c r="T98" s="327">
        <f>S98/N98*100</f>
        <v>95</v>
      </c>
      <c r="U98" s="43">
        <f t="shared" si="14"/>
        <v>50000</v>
      </c>
      <c r="V98" s="42"/>
      <c r="W98" s="22"/>
      <c r="X98" s="22"/>
      <c r="Z98" s="22"/>
    </row>
    <row r="99" spans="1:26" hidden="1" x14ac:dyDescent="0.25">
      <c r="A99" s="240"/>
      <c r="B99" s="329"/>
      <c r="C99" s="331"/>
      <c r="D99" s="323"/>
      <c r="E99" s="323"/>
      <c r="F99" s="323"/>
      <c r="G99" s="322"/>
      <c r="H99" s="322"/>
      <c r="I99" s="323"/>
      <c r="J99" s="430"/>
      <c r="K99" s="434"/>
      <c r="L99" s="432"/>
      <c r="M99" s="43"/>
      <c r="N99" s="43"/>
      <c r="O99" s="337"/>
      <c r="P99" s="337"/>
      <c r="Q99" s="76"/>
      <c r="R99" s="364"/>
      <c r="S99" s="364"/>
      <c r="T99" s="327"/>
      <c r="U99" s="43"/>
      <c r="V99" s="42"/>
      <c r="W99" s="22"/>
      <c r="X99" s="22"/>
      <c r="Z99" s="22"/>
    </row>
    <row r="100" spans="1:26" hidden="1" x14ac:dyDescent="0.25">
      <c r="A100" s="240"/>
      <c r="B100" s="329"/>
      <c r="C100" s="331"/>
      <c r="D100" s="323"/>
      <c r="E100" s="323"/>
      <c r="F100" s="323"/>
      <c r="G100" s="322"/>
      <c r="H100" s="322"/>
      <c r="I100" s="323"/>
      <c r="J100" s="430"/>
      <c r="K100" s="434" t="s">
        <v>290</v>
      </c>
      <c r="L100" s="432">
        <v>1500000</v>
      </c>
      <c r="M100" s="43"/>
      <c r="N100" s="43">
        <f t="shared" si="13"/>
        <v>1500000</v>
      </c>
      <c r="O100" s="337"/>
      <c r="P100" s="337"/>
      <c r="Q100" s="76">
        <v>0</v>
      </c>
      <c r="R100" s="364">
        <v>1475000</v>
      </c>
      <c r="S100" s="364">
        <f>Q100+R100</f>
        <v>1475000</v>
      </c>
      <c r="T100" s="327">
        <f>S100/N100*100</f>
        <v>98.333333333333329</v>
      </c>
      <c r="U100" s="43">
        <f t="shared" si="14"/>
        <v>25000</v>
      </c>
      <c r="V100" s="42"/>
      <c r="W100" s="22"/>
      <c r="X100" s="22"/>
      <c r="Z100" s="22"/>
    </row>
    <row r="101" spans="1:26" hidden="1" x14ac:dyDescent="0.25">
      <c r="A101" s="240"/>
      <c r="B101" s="329"/>
      <c r="C101" s="331"/>
      <c r="D101" s="323"/>
      <c r="E101" s="323"/>
      <c r="F101" s="323"/>
      <c r="G101" s="322"/>
      <c r="H101" s="322"/>
      <c r="I101" s="323"/>
      <c r="J101" s="430"/>
      <c r="K101" s="434"/>
      <c r="L101" s="432"/>
      <c r="M101" s="43"/>
      <c r="N101" s="43"/>
      <c r="O101" s="337"/>
      <c r="P101" s="337"/>
      <c r="Q101" s="76"/>
      <c r="R101" s="364"/>
      <c r="S101" s="364"/>
      <c r="T101" s="327"/>
      <c r="U101" s="43"/>
      <c r="V101" s="42"/>
      <c r="W101" s="22"/>
      <c r="X101" s="22"/>
      <c r="Z101" s="22"/>
    </row>
    <row r="102" spans="1:26" hidden="1" x14ac:dyDescent="0.25">
      <c r="A102" s="240"/>
      <c r="B102" s="329"/>
      <c r="C102" s="331"/>
      <c r="D102" s="323"/>
      <c r="E102" s="323"/>
      <c r="F102" s="323"/>
      <c r="G102" s="322"/>
      <c r="H102" s="322"/>
      <c r="I102" s="323"/>
      <c r="J102" s="430"/>
      <c r="K102" s="434" t="s">
        <v>291</v>
      </c>
      <c r="L102" s="432">
        <v>3000000</v>
      </c>
      <c r="M102" s="43"/>
      <c r="N102" s="43">
        <f t="shared" si="13"/>
        <v>3000000</v>
      </c>
      <c r="O102" s="337"/>
      <c r="P102" s="337"/>
      <c r="Q102" s="76">
        <v>0</v>
      </c>
      <c r="R102" s="364">
        <v>3000000</v>
      </c>
      <c r="S102" s="364">
        <f>Q102+R102</f>
        <v>3000000</v>
      </c>
      <c r="T102" s="327">
        <f>S102/N102*100</f>
        <v>100</v>
      </c>
      <c r="U102" s="43">
        <f t="shared" si="14"/>
        <v>0</v>
      </c>
      <c r="V102" s="42"/>
      <c r="W102" s="22"/>
      <c r="X102" s="22"/>
      <c r="Z102" s="22"/>
    </row>
    <row r="103" spans="1:26" hidden="1" x14ac:dyDescent="0.25">
      <c r="A103" s="240"/>
      <c r="B103" s="329"/>
      <c r="C103" s="331"/>
      <c r="D103" s="323"/>
      <c r="E103" s="323"/>
      <c r="F103" s="323"/>
      <c r="G103" s="322"/>
      <c r="H103" s="322"/>
      <c r="I103" s="323"/>
      <c r="J103" s="362"/>
      <c r="K103" s="438"/>
      <c r="L103" s="43"/>
      <c r="M103" s="43"/>
      <c r="N103" s="43"/>
      <c r="O103" s="337"/>
      <c r="P103" s="337"/>
      <c r="Q103" s="76"/>
      <c r="R103" s="364"/>
      <c r="S103" s="364"/>
      <c r="T103" s="327"/>
      <c r="U103" s="43"/>
      <c r="V103" s="42"/>
      <c r="W103" s="22"/>
      <c r="X103" s="22"/>
      <c r="Z103" s="22"/>
    </row>
    <row r="104" spans="1:26" x14ac:dyDescent="0.25">
      <c r="A104" s="445"/>
      <c r="B104" s="446"/>
      <c r="C104" s="447"/>
      <c r="D104" s="448"/>
      <c r="E104" s="448"/>
      <c r="F104" s="448"/>
      <c r="G104" s="449"/>
      <c r="H104" s="449"/>
      <c r="I104" s="448"/>
      <c r="J104" s="450"/>
      <c r="K104" s="439" t="s">
        <v>284</v>
      </c>
      <c r="L104" s="440">
        <v>32000000</v>
      </c>
      <c r="M104" s="440">
        <v>0</v>
      </c>
      <c r="N104" s="440">
        <f t="shared" si="13"/>
        <v>32000000</v>
      </c>
      <c r="O104" s="441"/>
      <c r="P104" s="441"/>
      <c r="Q104" s="443">
        <v>5359280</v>
      </c>
      <c r="R104" s="443">
        <v>25641000</v>
      </c>
      <c r="S104" s="443">
        <f>Q104+R104</f>
        <v>31000280</v>
      </c>
      <c r="T104" s="444">
        <f>S104/N104*100</f>
        <v>96.875874999999994</v>
      </c>
      <c r="U104" s="440">
        <f t="shared" si="14"/>
        <v>999720</v>
      </c>
      <c r="V104" s="42">
        <f t="shared" si="17"/>
        <v>499860</v>
      </c>
      <c r="W104" s="22">
        <f t="shared" si="15"/>
        <v>16.74775</v>
      </c>
      <c r="X104" s="22">
        <f t="shared" si="16"/>
        <v>16.74775</v>
      </c>
      <c r="Z104" s="22">
        <f t="shared" ref="Z104:Z153" si="18">Q104/N104*100</f>
        <v>16.74775</v>
      </c>
    </row>
    <row r="105" spans="1:26" x14ac:dyDescent="0.25">
      <c r="A105" s="240"/>
      <c r="B105" s="329"/>
      <c r="C105" s="331"/>
      <c r="D105" s="323"/>
      <c r="E105" s="323"/>
      <c r="F105" s="323"/>
      <c r="G105" s="322"/>
      <c r="H105" s="322"/>
      <c r="I105" s="323"/>
      <c r="J105" s="362"/>
      <c r="K105" s="368"/>
      <c r="L105" s="337"/>
      <c r="M105" s="337"/>
      <c r="N105" s="337"/>
      <c r="O105" s="337"/>
      <c r="P105" s="337"/>
      <c r="Q105" s="363"/>
      <c r="R105" s="364"/>
      <c r="S105" s="364"/>
      <c r="T105" s="327"/>
      <c r="U105" s="43"/>
      <c r="V105" s="42">
        <f t="shared" si="17"/>
        <v>0</v>
      </c>
      <c r="W105" s="22"/>
      <c r="X105" s="22"/>
      <c r="Z105" s="22" t="e">
        <f t="shared" si="18"/>
        <v>#DIV/0!</v>
      </c>
    </row>
    <row r="106" spans="1:26" x14ac:dyDescent="0.25">
      <c r="A106" s="394"/>
      <c r="B106" s="514" t="s">
        <v>251</v>
      </c>
      <c r="C106" s="515"/>
      <c r="D106" s="515"/>
      <c r="E106" s="515"/>
      <c r="F106" s="516"/>
      <c r="G106" s="413"/>
      <c r="H106" s="413"/>
      <c r="I106" s="414"/>
      <c r="J106" s="415"/>
      <c r="K106" s="421" t="s">
        <v>215</v>
      </c>
      <c r="L106" s="398">
        <v>10000000</v>
      </c>
      <c r="M106" s="398">
        <v>0</v>
      </c>
      <c r="N106" s="398">
        <f t="shared" si="13"/>
        <v>10000000</v>
      </c>
      <c r="O106" s="402"/>
      <c r="P106" s="402"/>
      <c r="Q106" s="399">
        <v>0</v>
      </c>
      <c r="R106" s="399">
        <v>9042000</v>
      </c>
      <c r="S106" s="399">
        <f>Q106+R106</f>
        <v>9042000</v>
      </c>
      <c r="T106" s="400">
        <f>S106/N106*100</f>
        <v>90.42</v>
      </c>
      <c r="U106" s="398">
        <f t="shared" si="14"/>
        <v>958000</v>
      </c>
      <c r="V106" s="42">
        <f t="shared" si="17"/>
        <v>479000</v>
      </c>
      <c r="W106" s="22">
        <f t="shared" si="15"/>
        <v>0</v>
      </c>
      <c r="X106" s="22">
        <f t="shared" si="16"/>
        <v>0</v>
      </c>
      <c r="Z106" s="65">
        <f t="shared" si="18"/>
        <v>0</v>
      </c>
    </row>
    <row r="107" spans="1:26" x14ac:dyDescent="0.25">
      <c r="A107" s="240"/>
      <c r="B107" s="329"/>
      <c r="C107" s="331"/>
      <c r="D107" s="323"/>
      <c r="E107" s="323"/>
      <c r="F107" s="323"/>
      <c r="G107" s="322"/>
      <c r="H107" s="322"/>
      <c r="I107" s="323"/>
      <c r="J107" s="362"/>
      <c r="K107" s="368"/>
      <c r="L107" s="337"/>
      <c r="M107" s="337"/>
      <c r="N107" s="337"/>
      <c r="O107" s="337"/>
      <c r="P107" s="337"/>
      <c r="Q107" s="363"/>
      <c r="R107" s="364"/>
      <c r="S107" s="364"/>
      <c r="T107" s="327"/>
      <c r="U107" s="43"/>
      <c r="V107" s="42">
        <f t="shared" si="17"/>
        <v>0</v>
      </c>
      <c r="W107" s="22"/>
      <c r="X107" s="22"/>
      <c r="Z107" s="22" t="e">
        <f t="shared" si="18"/>
        <v>#DIV/0!</v>
      </c>
    </row>
    <row r="108" spans="1:26" x14ac:dyDescent="0.25">
      <c r="A108" s="394"/>
      <c r="B108" s="514" t="s">
        <v>252</v>
      </c>
      <c r="C108" s="515"/>
      <c r="D108" s="515"/>
      <c r="E108" s="515"/>
      <c r="F108" s="516"/>
      <c r="G108" s="401"/>
      <c r="H108" s="401"/>
      <c r="I108" s="395"/>
      <c r="J108" s="396"/>
      <c r="K108" s="421" t="s">
        <v>216</v>
      </c>
      <c r="L108" s="402">
        <f>L110+L112</f>
        <v>48000000</v>
      </c>
      <c r="M108" s="402">
        <v>0</v>
      </c>
      <c r="N108" s="402">
        <f>L108-M108</f>
        <v>48000000</v>
      </c>
      <c r="O108" s="402"/>
      <c r="P108" s="402"/>
      <c r="Q108" s="419">
        <f>Q110+Q112</f>
        <v>0</v>
      </c>
      <c r="R108" s="399">
        <v>47570700</v>
      </c>
      <c r="S108" s="399">
        <f>Q108+R108</f>
        <v>47570700</v>
      </c>
      <c r="T108" s="400">
        <f>S108/N108*100</f>
        <v>99.105625000000003</v>
      </c>
      <c r="U108" s="398">
        <f t="shared" si="14"/>
        <v>429300</v>
      </c>
      <c r="V108" s="42"/>
      <c r="W108" s="22"/>
      <c r="X108" s="22">
        <f t="shared" si="16"/>
        <v>0</v>
      </c>
      <c r="Z108" s="65">
        <f t="shared" si="18"/>
        <v>0</v>
      </c>
    </row>
    <row r="109" spans="1:26" x14ac:dyDescent="0.25">
      <c r="A109" s="240"/>
      <c r="B109" s="329"/>
      <c r="C109" s="331"/>
      <c r="D109" s="323"/>
      <c r="E109" s="323"/>
      <c r="F109" s="323"/>
      <c r="G109" s="322"/>
      <c r="H109" s="322"/>
      <c r="I109" s="323"/>
      <c r="J109" s="362"/>
      <c r="K109" s="368"/>
      <c r="L109" s="337"/>
      <c r="M109" s="337"/>
      <c r="N109" s="337"/>
      <c r="O109" s="337"/>
      <c r="P109" s="337"/>
      <c r="Q109" s="363"/>
      <c r="R109" s="364"/>
      <c r="S109" s="364"/>
      <c r="T109" s="327"/>
      <c r="U109" s="43"/>
      <c r="V109" s="42"/>
      <c r="W109" s="22"/>
      <c r="X109" s="22"/>
      <c r="Z109" s="22" t="e">
        <f t="shared" si="18"/>
        <v>#DIV/0!</v>
      </c>
    </row>
    <row r="110" spans="1:26" x14ac:dyDescent="0.25">
      <c r="A110" s="240"/>
      <c r="B110" s="329"/>
      <c r="C110" s="331"/>
      <c r="D110" s="323"/>
      <c r="E110" s="323"/>
      <c r="F110" s="323"/>
      <c r="G110" s="322"/>
      <c r="H110" s="322"/>
      <c r="I110" s="323"/>
      <c r="J110" s="362"/>
      <c r="K110" s="368" t="s">
        <v>217</v>
      </c>
      <c r="L110" s="337">
        <v>43000000</v>
      </c>
      <c r="M110" s="337">
        <v>0</v>
      </c>
      <c r="N110" s="43">
        <f t="shared" ref="N110" si="19">L110-M110</f>
        <v>43000000</v>
      </c>
      <c r="O110" s="337"/>
      <c r="P110" s="337"/>
      <c r="Q110" s="363">
        <v>0</v>
      </c>
      <c r="R110" s="364">
        <v>42590700</v>
      </c>
      <c r="S110" s="364">
        <f>Q110+R110</f>
        <v>42590700</v>
      </c>
      <c r="T110" s="327">
        <f>S110/N110*100</f>
        <v>99.048139534883717</v>
      </c>
      <c r="U110" s="43">
        <f t="shared" si="14"/>
        <v>409300</v>
      </c>
      <c r="V110" s="42"/>
      <c r="W110" s="22"/>
      <c r="X110" s="22">
        <f t="shared" si="16"/>
        <v>0</v>
      </c>
      <c r="Z110" s="65">
        <f t="shared" si="18"/>
        <v>0</v>
      </c>
    </row>
    <row r="111" spans="1:26" x14ac:dyDescent="0.25">
      <c r="A111" s="240"/>
      <c r="B111" s="329"/>
      <c r="C111" s="331"/>
      <c r="D111" s="323"/>
      <c r="E111" s="323"/>
      <c r="F111" s="323"/>
      <c r="G111" s="322"/>
      <c r="H111" s="322"/>
      <c r="I111" s="323"/>
      <c r="J111" s="362"/>
      <c r="K111" s="368"/>
      <c r="L111" s="337"/>
      <c r="M111" s="337"/>
      <c r="N111" s="337"/>
      <c r="O111" s="337"/>
      <c r="P111" s="337"/>
      <c r="Q111" s="363"/>
      <c r="R111" s="364"/>
      <c r="S111" s="364"/>
      <c r="T111" s="327"/>
      <c r="U111" s="43"/>
      <c r="V111" s="42"/>
      <c r="W111" s="22"/>
      <c r="X111" s="22"/>
      <c r="Z111" s="22" t="e">
        <f t="shared" si="18"/>
        <v>#DIV/0!</v>
      </c>
    </row>
    <row r="112" spans="1:26" x14ac:dyDescent="0.25">
      <c r="A112" s="240"/>
      <c r="B112" s="329"/>
      <c r="C112" s="331"/>
      <c r="D112" s="323"/>
      <c r="E112" s="323"/>
      <c r="F112" s="323"/>
      <c r="G112" s="322"/>
      <c r="H112" s="322"/>
      <c r="I112" s="323"/>
      <c r="J112" s="362"/>
      <c r="K112" s="368" t="s">
        <v>218</v>
      </c>
      <c r="L112" s="337">
        <v>5000000</v>
      </c>
      <c r="M112" s="337">
        <v>0</v>
      </c>
      <c r="N112" s="43">
        <f t="shared" ref="N112" si="20">L112-M112</f>
        <v>5000000</v>
      </c>
      <c r="O112" s="337"/>
      <c r="P112" s="337"/>
      <c r="Q112" s="363">
        <v>0</v>
      </c>
      <c r="R112" s="364">
        <v>4980000</v>
      </c>
      <c r="S112" s="364">
        <f>Q112+R112</f>
        <v>4980000</v>
      </c>
      <c r="T112" s="327">
        <f>S112/N112*100</f>
        <v>99.6</v>
      </c>
      <c r="U112" s="43">
        <f t="shared" si="14"/>
        <v>20000</v>
      </c>
      <c r="V112" s="42"/>
      <c r="W112" s="22"/>
      <c r="X112" s="22">
        <f t="shared" si="16"/>
        <v>0</v>
      </c>
      <c r="Z112" s="65">
        <f t="shared" si="18"/>
        <v>0</v>
      </c>
    </row>
    <row r="113" spans="1:26" x14ac:dyDescent="0.25">
      <c r="A113" s="240"/>
      <c r="B113" s="329"/>
      <c r="C113" s="331"/>
      <c r="D113" s="323"/>
      <c r="E113" s="323"/>
      <c r="F113" s="323"/>
      <c r="G113" s="322"/>
      <c r="H113" s="322"/>
      <c r="I113" s="323"/>
      <c r="J113" s="362"/>
      <c r="K113" s="368"/>
      <c r="L113" s="337"/>
      <c r="M113" s="337"/>
      <c r="N113" s="43"/>
      <c r="O113" s="337"/>
      <c r="P113" s="337"/>
      <c r="Q113" s="363"/>
      <c r="R113" s="364"/>
      <c r="S113" s="364"/>
      <c r="T113" s="327"/>
      <c r="U113" s="43"/>
      <c r="V113" s="42"/>
      <c r="W113" s="22"/>
      <c r="X113" s="22"/>
      <c r="Z113" s="22" t="e">
        <f t="shared" si="18"/>
        <v>#DIV/0!</v>
      </c>
    </row>
    <row r="114" spans="1:26" x14ac:dyDescent="0.25">
      <c r="A114" s="394"/>
      <c r="B114" s="514" t="s">
        <v>253</v>
      </c>
      <c r="C114" s="515"/>
      <c r="D114" s="515"/>
      <c r="E114" s="515"/>
      <c r="F114" s="516"/>
      <c r="G114" s="401"/>
      <c r="H114" s="401"/>
      <c r="I114" s="395"/>
      <c r="J114" s="396"/>
      <c r="K114" s="421" t="s">
        <v>219</v>
      </c>
      <c r="L114" s="402">
        <v>12500000</v>
      </c>
      <c r="M114" s="402">
        <v>0</v>
      </c>
      <c r="N114" s="402">
        <f>L114-M114</f>
        <v>12500000</v>
      </c>
      <c r="O114" s="402"/>
      <c r="P114" s="402"/>
      <c r="Q114" s="419">
        <v>100000</v>
      </c>
      <c r="R114" s="399">
        <v>6166500</v>
      </c>
      <c r="S114" s="399">
        <f>Q114+R114</f>
        <v>6266500</v>
      </c>
      <c r="T114" s="400">
        <f>S114/N114*100</f>
        <v>50.131999999999998</v>
      </c>
      <c r="U114" s="398">
        <f t="shared" ref="U114" si="21">N114-S114</f>
        <v>6233500</v>
      </c>
      <c r="V114" s="42"/>
      <c r="W114" s="22"/>
      <c r="X114" s="22">
        <f t="shared" si="16"/>
        <v>0.8</v>
      </c>
      <c r="Z114" s="65">
        <f t="shared" si="18"/>
        <v>0.8</v>
      </c>
    </row>
    <row r="115" spans="1:26" x14ac:dyDescent="0.25">
      <c r="A115" s="240"/>
      <c r="B115" s="329"/>
      <c r="C115" s="331"/>
      <c r="D115" s="323"/>
      <c r="E115" s="323"/>
      <c r="F115" s="323"/>
      <c r="G115" s="322"/>
      <c r="H115" s="322"/>
      <c r="I115" s="323"/>
      <c r="J115" s="362"/>
      <c r="K115" s="368"/>
      <c r="L115" s="337"/>
      <c r="M115" s="337"/>
      <c r="N115" s="43"/>
      <c r="O115" s="337"/>
      <c r="P115" s="337"/>
      <c r="Q115" s="363"/>
      <c r="R115" s="364"/>
      <c r="S115" s="364"/>
      <c r="T115" s="327"/>
      <c r="U115" s="43"/>
      <c r="V115" s="42"/>
      <c r="W115" s="22"/>
      <c r="X115" s="22"/>
      <c r="Z115" s="22" t="e">
        <f t="shared" si="18"/>
        <v>#DIV/0!</v>
      </c>
    </row>
    <row r="116" spans="1:26" x14ac:dyDescent="0.25">
      <c r="A116" s="394"/>
      <c r="B116" s="514" t="s">
        <v>254</v>
      </c>
      <c r="C116" s="515"/>
      <c r="D116" s="515"/>
      <c r="E116" s="515"/>
      <c r="F116" s="516"/>
      <c r="G116" s="401"/>
      <c r="H116" s="401"/>
      <c r="I116" s="395"/>
      <c r="J116" s="396"/>
      <c r="K116" s="421" t="s">
        <v>220</v>
      </c>
      <c r="L116" s="402">
        <v>15000000</v>
      </c>
      <c r="M116" s="402">
        <v>0</v>
      </c>
      <c r="N116" s="402">
        <f>L116-M116</f>
        <v>15000000</v>
      </c>
      <c r="O116" s="402"/>
      <c r="P116" s="402"/>
      <c r="Q116" s="419">
        <v>0</v>
      </c>
      <c r="R116" s="399">
        <v>15000000</v>
      </c>
      <c r="S116" s="399">
        <f>Q116+R116</f>
        <v>15000000</v>
      </c>
      <c r="T116" s="400">
        <f>S116/N116*100</f>
        <v>100</v>
      </c>
      <c r="U116" s="398">
        <f t="shared" ref="U116" si="22">N116-S116</f>
        <v>0</v>
      </c>
      <c r="V116" s="42"/>
      <c r="W116" s="22"/>
      <c r="X116" s="22">
        <f t="shared" si="16"/>
        <v>0</v>
      </c>
      <c r="Z116" s="65">
        <f t="shared" si="18"/>
        <v>0</v>
      </c>
    </row>
    <row r="117" spans="1:26" x14ac:dyDescent="0.25">
      <c r="A117" s="240"/>
      <c r="B117" s="329"/>
      <c r="C117" s="331"/>
      <c r="D117" s="323"/>
      <c r="E117" s="323"/>
      <c r="F117" s="323"/>
      <c r="G117" s="322"/>
      <c r="H117" s="322"/>
      <c r="I117" s="323"/>
      <c r="J117" s="324"/>
      <c r="K117" s="334"/>
      <c r="L117" s="332"/>
      <c r="M117" s="332"/>
      <c r="N117" s="335"/>
      <c r="O117" s="332"/>
      <c r="P117" s="332"/>
      <c r="Q117" s="325"/>
      <c r="R117" s="141"/>
      <c r="S117" s="141"/>
      <c r="T117" s="327"/>
      <c r="U117" s="43"/>
      <c r="V117" s="42"/>
      <c r="W117" s="22"/>
      <c r="X117" s="22"/>
      <c r="Z117" s="22" t="e">
        <f t="shared" si="18"/>
        <v>#DIV/0!</v>
      </c>
    </row>
    <row r="118" spans="1:26" x14ac:dyDescent="0.25">
      <c r="A118" s="39"/>
      <c r="B118" s="383">
        <v>4</v>
      </c>
      <c r="C118" s="384"/>
      <c r="D118" s="385"/>
      <c r="E118" s="385"/>
      <c r="F118" s="385"/>
      <c r="G118" s="386"/>
      <c r="H118" s="386"/>
      <c r="I118" s="385"/>
      <c r="J118" s="343"/>
      <c r="K118" s="344" t="s">
        <v>135</v>
      </c>
      <c r="L118" s="42">
        <f>L121+L133</f>
        <v>656145000</v>
      </c>
      <c r="M118" s="42">
        <f>M121+M133</f>
        <v>0</v>
      </c>
      <c r="N118" s="42">
        <f>L118-M118</f>
        <v>656145000</v>
      </c>
      <c r="O118" s="345"/>
      <c r="P118" s="345"/>
      <c r="Q118" s="42">
        <f>Q121+Q133</f>
        <v>123753800</v>
      </c>
      <c r="R118" s="42">
        <v>256620000</v>
      </c>
      <c r="S118" s="42">
        <f>Q118+R118</f>
        <v>380373800</v>
      </c>
      <c r="T118" s="291">
        <f>S118/N118*100</f>
        <v>57.970997264324197</v>
      </c>
      <c r="U118" s="42">
        <f t="shared" ref="U118:U144" si="23">N118-S118</f>
        <v>275771200</v>
      </c>
      <c r="V118" s="42">
        <f t="shared" si="17"/>
        <v>137885600</v>
      </c>
      <c r="W118" s="22">
        <f>Q118/N118*100</f>
        <v>18.860739623101601</v>
      </c>
      <c r="X118" s="22">
        <f t="shared" si="16"/>
        <v>18.860739623101601</v>
      </c>
      <c r="Z118" s="22">
        <f t="shared" si="18"/>
        <v>18.860739623101601</v>
      </c>
    </row>
    <row r="119" spans="1:26" x14ac:dyDescent="0.25">
      <c r="A119" s="240"/>
      <c r="B119" s="329"/>
      <c r="C119" s="331"/>
      <c r="D119" s="323"/>
      <c r="E119" s="323"/>
      <c r="F119" s="323"/>
      <c r="G119" s="322"/>
      <c r="H119" s="322"/>
      <c r="I119" s="323"/>
      <c r="J119" s="324"/>
      <c r="K119" s="334"/>
      <c r="L119" s="332"/>
      <c r="M119" s="332"/>
      <c r="N119" s="335"/>
      <c r="O119" s="332"/>
      <c r="P119" s="332"/>
      <c r="Q119" s="325"/>
      <c r="R119" s="141"/>
      <c r="S119" s="141"/>
      <c r="T119" s="327"/>
      <c r="U119" s="43"/>
      <c r="V119" s="42">
        <f t="shared" si="17"/>
        <v>0</v>
      </c>
      <c r="W119" s="22"/>
      <c r="X119" s="22"/>
      <c r="Z119" s="22" t="e">
        <f t="shared" si="18"/>
        <v>#DIV/0!</v>
      </c>
    </row>
    <row r="120" spans="1:26" x14ac:dyDescent="0.25">
      <c r="A120" s="240"/>
      <c r="B120" s="329"/>
      <c r="C120" s="331"/>
      <c r="D120" s="323"/>
      <c r="E120" s="323"/>
      <c r="F120" s="323"/>
      <c r="G120" s="322"/>
      <c r="H120" s="322"/>
      <c r="I120" s="323"/>
      <c r="J120" s="324"/>
      <c r="K120" s="334"/>
      <c r="L120" s="332"/>
      <c r="M120" s="332"/>
      <c r="N120" s="335"/>
      <c r="O120" s="332"/>
      <c r="P120" s="332"/>
      <c r="Q120" s="325"/>
      <c r="R120" s="141"/>
      <c r="S120" s="141"/>
      <c r="T120" s="327"/>
      <c r="U120" s="43"/>
      <c r="V120" s="42">
        <f t="shared" si="17"/>
        <v>0</v>
      </c>
      <c r="W120" s="22"/>
      <c r="X120" s="22"/>
      <c r="Z120" s="22" t="e">
        <f t="shared" si="18"/>
        <v>#DIV/0!</v>
      </c>
    </row>
    <row r="121" spans="1:26" x14ac:dyDescent="0.25">
      <c r="A121" s="394"/>
      <c r="B121" s="404" t="s">
        <v>255</v>
      </c>
      <c r="C121" s="423"/>
      <c r="D121" s="416"/>
      <c r="E121" s="414"/>
      <c r="F121" s="414"/>
      <c r="G121" s="413"/>
      <c r="H121" s="413"/>
      <c r="I121" s="414"/>
      <c r="J121" s="415"/>
      <c r="K121" s="421" t="s">
        <v>256</v>
      </c>
      <c r="L121" s="398">
        <f>L123+L125+L127+L129+L131</f>
        <v>189650000</v>
      </c>
      <c r="M121" s="398">
        <f>M123+M125+M127+M129</f>
        <v>0</v>
      </c>
      <c r="N121" s="398">
        <f t="shared" ref="N121:N152" si="24">L121-M121</f>
        <v>189650000</v>
      </c>
      <c r="O121" s="402"/>
      <c r="P121" s="402"/>
      <c r="Q121" s="399">
        <f>Q123+Q125+Q126</f>
        <v>102633500</v>
      </c>
      <c r="R121" s="399">
        <v>25650000</v>
      </c>
      <c r="S121" s="399">
        <f>Q121+R121</f>
        <v>128283500</v>
      </c>
      <c r="T121" s="400">
        <f>S121/N121*100</f>
        <v>67.642235697337199</v>
      </c>
      <c r="U121" s="398">
        <f t="shared" si="23"/>
        <v>61366500</v>
      </c>
      <c r="V121" s="42">
        <f t="shared" si="17"/>
        <v>30683250</v>
      </c>
      <c r="W121" s="22">
        <f t="shared" ref="W121:W154" si="25">Q121/N121*100</f>
        <v>54.117321381492225</v>
      </c>
      <c r="X121" s="22">
        <f t="shared" si="16"/>
        <v>54.117321381492225</v>
      </c>
      <c r="Z121" s="65">
        <f t="shared" si="18"/>
        <v>54.117321381492225</v>
      </c>
    </row>
    <row r="122" spans="1:26" x14ac:dyDescent="0.25">
      <c r="A122" s="240"/>
      <c r="B122" s="329"/>
      <c r="C122" s="331"/>
      <c r="D122" s="323"/>
      <c r="E122" s="323"/>
      <c r="F122" s="323"/>
      <c r="G122" s="322"/>
      <c r="H122" s="322"/>
      <c r="I122" s="323"/>
      <c r="J122" s="324"/>
      <c r="K122" s="334"/>
      <c r="L122" s="332"/>
      <c r="M122" s="332"/>
      <c r="N122" s="335">
        <f t="shared" si="24"/>
        <v>0</v>
      </c>
      <c r="O122" s="332"/>
      <c r="P122" s="332"/>
      <c r="Q122" s="325"/>
      <c r="R122" s="141"/>
      <c r="S122" s="141"/>
      <c r="T122" s="327"/>
      <c r="U122" s="43"/>
      <c r="V122" s="42">
        <f t="shared" si="17"/>
        <v>0</v>
      </c>
      <c r="W122" s="22"/>
      <c r="X122" s="22"/>
      <c r="Z122" s="22" t="e">
        <f t="shared" si="18"/>
        <v>#DIV/0!</v>
      </c>
    </row>
    <row r="123" spans="1:26" x14ac:dyDescent="0.25">
      <c r="A123" s="240"/>
      <c r="B123" s="329"/>
      <c r="C123" s="331"/>
      <c r="D123" s="323"/>
      <c r="E123" s="323"/>
      <c r="F123" s="323"/>
      <c r="G123" s="322"/>
      <c r="H123" s="322"/>
      <c r="I123" s="323"/>
      <c r="J123" s="324"/>
      <c r="K123" s="336" t="s">
        <v>221</v>
      </c>
      <c r="L123" s="326">
        <v>39000000</v>
      </c>
      <c r="M123" s="326">
        <v>0</v>
      </c>
      <c r="N123" s="43">
        <f t="shared" si="24"/>
        <v>39000000</v>
      </c>
      <c r="O123" s="332"/>
      <c r="P123" s="332"/>
      <c r="Q123" s="141">
        <v>0</v>
      </c>
      <c r="R123" s="141">
        <v>0</v>
      </c>
      <c r="S123" s="141">
        <f>Q123+R123</f>
        <v>0</v>
      </c>
      <c r="T123" s="327">
        <f>S123/N123*100</f>
        <v>0</v>
      </c>
      <c r="U123" s="43">
        <f t="shared" si="23"/>
        <v>39000000</v>
      </c>
      <c r="V123" s="42">
        <f t="shared" si="17"/>
        <v>19500000</v>
      </c>
      <c r="W123" s="22">
        <f t="shared" si="25"/>
        <v>0</v>
      </c>
      <c r="X123" s="22">
        <f t="shared" si="16"/>
        <v>0</v>
      </c>
      <c r="Z123" s="22">
        <f t="shared" si="18"/>
        <v>0</v>
      </c>
    </row>
    <row r="124" spans="1:26" x14ac:dyDescent="0.25">
      <c r="A124" s="240"/>
      <c r="B124" s="329"/>
      <c r="C124" s="331"/>
      <c r="D124" s="323"/>
      <c r="E124" s="323"/>
      <c r="F124" s="323"/>
      <c r="G124" s="322"/>
      <c r="H124" s="322"/>
      <c r="I124" s="323"/>
      <c r="J124" s="324"/>
      <c r="K124" s="336"/>
      <c r="L124" s="43">
        <f>L125+L127+L129+L131</f>
        <v>150650000</v>
      </c>
      <c r="M124" s="43"/>
      <c r="N124" s="43">
        <f>N125+N127+N129+N131</f>
        <v>150650000</v>
      </c>
      <c r="O124" s="337"/>
      <c r="P124" s="337"/>
      <c r="Q124" s="43">
        <f>Q125+Q127+Q129+Q131</f>
        <v>102633500</v>
      </c>
      <c r="R124" s="43">
        <v>25650000</v>
      </c>
      <c r="S124" s="43">
        <f>S125+S127+S129+S131</f>
        <v>128283500</v>
      </c>
      <c r="T124" s="327">
        <f>S124/N124*100</f>
        <v>85.153335545967479</v>
      </c>
      <c r="U124" s="43">
        <f t="shared" si="23"/>
        <v>22366500</v>
      </c>
      <c r="V124" s="270">
        <f t="shared" si="17"/>
        <v>11183250</v>
      </c>
      <c r="W124" s="273"/>
      <c r="X124" s="22">
        <f t="shared" si="16"/>
        <v>68.127115831397276</v>
      </c>
      <c r="Y124" s="274"/>
      <c r="Z124" s="22">
        <f t="shared" si="18"/>
        <v>68.127115831397276</v>
      </c>
    </row>
    <row r="125" spans="1:26" x14ac:dyDescent="0.25">
      <c r="A125" s="240"/>
      <c r="B125" s="329"/>
      <c r="C125" s="331"/>
      <c r="D125" s="323"/>
      <c r="E125" s="323"/>
      <c r="F125" s="323"/>
      <c r="G125" s="322"/>
      <c r="H125" s="322"/>
      <c r="I125" s="323"/>
      <c r="J125" s="324"/>
      <c r="K125" s="336" t="s">
        <v>301</v>
      </c>
      <c r="L125" s="326">
        <v>100000000</v>
      </c>
      <c r="M125" s="326">
        <v>0</v>
      </c>
      <c r="N125" s="335">
        <f t="shared" si="24"/>
        <v>100000000</v>
      </c>
      <c r="O125" s="332"/>
      <c r="P125" s="332"/>
      <c r="Q125" s="141">
        <v>98733500</v>
      </c>
      <c r="R125" s="141">
        <v>0</v>
      </c>
      <c r="S125" s="141">
        <f t="shared" ref="S125:S129" si="26">Q125+R125</f>
        <v>98733500</v>
      </c>
      <c r="T125" s="327"/>
      <c r="U125" s="43">
        <f t="shared" si="23"/>
        <v>1266500</v>
      </c>
      <c r="V125" s="42">
        <f t="shared" si="17"/>
        <v>633250</v>
      </c>
      <c r="W125" s="22"/>
      <c r="X125" s="22">
        <f t="shared" si="16"/>
        <v>98.733499999999992</v>
      </c>
      <c r="Z125" s="22">
        <f t="shared" si="18"/>
        <v>98.733499999999992</v>
      </c>
    </row>
    <row r="126" spans="1:26" x14ac:dyDescent="0.25">
      <c r="A126" s="240"/>
      <c r="B126" s="329"/>
      <c r="C126" s="331"/>
      <c r="D126" s="323"/>
      <c r="E126" s="323"/>
      <c r="F126" s="323"/>
      <c r="G126" s="322"/>
      <c r="H126" s="322"/>
      <c r="I126" s="323"/>
      <c r="J126" s="324"/>
      <c r="K126" s="336" t="s">
        <v>275</v>
      </c>
      <c r="L126" s="326">
        <f>L127+L129+L131</f>
        <v>50650000</v>
      </c>
      <c r="M126" s="326"/>
      <c r="N126" s="326">
        <f>N127+N129+N131</f>
        <v>50650000</v>
      </c>
      <c r="O126" s="332"/>
      <c r="P126" s="332"/>
      <c r="Q126" s="326">
        <f>Q127+Q129+Q131</f>
        <v>3900000</v>
      </c>
      <c r="R126" s="326">
        <v>25650000</v>
      </c>
      <c r="S126" s="141">
        <f>Q126+R126</f>
        <v>29550000</v>
      </c>
      <c r="T126" s="327">
        <f>S126/N126*100</f>
        <v>58.341559723593285</v>
      </c>
      <c r="U126" s="43">
        <f t="shared" si="23"/>
        <v>21100000</v>
      </c>
      <c r="V126" s="42">
        <f t="shared" si="17"/>
        <v>10550000</v>
      </c>
      <c r="W126" s="22"/>
      <c r="X126" s="22"/>
      <c r="Z126" s="22">
        <f t="shared" si="18"/>
        <v>7.6999012833168807</v>
      </c>
    </row>
    <row r="127" spans="1:26" x14ac:dyDescent="0.25">
      <c r="A127" s="240"/>
      <c r="B127" s="329"/>
      <c r="C127" s="331"/>
      <c r="D127" s="323"/>
      <c r="E127" s="323"/>
      <c r="F127" s="323"/>
      <c r="G127" s="322"/>
      <c r="H127" s="322"/>
      <c r="I127" s="323"/>
      <c r="J127" s="324"/>
      <c r="K127" s="336" t="s">
        <v>224</v>
      </c>
      <c r="L127" s="326">
        <v>3600000</v>
      </c>
      <c r="M127" s="326">
        <v>0</v>
      </c>
      <c r="N127" s="335">
        <f t="shared" si="24"/>
        <v>3600000</v>
      </c>
      <c r="O127" s="332"/>
      <c r="P127" s="332"/>
      <c r="Q127" s="141">
        <v>0</v>
      </c>
      <c r="R127" s="141">
        <v>1200000</v>
      </c>
      <c r="S127" s="141">
        <f t="shared" si="26"/>
        <v>1200000</v>
      </c>
      <c r="T127" s="327">
        <f>S127/N127*100</f>
        <v>33.333333333333329</v>
      </c>
      <c r="U127" s="43">
        <f t="shared" si="23"/>
        <v>2400000</v>
      </c>
      <c r="V127" s="42">
        <f t="shared" si="17"/>
        <v>1200000</v>
      </c>
      <c r="W127" s="22"/>
      <c r="X127" s="22">
        <f t="shared" si="16"/>
        <v>0</v>
      </c>
      <c r="Z127" s="22">
        <f t="shared" si="18"/>
        <v>0</v>
      </c>
    </row>
    <row r="128" spans="1:26" x14ac:dyDescent="0.25">
      <c r="A128" s="240"/>
      <c r="B128" s="329"/>
      <c r="C128" s="331"/>
      <c r="D128" s="323"/>
      <c r="E128" s="323"/>
      <c r="F128" s="323"/>
      <c r="G128" s="322"/>
      <c r="H128" s="322"/>
      <c r="I128" s="323"/>
      <c r="J128" s="324"/>
      <c r="K128" s="336"/>
      <c r="L128" s="326"/>
      <c r="M128" s="326"/>
      <c r="N128" s="335"/>
      <c r="O128" s="332"/>
      <c r="P128" s="332"/>
      <c r="Q128" s="141"/>
      <c r="R128" s="141"/>
      <c r="S128" s="141"/>
      <c r="T128" s="327"/>
      <c r="U128" s="43"/>
      <c r="V128" s="42">
        <f t="shared" si="17"/>
        <v>0</v>
      </c>
      <c r="W128" s="22"/>
      <c r="X128" s="22"/>
      <c r="Z128" s="22" t="e">
        <f t="shared" si="18"/>
        <v>#DIV/0!</v>
      </c>
    </row>
    <row r="129" spans="1:32" x14ac:dyDescent="0.25">
      <c r="A129" s="240"/>
      <c r="B129" s="329"/>
      <c r="C129" s="331"/>
      <c r="D129" s="323"/>
      <c r="E129" s="323"/>
      <c r="F129" s="323"/>
      <c r="G129" s="322"/>
      <c r="H129" s="322"/>
      <c r="I129" s="323"/>
      <c r="J129" s="324"/>
      <c r="K129" s="336" t="s">
        <v>141</v>
      </c>
      <c r="L129" s="326">
        <v>43900000</v>
      </c>
      <c r="M129" s="326">
        <v>0</v>
      </c>
      <c r="N129" s="335">
        <f t="shared" si="24"/>
        <v>43900000</v>
      </c>
      <c r="O129" s="332"/>
      <c r="P129" s="332"/>
      <c r="Q129" s="141">
        <v>3900000</v>
      </c>
      <c r="R129" s="141">
        <v>24450000</v>
      </c>
      <c r="S129" s="141">
        <f t="shared" si="26"/>
        <v>28350000</v>
      </c>
      <c r="T129" s="327">
        <f>S129/N129*100</f>
        <v>64.578587699316628</v>
      </c>
      <c r="U129" s="43">
        <f t="shared" si="23"/>
        <v>15550000</v>
      </c>
      <c r="V129" s="42">
        <f t="shared" si="17"/>
        <v>7775000</v>
      </c>
      <c r="W129" s="22">
        <f t="shared" si="25"/>
        <v>8.8838268792710693</v>
      </c>
      <c r="X129" s="22">
        <f t="shared" si="16"/>
        <v>8.8838268792710693</v>
      </c>
      <c r="Z129" s="22">
        <f t="shared" si="18"/>
        <v>8.8838268792710693</v>
      </c>
    </row>
    <row r="130" spans="1:32" x14ac:dyDescent="0.25">
      <c r="A130" s="240"/>
      <c r="B130" s="329"/>
      <c r="C130" s="331"/>
      <c r="D130" s="323"/>
      <c r="E130" s="323"/>
      <c r="F130" s="323"/>
      <c r="G130" s="322"/>
      <c r="H130" s="322"/>
      <c r="I130" s="323"/>
      <c r="J130" s="324"/>
      <c r="K130" s="336"/>
      <c r="L130" s="326"/>
      <c r="M130" s="326"/>
      <c r="N130" s="335"/>
      <c r="O130" s="332"/>
      <c r="P130" s="332"/>
      <c r="Q130" s="141"/>
      <c r="R130" s="141"/>
      <c r="S130" s="141"/>
      <c r="T130" s="327" t="e">
        <f>S130/N130*100</f>
        <v>#DIV/0!</v>
      </c>
      <c r="U130" s="43"/>
      <c r="V130" s="42"/>
      <c r="W130" s="22"/>
      <c r="X130" s="22"/>
      <c r="Z130" s="22"/>
    </row>
    <row r="131" spans="1:32" x14ac:dyDescent="0.25">
      <c r="A131" s="240"/>
      <c r="B131" s="329"/>
      <c r="C131" s="331"/>
      <c r="D131" s="323"/>
      <c r="E131" s="323"/>
      <c r="F131" s="323"/>
      <c r="G131" s="322"/>
      <c r="H131" s="322"/>
      <c r="I131" s="323"/>
      <c r="J131" s="324"/>
      <c r="K131" s="336" t="s">
        <v>223</v>
      </c>
      <c r="L131" s="326">
        <v>3150000</v>
      </c>
      <c r="M131" s="326">
        <v>0</v>
      </c>
      <c r="N131" s="335">
        <f t="shared" si="24"/>
        <v>3150000</v>
      </c>
      <c r="O131" s="332"/>
      <c r="P131" s="332"/>
      <c r="Q131" s="141"/>
      <c r="R131" s="141"/>
      <c r="S131" s="141"/>
      <c r="T131" s="327">
        <f>S131/N131*100</f>
        <v>0</v>
      </c>
      <c r="U131" s="43">
        <f t="shared" si="23"/>
        <v>3150000</v>
      </c>
      <c r="V131" s="42"/>
      <c r="W131" s="22"/>
      <c r="X131" s="22">
        <f t="shared" si="16"/>
        <v>0</v>
      </c>
      <c r="Z131" s="22"/>
    </row>
    <row r="132" spans="1:32" x14ac:dyDescent="0.25">
      <c r="A132" s="240"/>
      <c r="B132" s="329"/>
      <c r="C132" s="331"/>
      <c r="D132" s="323"/>
      <c r="E132" s="323"/>
      <c r="F132" s="323"/>
      <c r="G132" s="322"/>
      <c r="H132" s="322"/>
      <c r="I132" s="323"/>
      <c r="J132" s="324"/>
      <c r="K132" s="334"/>
      <c r="L132" s="332"/>
      <c r="M132" s="332"/>
      <c r="N132" s="335"/>
      <c r="O132" s="332"/>
      <c r="P132" s="332"/>
      <c r="Q132" s="325"/>
      <c r="R132" s="141"/>
      <c r="S132" s="141"/>
      <c r="T132" s="327"/>
      <c r="U132" s="43"/>
      <c r="V132" s="42">
        <f t="shared" si="17"/>
        <v>0</v>
      </c>
      <c r="W132" s="22"/>
      <c r="X132" s="22"/>
      <c r="Z132" s="22" t="e">
        <f t="shared" si="18"/>
        <v>#DIV/0!</v>
      </c>
    </row>
    <row r="133" spans="1:32" x14ac:dyDescent="0.25">
      <c r="A133" s="403"/>
      <c r="B133" s="514" t="s">
        <v>257</v>
      </c>
      <c r="C133" s="515"/>
      <c r="D133" s="515"/>
      <c r="E133" s="515"/>
      <c r="F133" s="515"/>
      <c r="G133" s="516"/>
      <c r="H133" s="412"/>
      <c r="I133" s="409"/>
      <c r="J133" s="410"/>
      <c r="K133" s="424" t="s">
        <v>143</v>
      </c>
      <c r="L133" s="398">
        <f>L135+L137+L139+L146</f>
        <v>466495000</v>
      </c>
      <c r="M133" s="398">
        <f>M135+M137+M139+M144+M146</f>
        <v>0</v>
      </c>
      <c r="N133" s="398">
        <f t="shared" ref="N133" si="27">L133-M133</f>
        <v>466495000</v>
      </c>
      <c r="O133" s="402"/>
      <c r="P133" s="402"/>
      <c r="Q133" s="398">
        <f>Q135+Q137+Q139+Q144+Q146</f>
        <v>21120300</v>
      </c>
      <c r="R133" s="398">
        <v>230970000</v>
      </c>
      <c r="S133" s="398">
        <f t="shared" ref="S133:S144" si="28">Q133+R133</f>
        <v>252090300</v>
      </c>
      <c r="T133" s="400">
        <f>S133/N133*100</f>
        <v>54.039228716277776</v>
      </c>
      <c r="U133" s="398">
        <f t="shared" si="23"/>
        <v>214404700</v>
      </c>
      <c r="V133" s="42">
        <f t="shared" si="17"/>
        <v>107202350</v>
      </c>
      <c r="W133" s="22">
        <f t="shared" si="25"/>
        <v>4.5274440240517047</v>
      </c>
      <c r="X133" s="22">
        <f t="shared" si="16"/>
        <v>4.5274440240517047</v>
      </c>
      <c r="Z133" s="65">
        <f t="shared" si="18"/>
        <v>4.5274440240517047</v>
      </c>
    </row>
    <row r="134" spans="1:32" x14ac:dyDescent="0.25">
      <c r="A134" s="232"/>
      <c r="B134" s="314"/>
      <c r="C134" s="314"/>
      <c r="D134" s="348"/>
      <c r="E134" s="349"/>
      <c r="F134" s="349"/>
      <c r="G134" s="349"/>
      <c r="H134" s="318"/>
      <c r="I134" s="319"/>
      <c r="J134" s="312"/>
      <c r="K134" s="377"/>
      <c r="L134" s="43"/>
      <c r="M134" s="43"/>
      <c r="N134" s="43"/>
      <c r="O134" s="337"/>
      <c r="P134" s="337"/>
      <c r="Q134" s="43"/>
      <c r="R134" s="43"/>
      <c r="S134" s="43"/>
      <c r="T134" s="327"/>
      <c r="U134" s="43"/>
      <c r="V134" s="42"/>
      <c r="W134" s="22"/>
      <c r="X134" s="22"/>
      <c r="Z134" s="65"/>
    </row>
    <row r="135" spans="1:32" x14ac:dyDescent="0.25">
      <c r="A135" s="255"/>
      <c r="B135" s="328"/>
      <c r="C135" s="328"/>
      <c r="D135" s="350"/>
      <c r="E135" s="349"/>
      <c r="F135" s="349"/>
      <c r="G135" s="349"/>
      <c r="H135" s="318"/>
      <c r="I135" s="319"/>
      <c r="J135" s="362"/>
      <c r="K135" s="468" t="s">
        <v>225</v>
      </c>
      <c r="L135" s="466">
        <v>11750000</v>
      </c>
      <c r="M135" s="466">
        <v>0</v>
      </c>
      <c r="N135" s="467">
        <f t="shared" si="24"/>
        <v>11750000</v>
      </c>
      <c r="O135" s="466"/>
      <c r="P135" s="466"/>
      <c r="Q135" s="466">
        <v>4480300</v>
      </c>
      <c r="R135" s="470">
        <v>5700000</v>
      </c>
      <c r="S135" s="470">
        <f t="shared" si="28"/>
        <v>10180300</v>
      </c>
      <c r="T135" s="471">
        <f t="shared" ref="T135" si="29">S135/N135*100</f>
        <v>86.640851063829786</v>
      </c>
      <c r="U135" s="466">
        <f t="shared" si="23"/>
        <v>1569700</v>
      </c>
      <c r="V135" s="42">
        <f t="shared" si="17"/>
        <v>784850</v>
      </c>
      <c r="W135" s="22"/>
      <c r="X135" s="22">
        <f t="shared" si="16"/>
        <v>38.130212765957445</v>
      </c>
      <c r="Z135" s="22">
        <f t="shared" si="18"/>
        <v>38.130212765957445</v>
      </c>
    </row>
    <row r="136" spans="1:32" x14ac:dyDescent="0.25">
      <c r="A136" s="255"/>
      <c r="B136" s="328"/>
      <c r="C136" s="328"/>
      <c r="D136" s="348"/>
      <c r="E136" s="349"/>
      <c r="F136" s="349"/>
      <c r="G136" s="349"/>
      <c r="H136" s="318"/>
      <c r="I136" s="319"/>
      <c r="J136" s="362"/>
      <c r="K136" s="368"/>
      <c r="L136" s="337"/>
      <c r="M136" s="337"/>
      <c r="N136" s="337"/>
      <c r="O136" s="337"/>
      <c r="P136" s="337"/>
      <c r="Q136" s="337"/>
      <c r="R136" s="363"/>
      <c r="S136" s="363"/>
      <c r="T136" s="327"/>
      <c r="U136" s="43"/>
      <c r="V136" s="42">
        <f t="shared" si="17"/>
        <v>0</v>
      </c>
      <c r="W136" s="22"/>
      <c r="X136" s="22"/>
      <c r="Z136" s="22" t="e">
        <f t="shared" si="18"/>
        <v>#DIV/0!</v>
      </c>
    </row>
    <row r="137" spans="1:32" x14ac:dyDescent="0.25">
      <c r="A137" s="255"/>
      <c r="B137" s="328"/>
      <c r="C137" s="328"/>
      <c r="D137" s="348"/>
      <c r="E137" s="349"/>
      <c r="F137" s="349"/>
      <c r="G137" s="349"/>
      <c r="H137" s="318"/>
      <c r="I137" s="319"/>
      <c r="J137" s="362"/>
      <c r="K137" s="368" t="s">
        <v>226</v>
      </c>
      <c r="L137" s="337">
        <v>895000</v>
      </c>
      <c r="M137" s="337">
        <v>0</v>
      </c>
      <c r="N137" s="337">
        <f t="shared" si="24"/>
        <v>895000</v>
      </c>
      <c r="O137" s="337"/>
      <c r="P137" s="337"/>
      <c r="Q137" s="337">
        <v>0</v>
      </c>
      <c r="R137" s="363">
        <v>0</v>
      </c>
      <c r="S137" s="363">
        <f t="shared" si="28"/>
        <v>0</v>
      </c>
      <c r="T137" s="327"/>
      <c r="U137" s="43">
        <f t="shared" si="23"/>
        <v>895000</v>
      </c>
      <c r="V137" s="42">
        <f t="shared" si="17"/>
        <v>447500</v>
      </c>
      <c r="W137" s="22"/>
      <c r="X137" s="22">
        <f t="shared" si="16"/>
        <v>0</v>
      </c>
      <c r="Z137" s="22">
        <f t="shared" si="18"/>
        <v>0</v>
      </c>
    </row>
    <row r="138" spans="1:32" x14ac:dyDescent="0.25">
      <c r="A138" s="240"/>
      <c r="B138" s="329"/>
      <c r="C138" s="331"/>
      <c r="D138" s="323"/>
      <c r="E138" s="323"/>
      <c r="F138" s="323"/>
      <c r="G138" s="322"/>
      <c r="H138" s="322"/>
      <c r="I138" s="323"/>
      <c r="J138" s="362"/>
      <c r="K138" s="368"/>
      <c r="L138" s="337"/>
      <c r="M138" s="337"/>
      <c r="N138" s="337"/>
      <c r="O138" s="43"/>
      <c r="P138" s="43"/>
      <c r="Q138" s="363"/>
      <c r="R138" s="364"/>
      <c r="S138" s="364"/>
      <c r="T138" s="327"/>
      <c r="U138" s="43"/>
      <c r="V138" s="42">
        <f t="shared" si="17"/>
        <v>0</v>
      </c>
      <c r="W138" s="22"/>
      <c r="X138" s="22"/>
      <c r="Z138" s="22" t="e">
        <f t="shared" si="18"/>
        <v>#DIV/0!</v>
      </c>
    </row>
    <row r="139" spans="1:32" x14ac:dyDescent="0.25">
      <c r="A139" s="240"/>
      <c r="B139" s="329"/>
      <c r="C139" s="331"/>
      <c r="D139" s="350"/>
      <c r="E139" s="351"/>
      <c r="F139" s="351"/>
      <c r="G139" s="351"/>
      <c r="H139" s="318"/>
      <c r="I139" s="319"/>
      <c r="J139" s="362"/>
      <c r="K139" s="465" t="s">
        <v>227</v>
      </c>
      <c r="L139" s="466">
        <f>L140+L141+L142+L144</f>
        <v>355800000</v>
      </c>
      <c r="M139" s="466">
        <f>M140+M141</f>
        <v>0</v>
      </c>
      <c r="N139" s="467">
        <f t="shared" si="24"/>
        <v>355800000</v>
      </c>
      <c r="O139" s="467"/>
      <c r="P139" s="467"/>
      <c r="Q139" s="466">
        <f>Q140+Q141+Q142</f>
        <v>16640000</v>
      </c>
      <c r="R139" s="470">
        <v>157420000</v>
      </c>
      <c r="S139" s="470">
        <f t="shared" si="28"/>
        <v>174060000</v>
      </c>
      <c r="T139" s="471">
        <f t="shared" ref="T139:T141" si="30">S139/N139*100</f>
        <v>48.920741989881954</v>
      </c>
      <c r="U139" s="466">
        <f t="shared" si="23"/>
        <v>181740000</v>
      </c>
      <c r="V139" s="42">
        <f t="shared" si="17"/>
        <v>90870000</v>
      </c>
      <c r="W139" s="22">
        <f t="shared" si="25"/>
        <v>4.676784710511523</v>
      </c>
      <c r="X139" s="22">
        <f t="shared" si="16"/>
        <v>4.676784710511523</v>
      </c>
      <c r="Z139" s="65">
        <f t="shared" si="18"/>
        <v>4.676784710511523</v>
      </c>
    </row>
    <row r="140" spans="1:32" x14ac:dyDescent="0.25">
      <c r="A140" s="240"/>
      <c r="B140" s="329"/>
      <c r="C140" s="331"/>
      <c r="D140" s="323"/>
      <c r="E140" s="323"/>
      <c r="F140" s="323"/>
      <c r="G140" s="322"/>
      <c r="H140" s="322"/>
      <c r="I140" s="323"/>
      <c r="J140" s="362"/>
      <c r="K140" s="375" t="s">
        <v>228</v>
      </c>
      <c r="L140" s="337">
        <v>192000000</v>
      </c>
      <c r="M140" s="337">
        <v>0</v>
      </c>
      <c r="N140" s="337">
        <f t="shared" si="24"/>
        <v>192000000</v>
      </c>
      <c r="O140" s="337"/>
      <c r="P140" s="337"/>
      <c r="Q140" s="376">
        <v>16000000</v>
      </c>
      <c r="R140" s="364">
        <v>116000000</v>
      </c>
      <c r="S140" s="364">
        <f t="shared" si="28"/>
        <v>132000000</v>
      </c>
      <c r="T140" s="327"/>
      <c r="U140" s="43">
        <f t="shared" si="23"/>
        <v>60000000</v>
      </c>
      <c r="V140" s="42">
        <f t="shared" si="17"/>
        <v>30000000</v>
      </c>
      <c r="W140" s="22"/>
      <c r="X140" s="22">
        <f t="shared" si="16"/>
        <v>8.3333333333333321</v>
      </c>
      <c r="Z140" s="22">
        <f t="shared" si="18"/>
        <v>8.3333333333333321</v>
      </c>
    </row>
    <row r="141" spans="1:32" x14ac:dyDescent="0.25">
      <c r="A141" s="240"/>
      <c r="B141" s="329"/>
      <c r="C141" s="331"/>
      <c r="D141" s="323"/>
      <c r="E141" s="323"/>
      <c r="F141" s="323"/>
      <c r="G141" s="322"/>
      <c r="H141" s="322"/>
      <c r="I141" s="323"/>
      <c r="J141" s="362"/>
      <c r="K141" s="368" t="s">
        <v>229</v>
      </c>
      <c r="L141" s="337">
        <v>56000000</v>
      </c>
      <c r="M141" s="337">
        <v>0</v>
      </c>
      <c r="N141" s="337">
        <f t="shared" si="24"/>
        <v>56000000</v>
      </c>
      <c r="O141" s="337"/>
      <c r="P141" s="337"/>
      <c r="Q141" s="363">
        <v>0</v>
      </c>
      <c r="R141" s="364">
        <v>36900000</v>
      </c>
      <c r="S141" s="364">
        <f t="shared" si="28"/>
        <v>36900000</v>
      </c>
      <c r="T141" s="327">
        <f t="shared" si="30"/>
        <v>65.892857142857139</v>
      </c>
      <c r="U141" s="43">
        <f t="shared" si="23"/>
        <v>19100000</v>
      </c>
      <c r="V141" s="42">
        <f t="shared" si="17"/>
        <v>9550000</v>
      </c>
      <c r="W141" s="22">
        <f t="shared" si="25"/>
        <v>0</v>
      </c>
      <c r="X141" s="22">
        <f t="shared" si="16"/>
        <v>0</v>
      </c>
      <c r="Z141" s="22">
        <f t="shared" si="18"/>
        <v>0</v>
      </c>
    </row>
    <row r="142" spans="1:32" x14ac:dyDescent="0.25">
      <c r="A142" s="240"/>
      <c r="B142" s="329"/>
      <c r="C142" s="331"/>
      <c r="D142" s="323"/>
      <c r="E142" s="323"/>
      <c r="F142" s="323"/>
      <c r="G142" s="322"/>
      <c r="H142" s="322"/>
      <c r="I142" s="323"/>
      <c r="J142" s="362"/>
      <c r="K142" s="368" t="s">
        <v>161</v>
      </c>
      <c r="L142" s="337">
        <v>7800000</v>
      </c>
      <c r="M142" s="337">
        <v>0</v>
      </c>
      <c r="N142" s="337">
        <f t="shared" si="24"/>
        <v>7800000</v>
      </c>
      <c r="O142" s="43"/>
      <c r="P142" s="43"/>
      <c r="Q142" s="363">
        <v>640000</v>
      </c>
      <c r="R142" s="364">
        <v>4520000</v>
      </c>
      <c r="S142" s="364">
        <f>Q142+R142</f>
        <v>5160000</v>
      </c>
      <c r="T142" s="327">
        <f>S142/N142*100</f>
        <v>66.153846153846146</v>
      </c>
      <c r="U142" s="43">
        <f t="shared" si="23"/>
        <v>2640000</v>
      </c>
      <c r="V142" s="42">
        <f t="shared" si="17"/>
        <v>1320000</v>
      </c>
      <c r="W142" s="22"/>
      <c r="X142" s="22">
        <f t="shared" si="16"/>
        <v>8.2051282051282044</v>
      </c>
      <c r="Z142" s="22">
        <f t="shared" si="18"/>
        <v>8.2051282051282044</v>
      </c>
      <c r="AF142" s="378">
        <f>S139+S135+S152</f>
        <v>245640300</v>
      </c>
    </row>
    <row r="143" spans="1:32" x14ac:dyDescent="0.25">
      <c r="A143" s="240"/>
      <c r="B143" s="329"/>
      <c r="C143" s="331"/>
      <c r="D143" s="323"/>
      <c r="E143" s="323"/>
      <c r="F143" s="323"/>
      <c r="G143" s="322"/>
      <c r="H143" s="322"/>
      <c r="I143" s="323"/>
      <c r="J143" s="362"/>
      <c r="K143" s="368"/>
      <c r="L143" s="337"/>
      <c r="M143" s="337"/>
      <c r="N143" s="337"/>
      <c r="O143" s="43"/>
      <c r="P143" s="43"/>
      <c r="Q143" s="363"/>
      <c r="R143" s="364"/>
      <c r="S143" s="364"/>
      <c r="T143" s="327"/>
      <c r="U143" s="43"/>
      <c r="V143" s="42"/>
      <c r="W143" s="22"/>
      <c r="X143" s="22"/>
      <c r="Z143" s="22"/>
    </row>
    <row r="144" spans="1:32" x14ac:dyDescent="0.25">
      <c r="A144" s="240"/>
      <c r="B144" s="329"/>
      <c r="C144" s="331"/>
      <c r="D144" s="350"/>
      <c r="E144" s="351"/>
      <c r="F144" s="351"/>
      <c r="G144" s="351"/>
      <c r="H144" s="318"/>
      <c r="I144" s="319"/>
      <c r="J144" s="312"/>
      <c r="K144" s="374" t="s">
        <v>230</v>
      </c>
      <c r="L144" s="43">
        <v>100000000</v>
      </c>
      <c r="M144" s="43">
        <v>0</v>
      </c>
      <c r="N144" s="337">
        <f t="shared" si="24"/>
        <v>100000000</v>
      </c>
      <c r="O144" s="337"/>
      <c r="P144" s="337"/>
      <c r="Q144" s="43">
        <v>0</v>
      </c>
      <c r="R144" s="43">
        <v>0</v>
      </c>
      <c r="S144" s="43">
        <f t="shared" si="28"/>
        <v>0</v>
      </c>
      <c r="T144" s="327">
        <f t="shared" ref="T144" si="31">S144/N144*100</f>
        <v>0</v>
      </c>
      <c r="U144" s="43">
        <f t="shared" si="23"/>
        <v>100000000</v>
      </c>
      <c r="V144" s="42">
        <f t="shared" si="17"/>
        <v>50000000</v>
      </c>
      <c r="W144" s="22">
        <f t="shared" si="25"/>
        <v>0</v>
      </c>
      <c r="X144" s="22">
        <f t="shared" si="16"/>
        <v>0</v>
      </c>
      <c r="Z144" s="65">
        <f t="shared" si="18"/>
        <v>0</v>
      </c>
    </row>
    <row r="145" spans="1:31" x14ac:dyDescent="0.25">
      <c r="A145" s="240"/>
      <c r="B145" s="329"/>
      <c r="C145" s="331"/>
      <c r="D145" s="323"/>
      <c r="E145" s="323"/>
      <c r="F145" s="323"/>
      <c r="G145" s="322"/>
      <c r="H145" s="322"/>
      <c r="I145" s="323"/>
      <c r="J145" s="362"/>
      <c r="K145" s="368"/>
      <c r="L145" s="337"/>
      <c r="M145" s="337"/>
      <c r="N145" s="337"/>
      <c r="O145" s="337"/>
      <c r="P145" s="337"/>
      <c r="Q145" s="363"/>
      <c r="R145" s="363"/>
      <c r="S145" s="363"/>
      <c r="T145" s="327"/>
      <c r="U145" s="43"/>
      <c r="V145" s="42">
        <f t="shared" si="17"/>
        <v>0</v>
      </c>
      <c r="W145" s="22"/>
      <c r="X145" s="22"/>
      <c r="Z145" s="22" t="e">
        <f t="shared" si="18"/>
        <v>#DIV/0!</v>
      </c>
    </row>
    <row r="146" spans="1:31" x14ac:dyDescent="0.25">
      <c r="A146" s="240"/>
      <c r="B146" s="329"/>
      <c r="C146" s="331"/>
      <c r="D146" s="323"/>
      <c r="E146" s="323"/>
      <c r="F146" s="323"/>
      <c r="G146" s="322"/>
      <c r="H146" s="322"/>
      <c r="I146" s="323"/>
      <c r="J146" s="362"/>
      <c r="K146" s="375" t="s">
        <v>231</v>
      </c>
      <c r="L146" s="337">
        <f>L148+L150+L152</f>
        <v>98050000</v>
      </c>
      <c r="M146" s="337">
        <f>M148+M150+M152</f>
        <v>0</v>
      </c>
      <c r="N146" s="337">
        <f t="shared" si="24"/>
        <v>98050000</v>
      </c>
      <c r="O146" s="43"/>
      <c r="P146" s="43"/>
      <c r="Q146" s="363">
        <v>0</v>
      </c>
      <c r="R146" s="364">
        <v>67850000</v>
      </c>
      <c r="S146" s="364">
        <f t="shared" ref="S146" si="32">Q146+R146</f>
        <v>67850000</v>
      </c>
      <c r="T146" s="327">
        <f t="shared" ref="T146" si="33">S146/N146*100</f>
        <v>69.199388067312597</v>
      </c>
      <c r="U146" s="43">
        <f t="shared" ref="U146:U152" si="34">N146-S146</f>
        <v>30200000</v>
      </c>
      <c r="V146" s="42">
        <f t="shared" si="17"/>
        <v>15100000</v>
      </c>
      <c r="W146" s="22">
        <f t="shared" si="25"/>
        <v>0</v>
      </c>
      <c r="X146" s="22">
        <f t="shared" si="16"/>
        <v>0</v>
      </c>
      <c r="Z146" s="22">
        <f t="shared" si="18"/>
        <v>0</v>
      </c>
    </row>
    <row r="147" spans="1:31" x14ac:dyDescent="0.25">
      <c r="A147" s="240"/>
      <c r="B147" s="329"/>
      <c r="C147" s="331"/>
      <c r="D147" s="323"/>
      <c r="E147" s="323"/>
      <c r="F147" s="323"/>
      <c r="G147" s="322"/>
      <c r="H147" s="322"/>
      <c r="I147" s="323"/>
      <c r="J147" s="362"/>
      <c r="K147" s="368"/>
      <c r="L147" s="337"/>
      <c r="M147" s="337"/>
      <c r="N147" s="337"/>
      <c r="O147" s="43"/>
      <c r="P147" s="43"/>
      <c r="Q147" s="363"/>
      <c r="R147" s="364"/>
      <c r="S147" s="364"/>
      <c r="T147" s="327"/>
      <c r="U147" s="43"/>
      <c r="V147" s="42">
        <f t="shared" si="17"/>
        <v>0</v>
      </c>
      <c r="W147" s="22"/>
      <c r="X147" s="22"/>
      <c r="Z147" s="22" t="e">
        <f t="shared" si="18"/>
        <v>#DIV/0!</v>
      </c>
    </row>
    <row r="148" spans="1:31" x14ac:dyDescent="0.25">
      <c r="A148" s="240"/>
      <c r="B148" s="329"/>
      <c r="C148" s="331"/>
      <c r="D148" s="341"/>
      <c r="E148" s="339"/>
      <c r="F148" s="339"/>
      <c r="G148" s="329"/>
      <c r="H148" s="329"/>
      <c r="I148" s="339"/>
      <c r="J148" s="370"/>
      <c r="K148" s="369" t="s">
        <v>232</v>
      </c>
      <c r="L148" s="43">
        <v>5000000</v>
      </c>
      <c r="M148" s="43">
        <v>0</v>
      </c>
      <c r="N148" s="337">
        <f t="shared" si="24"/>
        <v>5000000</v>
      </c>
      <c r="O148" s="43"/>
      <c r="P148" s="43"/>
      <c r="Q148" s="364">
        <v>0</v>
      </c>
      <c r="R148" s="364">
        <v>3600000</v>
      </c>
      <c r="S148" s="364">
        <f t="shared" ref="S148:S152" si="35">Q148+R148</f>
        <v>3600000</v>
      </c>
      <c r="T148" s="327">
        <f>S148/N148*100</f>
        <v>72</v>
      </c>
      <c r="U148" s="43">
        <f t="shared" si="34"/>
        <v>1400000</v>
      </c>
      <c r="V148" s="42">
        <f t="shared" si="17"/>
        <v>700000</v>
      </c>
      <c r="W148" s="22">
        <f t="shared" si="25"/>
        <v>0</v>
      </c>
      <c r="X148" s="22">
        <f t="shared" si="16"/>
        <v>0</v>
      </c>
      <c r="Z148" s="22">
        <f t="shared" si="18"/>
        <v>0</v>
      </c>
    </row>
    <row r="149" spans="1:31" x14ac:dyDescent="0.25">
      <c r="A149" s="240"/>
      <c r="B149" s="329"/>
      <c r="C149" s="331"/>
      <c r="D149" s="323"/>
      <c r="E149" s="323"/>
      <c r="F149" s="323"/>
      <c r="G149" s="322"/>
      <c r="H149" s="322"/>
      <c r="I149" s="323"/>
      <c r="J149" s="362"/>
      <c r="K149" s="375"/>
      <c r="L149" s="337"/>
      <c r="M149" s="337"/>
      <c r="N149" s="337"/>
      <c r="O149" s="43"/>
      <c r="P149" s="43"/>
      <c r="Q149" s="363"/>
      <c r="R149" s="364"/>
      <c r="S149" s="364"/>
      <c r="T149" s="327"/>
      <c r="U149" s="43"/>
      <c r="V149" s="42">
        <f t="shared" si="17"/>
        <v>0</v>
      </c>
      <c r="W149" s="22" t="e">
        <f t="shared" si="25"/>
        <v>#DIV/0!</v>
      </c>
      <c r="X149" s="22"/>
      <c r="Z149" s="22" t="e">
        <f t="shared" si="18"/>
        <v>#DIV/0!</v>
      </c>
    </row>
    <row r="150" spans="1:31" x14ac:dyDescent="0.25">
      <c r="A150" s="240"/>
      <c r="B150" s="329"/>
      <c r="C150" s="331"/>
      <c r="D150" s="323"/>
      <c r="E150" s="323"/>
      <c r="F150" s="323"/>
      <c r="G150" s="322"/>
      <c r="H150" s="322"/>
      <c r="I150" s="323"/>
      <c r="J150" s="362"/>
      <c r="K150" s="375" t="s">
        <v>233</v>
      </c>
      <c r="L150" s="337">
        <v>13050000</v>
      </c>
      <c r="M150" s="337">
        <v>0</v>
      </c>
      <c r="N150" s="337">
        <f t="shared" si="24"/>
        <v>13050000</v>
      </c>
      <c r="O150" s="43"/>
      <c r="P150" s="43"/>
      <c r="Q150" s="363">
        <v>0</v>
      </c>
      <c r="R150" s="364">
        <v>2850000</v>
      </c>
      <c r="S150" s="364">
        <f t="shared" si="35"/>
        <v>2850000</v>
      </c>
      <c r="T150" s="327">
        <f t="shared" ref="T150:T152" si="36">S150/N150*100</f>
        <v>21.839080459770116</v>
      </c>
      <c r="U150" s="43">
        <f t="shared" si="34"/>
        <v>10200000</v>
      </c>
      <c r="V150" s="42">
        <f t="shared" si="17"/>
        <v>5100000</v>
      </c>
      <c r="W150" s="22">
        <f t="shared" si="25"/>
        <v>0</v>
      </c>
      <c r="X150" s="22">
        <f t="shared" si="16"/>
        <v>0</v>
      </c>
      <c r="Z150" s="22">
        <f t="shared" si="18"/>
        <v>0</v>
      </c>
    </row>
    <row r="151" spans="1:31" x14ac:dyDescent="0.25">
      <c r="A151" s="240"/>
      <c r="B151" s="329"/>
      <c r="C151" s="331"/>
      <c r="D151" s="323"/>
      <c r="E151" s="323"/>
      <c r="F151" s="323"/>
      <c r="G151" s="322"/>
      <c r="H151" s="322"/>
      <c r="I151" s="323"/>
      <c r="J151" s="362"/>
      <c r="K151" s="375"/>
      <c r="L151" s="337"/>
      <c r="M151" s="337"/>
      <c r="N151" s="337"/>
      <c r="O151" s="43"/>
      <c r="P151" s="43"/>
      <c r="Q151" s="363"/>
      <c r="R151" s="363"/>
      <c r="S151" s="363"/>
      <c r="T151" s="327"/>
      <c r="U151" s="43"/>
      <c r="V151" s="42"/>
      <c r="W151" s="22"/>
      <c r="X151" s="22"/>
      <c r="Z151" s="22" t="e">
        <f t="shared" si="18"/>
        <v>#DIV/0!</v>
      </c>
    </row>
    <row r="152" spans="1:31" x14ac:dyDescent="0.25">
      <c r="A152" s="240"/>
      <c r="B152" s="329"/>
      <c r="C152" s="331"/>
      <c r="D152" s="323"/>
      <c r="E152" s="323"/>
      <c r="F152" s="323"/>
      <c r="G152" s="322"/>
      <c r="H152" s="322"/>
      <c r="I152" s="323"/>
      <c r="J152" s="362"/>
      <c r="K152" s="469" t="s">
        <v>234</v>
      </c>
      <c r="L152" s="467">
        <v>80000000</v>
      </c>
      <c r="M152" s="467">
        <v>0</v>
      </c>
      <c r="N152" s="467">
        <f t="shared" si="24"/>
        <v>80000000</v>
      </c>
      <c r="O152" s="466"/>
      <c r="P152" s="466"/>
      <c r="Q152" s="472">
        <v>0</v>
      </c>
      <c r="R152" s="472">
        <v>61400000</v>
      </c>
      <c r="S152" s="470">
        <f t="shared" si="35"/>
        <v>61400000</v>
      </c>
      <c r="T152" s="471">
        <f t="shared" si="36"/>
        <v>76.75</v>
      </c>
      <c r="U152" s="466">
        <f t="shared" si="34"/>
        <v>18600000</v>
      </c>
      <c r="V152" s="42"/>
      <c r="W152" s="22"/>
      <c r="X152" s="22">
        <f t="shared" si="16"/>
        <v>0</v>
      </c>
      <c r="Z152" s="22">
        <f t="shared" si="18"/>
        <v>0</v>
      </c>
    </row>
    <row r="153" spans="1:31" x14ac:dyDescent="0.25">
      <c r="A153" s="240"/>
      <c r="B153" s="329"/>
      <c r="C153" s="331"/>
      <c r="D153" s="323"/>
      <c r="E153" s="323"/>
      <c r="F153" s="323"/>
      <c r="G153" s="322"/>
      <c r="H153" s="322"/>
      <c r="I153" s="323"/>
      <c r="J153" s="324"/>
      <c r="K153" s="334"/>
      <c r="L153" s="332"/>
      <c r="M153" s="332"/>
      <c r="N153" s="335"/>
      <c r="O153" s="326"/>
      <c r="P153" s="326"/>
      <c r="Q153" s="325"/>
      <c r="R153" s="141"/>
      <c r="S153" s="141"/>
      <c r="T153" s="327"/>
      <c r="U153" s="43"/>
      <c r="V153" s="42">
        <f t="shared" si="17"/>
        <v>0</v>
      </c>
      <c r="W153" s="22"/>
      <c r="X153" s="22"/>
      <c r="Z153" s="22" t="e">
        <f t="shared" si="18"/>
        <v>#DIV/0!</v>
      </c>
    </row>
    <row r="154" spans="1:31" x14ac:dyDescent="0.25">
      <c r="A154" s="425"/>
      <c r="B154" s="426"/>
      <c r="C154" s="427"/>
      <c r="D154" s="428"/>
      <c r="E154" s="428"/>
      <c r="F154" s="428"/>
      <c r="G154" s="429"/>
      <c r="H154" s="429"/>
      <c r="I154" s="428"/>
      <c r="J154" s="356"/>
      <c r="K154" s="357"/>
      <c r="L154" s="358">
        <f>L12+L118</f>
        <v>2184252000</v>
      </c>
      <c r="M154" s="358">
        <f>M12+M118</f>
        <v>0</v>
      </c>
      <c r="N154" s="358">
        <f>N118+N12</f>
        <v>2184252000</v>
      </c>
      <c r="O154" s="359"/>
      <c r="P154" s="359"/>
      <c r="Q154" s="358">
        <f>Q12+Q118</f>
        <v>242918383</v>
      </c>
      <c r="R154" s="358">
        <f>R12+R118</f>
        <v>1329540561</v>
      </c>
      <c r="S154" s="358">
        <f>S12+S118</f>
        <v>1572458944</v>
      </c>
      <c r="T154" s="360">
        <f>S154/N154*100</f>
        <v>71.99072927482726</v>
      </c>
      <c r="U154" s="358">
        <f>N154-S154</f>
        <v>611793056</v>
      </c>
      <c r="V154" s="42">
        <f t="shared" si="17"/>
        <v>305896528</v>
      </c>
      <c r="W154" s="22">
        <f t="shared" si="25"/>
        <v>11.121353351170104</v>
      </c>
      <c r="X154" s="22">
        <f t="shared" si="16"/>
        <v>11.121353351170104</v>
      </c>
    </row>
    <row r="155" spans="1:31" x14ac:dyDescent="0.25">
      <c r="A155" s="155"/>
      <c r="B155" s="156"/>
      <c r="C155" s="157"/>
      <c r="D155" s="158"/>
      <c r="E155" s="158"/>
      <c r="F155" s="158"/>
      <c r="G155" s="159"/>
      <c r="H155" s="159"/>
      <c r="I155" s="158"/>
      <c r="J155" s="160"/>
      <c r="K155" s="161"/>
      <c r="L155" s="162"/>
      <c r="M155" s="162"/>
      <c r="N155" s="162"/>
      <c r="O155" s="163"/>
      <c r="P155" s="163"/>
      <c r="Q155" s="162"/>
      <c r="R155" s="164"/>
      <c r="S155" s="165"/>
      <c r="T155" s="166"/>
      <c r="W155" s="166"/>
      <c r="X155" s="166"/>
      <c r="AE155" s="1">
        <f>816-756</f>
        <v>60</v>
      </c>
    </row>
    <row r="156" spans="1:31" x14ac:dyDescent="0.25">
      <c r="A156" s="167"/>
      <c r="B156" s="167"/>
      <c r="C156" s="168"/>
      <c r="D156" s="169"/>
      <c r="E156" s="169"/>
      <c r="F156" s="169"/>
      <c r="G156" s="170"/>
      <c r="H156" s="170"/>
      <c r="I156" s="169"/>
      <c r="J156" s="171"/>
      <c r="K156" s="171"/>
      <c r="L156" s="172"/>
      <c r="M156" s="172"/>
      <c r="N156" s="172"/>
      <c r="O156" s="162"/>
      <c r="P156" s="162"/>
      <c r="Q156" s="173"/>
      <c r="R156" s="174"/>
      <c r="S156" s="173"/>
      <c r="T156" s="175"/>
      <c r="W156" s="175"/>
      <c r="X156" s="175"/>
    </row>
    <row r="157" spans="1:31" x14ac:dyDescent="0.25">
      <c r="A157" s="167"/>
      <c r="B157" s="167"/>
      <c r="C157" s="168"/>
      <c r="D157" s="169"/>
      <c r="E157" s="169"/>
      <c r="F157" s="169"/>
      <c r="G157" s="170"/>
      <c r="H157" s="170"/>
      <c r="I157" s="169"/>
      <c r="J157" s="171"/>
      <c r="K157" s="171"/>
      <c r="L157" s="172"/>
      <c r="M157" s="172"/>
      <c r="N157" s="172"/>
      <c r="O157" s="162"/>
      <c r="P157" s="162"/>
      <c r="Q157" s="173"/>
      <c r="R157" s="174"/>
      <c r="S157" s="173"/>
      <c r="T157" s="175"/>
      <c r="W157" s="175"/>
      <c r="X157" s="175"/>
    </row>
    <row r="158" spans="1:31" x14ac:dyDescent="0.25">
      <c r="A158" s="497"/>
      <c r="B158" s="497"/>
      <c r="C158" s="497"/>
      <c r="D158" s="497"/>
      <c r="E158" s="497"/>
      <c r="F158" s="497"/>
      <c r="G158" s="497"/>
      <c r="H158" s="497"/>
      <c r="I158" s="497"/>
      <c r="J158" s="497"/>
      <c r="K158" s="176"/>
      <c r="L158" s="176"/>
      <c r="M158" s="474"/>
      <c r="N158" s="474"/>
      <c r="O158" s="162"/>
      <c r="P158" s="162"/>
      <c r="Q158" s="178"/>
      <c r="R158" s="179"/>
      <c r="S158" s="179"/>
      <c r="T158" s="180"/>
      <c r="W158" s="180"/>
      <c r="X158" s="180"/>
    </row>
    <row r="159" spans="1:31" x14ac:dyDescent="0.25">
      <c r="A159" s="495" t="s">
        <v>168</v>
      </c>
      <c r="B159" s="495"/>
      <c r="C159" s="495"/>
      <c r="D159" s="495"/>
      <c r="E159" s="495"/>
      <c r="F159" s="495"/>
      <c r="G159" s="495"/>
      <c r="H159" s="495"/>
      <c r="I159" s="495"/>
      <c r="J159" s="495"/>
      <c r="K159" s="495"/>
      <c r="L159" s="495"/>
      <c r="M159" s="474"/>
      <c r="N159" s="474"/>
      <c r="O159" s="163"/>
      <c r="P159" s="163"/>
      <c r="Q159" s="181"/>
      <c r="R159" s="498"/>
      <c r="S159" s="498"/>
      <c r="T159" s="498"/>
    </row>
    <row r="160" spans="1:31" x14ac:dyDescent="0.25">
      <c r="A160" s="495" t="s">
        <v>280</v>
      </c>
      <c r="B160" s="495"/>
      <c r="C160" s="495"/>
      <c r="D160" s="495"/>
      <c r="E160" s="495"/>
      <c r="F160" s="495"/>
      <c r="G160" s="495"/>
      <c r="H160" s="495"/>
      <c r="I160" s="495"/>
      <c r="J160" s="495"/>
      <c r="K160" s="474" t="s">
        <v>170</v>
      </c>
      <c r="L160" s="176"/>
      <c r="N160" s="496" t="s">
        <v>171</v>
      </c>
      <c r="O160" s="496"/>
      <c r="P160" s="496"/>
      <c r="Q160" s="496"/>
      <c r="R160" s="496" t="s">
        <v>172</v>
      </c>
      <c r="S160" s="496"/>
      <c r="T160" s="496"/>
      <c r="U160" s="496"/>
      <c r="W160" s="182"/>
      <c r="X160" s="182"/>
    </row>
    <row r="161" spans="1:24" x14ac:dyDescent="0.25">
      <c r="A161" s="495" t="s">
        <v>281</v>
      </c>
      <c r="B161" s="495"/>
      <c r="C161" s="495"/>
      <c r="D161" s="495"/>
      <c r="E161" s="495"/>
      <c r="F161" s="495"/>
      <c r="G161" s="495"/>
      <c r="H161" s="495"/>
      <c r="I161" s="495"/>
      <c r="J161" s="495"/>
      <c r="K161" s="474" t="s">
        <v>174</v>
      </c>
      <c r="L161" s="176"/>
      <c r="N161" s="496" t="s">
        <v>174</v>
      </c>
      <c r="O161" s="496"/>
      <c r="P161" s="496"/>
      <c r="Q161" s="496"/>
      <c r="R161" s="495" t="s">
        <v>175</v>
      </c>
      <c r="S161" s="495"/>
      <c r="T161" s="495"/>
      <c r="U161" s="495"/>
      <c r="W161" s="176"/>
      <c r="X161" s="176"/>
    </row>
    <row r="162" spans="1:24" x14ac:dyDescent="0.25">
      <c r="A162" s="495" t="s">
        <v>173</v>
      </c>
      <c r="B162" s="495"/>
      <c r="C162" s="495"/>
      <c r="D162" s="495"/>
      <c r="E162" s="495"/>
      <c r="F162" s="495"/>
      <c r="G162" s="495"/>
      <c r="H162" s="495"/>
      <c r="I162" s="495"/>
      <c r="J162" s="495"/>
      <c r="K162" s="474"/>
      <c r="L162" s="474"/>
      <c r="N162" s="183"/>
      <c r="O162" s="476"/>
      <c r="P162" s="476"/>
      <c r="Q162" s="476"/>
      <c r="R162" s="185"/>
      <c r="S162" s="185"/>
      <c r="T162" s="185"/>
      <c r="W162" s="185"/>
      <c r="X162" s="185"/>
    </row>
    <row r="163" spans="1:24" x14ac:dyDescent="0.25">
      <c r="A163" s="474"/>
      <c r="B163" s="474"/>
      <c r="C163" s="474"/>
      <c r="D163" s="474"/>
      <c r="E163" s="474"/>
      <c r="F163" s="474"/>
      <c r="G163" s="474"/>
      <c r="H163" s="474"/>
      <c r="I163" s="474"/>
      <c r="J163" s="474"/>
      <c r="K163" s="474"/>
      <c r="L163" s="474"/>
      <c r="N163" s="183"/>
      <c r="O163" s="476"/>
      <c r="P163" s="476"/>
      <c r="Q163" s="476"/>
      <c r="R163" s="185"/>
      <c r="S163" s="185"/>
      <c r="T163" s="185"/>
      <c r="W163" s="185"/>
      <c r="X163" s="185"/>
    </row>
    <row r="164" spans="1:24" x14ac:dyDescent="0.25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474"/>
      <c r="L164" s="474"/>
      <c r="N164" s="164"/>
      <c r="O164" s="186"/>
      <c r="P164" s="186"/>
      <c r="Q164" s="186"/>
      <c r="R164" s="185"/>
      <c r="S164" s="185"/>
      <c r="T164" s="185"/>
      <c r="W164" s="185"/>
      <c r="X164" s="185"/>
    </row>
    <row r="165" spans="1:24" x14ac:dyDescent="0.25">
      <c r="A165" s="499"/>
      <c r="B165" s="499"/>
      <c r="C165" s="499"/>
      <c r="D165" s="499"/>
      <c r="E165" s="499"/>
      <c r="F165" s="499"/>
      <c r="G165" s="499"/>
      <c r="H165" s="499"/>
      <c r="I165" s="499"/>
      <c r="J165" s="499"/>
      <c r="K165" s="474"/>
      <c r="L165" s="176"/>
      <c r="N165" s="183"/>
      <c r="O165" s="187"/>
      <c r="P165" s="186"/>
      <c r="Q165" s="186"/>
      <c r="R165" s="186"/>
      <c r="S165" s="186"/>
      <c r="T165" s="186"/>
      <c r="W165" s="186"/>
      <c r="X165" s="186"/>
    </row>
    <row r="166" spans="1:24" x14ac:dyDescent="0.25">
      <c r="A166" s="499" t="s">
        <v>282</v>
      </c>
      <c r="B166" s="499"/>
      <c r="C166" s="499"/>
      <c r="D166" s="499"/>
      <c r="E166" s="499"/>
      <c r="F166" s="499"/>
      <c r="G166" s="499"/>
      <c r="H166" s="499"/>
      <c r="I166" s="499"/>
      <c r="J166" s="499"/>
      <c r="K166" s="475" t="s">
        <v>177</v>
      </c>
      <c r="L166" s="189"/>
      <c r="N166" s="500" t="s">
        <v>178</v>
      </c>
      <c r="O166" s="500"/>
      <c r="P166" s="500"/>
      <c r="Q166" s="500"/>
      <c r="R166" s="501" t="s">
        <v>179</v>
      </c>
      <c r="S166" s="501"/>
      <c r="T166" s="501"/>
      <c r="U166" s="501"/>
    </row>
    <row r="167" spans="1:24" x14ac:dyDescent="0.25">
      <c r="A167" s="502" t="s">
        <v>283</v>
      </c>
      <c r="B167" s="502"/>
      <c r="C167" s="502"/>
      <c r="D167" s="502"/>
      <c r="E167" s="502"/>
      <c r="F167" s="502"/>
      <c r="G167" s="502"/>
      <c r="H167" s="502"/>
      <c r="I167" s="502"/>
      <c r="J167" s="502"/>
      <c r="K167" s="474" t="s">
        <v>181</v>
      </c>
      <c r="L167" s="176"/>
      <c r="N167" s="503" t="s">
        <v>182</v>
      </c>
      <c r="O167" s="503"/>
      <c r="P167" s="503"/>
      <c r="Q167" s="503"/>
      <c r="R167" s="504" t="s">
        <v>183</v>
      </c>
      <c r="S167" s="504"/>
      <c r="T167" s="504"/>
      <c r="U167" s="504"/>
    </row>
    <row r="168" spans="1:24" x14ac:dyDescent="0.25">
      <c r="A168" s="190"/>
      <c r="B168" s="190"/>
      <c r="C168" s="190"/>
      <c r="D168" s="495"/>
      <c r="E168" s="495"/>
      <c r="F168" s="495"/>
      <c r="G168" s="495"/>
      <c r="H168" s="495"/>
      <c r="I168" s="190"/>
      <c r="J168" s="190"/>
      <c r="K168" s="190"/>
      <c r="L168" s="190"/>
      <c r="M168" s="190"/>
      <c r="N168" s="190"/>
      <c r="O168" s="163"/>
      <c r="P168" s="163"/>
      <c r="Q168" s="191"/>
      <c r="R168" s="191"/>
      <c r="S168" s="191"/>
      <c r="T168" s="191"/>
      <c r="W168" s="191"/>
      <c r="X168" s="191"/>
    </row>
    <row r="169" spans="1:24" x14ac:dyDescent="0.25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63"/>
      <c r="P169" s="163"/>
      <c r="Q169" s="191"/>
      <c r="R169" s="191"/>
      <c r="S169" s="191"/>
      <c r="T169" s="191"/>
      <c r="W169" s="191"/>
      <c r="X169" s="191"/>
    </row>
    <row r="170" spans="1:24" x14ac:dyDescent="0.25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62"/>
      <c r="P170" s="162"/>
      <c r="Q170" s="191"/>
      <c r="R170" s="191"/>
      <c r="S170" s="191"/>
      <c r="T170" s="191"/>
      <c r="W170" s="191"/>
      <c r="X170" s="191"/>
    </row>
    <row r="171" spans="1:24" x14ac:dyDescent="0.25">
      <c r="A171" s="190"/>
      <c r="B171" s="190"/>
      <c r="C171" s="190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90"/>
      <c r="O171" s="163"/>
      <c r="P171" s="163"/>
      <c r="Q171" s="191"/>
      <c r="R171" s="191"/>
      <c r="S171" s="191"/>
      <c r="T171" s="191"/>
      <c r="W171" s="191"/>
      <c r="X171" s="191"/>
    </row>
    <row r="172" spans="1:24" x14ac:dyDescent="0.25">
      <c r="A172" s="190"/>
      <c r="B172" s="190"/>
      <c r="C172" s="190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0"/>
      <c r="O172" s="163"/>
      <c r="P172" s="163"/>
      <c r="Q172" s="191"/>
      <c r="R172" s="191"/>
      <c r="S172" s="191"/>
      <c r="T172" s="191"/>
      <c r="W172" s="191"/>
      <c r="X172" s="191"/>
    </row>
    <row r="173" spans="1:24" x14ac:dyDescent="0.25">
      <c r="A173" s="190"/>
      <c r="B173" s="190"/>
      <c r="C173" s="190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90"/>
      <c r="O173" s="163"/>
      <c r="P173" s="163"/>
      <c r="Q173" s="191"/>
      <c r="R173" s="191"/>
      <c r="S173" s="191"/>
      <c r="T173" s="191"/>
      <c r="U173" s="1"/>
      <c r="W173" s="191"/>
      <c r="X173" s="191"/>
    </row>
    <row r="174" spans="1:24" x14ac:dyDescent="0.25">
      <c r="A174" s="190"/>
      <c r="B174" s="190"/>
      <c r="C174" s="190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90"/>
      <c r="O174" s="162"/>
      <c r="P174" s="162"/>
      <c r="Q174" s="191"/>
      <c r="R174" s="191"/>
      <c r="S174" s="191"/>
      <c r="T174" s="191"/>
      <c r="U174" s="1"/>
      <c r="W174" s="191"/>
      <c r="X174" s="191"/>
    </row>
    <row r="175" spans="1:24" x14ac:dyDescent="0.25">
      <c r="A175" s="190"/>
      <c r="B175" s="190"/>
      <c r="C175" s="190"/>
      <c r="D175" s="474"/>
      <c r="E175" s="474"/>
      <c r="F175" s="474"/>
      <c r="G175" s="474"/>
      <c r="H175" s="474"/>
      <c r="I175" s="474"/>
      <c r="J175" s="474"/>
      <c r="K175" s="474"/>
      <c r="L175" s="474"/>
      <c r="M175" s="474"/>
      <c r="N175" s="190"/>
      <c r="O175" s="163"/>
      <c r="P175" s="163"/>
      <c r="Q175" s="191"/>
      <c r="R175" s="191"/>
      <c r="S175" s="191"/>
      <c r="T175" s="191"/>
      <c r="U175" s="1"/>
      <c r="W175" s="191"/>
      <c r="X175" s="191"/>
    </row>
    <row r="176" spans="1:24" x14ac:dyDescent="0.25">
      <c r="A176" s="190"/>
      <c r="B176" s="190"/>
      <c r="C176" s="190"/>
      <c r="D176" s="474"/>
      <c r="E176" s="474"/>
      <c r="F176" s="474"/>
      <c r="G176" s="474"/>
      <c r="H176" s="474"/>
      <c r="I176" s="474"/>
      <c r="J176" s="474"/>
      <c r="K176" s="474"/>
      <c r="L176" s="474"/>
      <c r="M176" s="474"/>
      <c r="N176" s="190"/>
      <c r="O176" s="163"/>
      <c r="P176" s="163"/>
      <c r="Q176" s="191"/>
      <c r="R176" s="191"/>
      <c r="S176" s="191"/>
      <c r="T176" s="191"/>
      <c r="U176" s="1"/>
      <c r="W176" s="191"/>
      <c r="X176" s="191"/>
    </row>
    <row r="177" spans="1:24" x14ac:dyDescent="0.25">
      <c r="A177" s="190"/>
      <c r="B177" s="190"/>
      <c r="C177" s="190"/>
      <c r="D177" s="474"/>
      <c r="E177" s="474"/>
      <c r="F177" s="474"/>
      <c r="G177" s="474"/>
      <c r="H177" s="474"/>
      <c r="I177" s="474"/>
      <c r="J177" s="474"/>
      <c r="K177" s="474"/>
      <c r="L177" s="474"/>
      <c r="M177" s="474"/>
      <c r="N177" s="190"/>
      <c r="O177" s="162"/>
      <c r="P177" s="162"/>
      <c r="Q177" s="191"/>
      <c r="R177" s="191"/>
      <c r="S177" s="191"/>
      <c r="T177" s="191"/>
      <c r="U177" s="1"/>
      <c r="W177" s="191"/>
      <c r="X177" s="191"/>
    </row>
    <row r="178" spans="1:24" x14ac:dyDescent="0.25">
      <c r="A178" s="190"/>
      <c r="B178" s="190"/>
      <c r="C178" s="190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90"/>
      <c r="O178" s="172"/>
      <c r="P178" s="172"/>
      <c r="Q178" s="191"/>
      <c r="R178" s="191"/>
      <c r="S178" s="191"/>
      <c r="T178" s="191"/>
      <c r="U178" s="1"/>
      <c r="W178" s="191"/>
      <c r="X178" s="191"/>
    </row>
    <row r="179" spans="1:24" x14ac:dyDescent="0.25">
      <c r="A179" s="193"/>
      <c r="B179" s="193"/>
      <c r="C179" s="193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O179" s="194"/>
      <c r="P179" s="194"/>
      <c r="Q179" s="195"/>
      <c r="R179" s="195"/>
      <c r="S179" s="195"/>
      <c r="T179" s="195"/>
      <c r="U179" s="1"/>
      <c r="W179" s="195"/>
      <c r="X179" s="195"/>
    </row>
    <row r="180" spans="1:24" x14ac:dyDescent="0.25"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O180" s="474"/>
      <c r="P180" s="474"/>
      <c r="Q180" s="195"/>
      <c r="R180" s="195"/>
      <c r="S180" s="195"/>
      <c r="T180" s="195"/>
      <c r="U180" s="1"/>
      <c r="W180" s="195"/>
      <c r="X180" s="195"/>
    </row>
    <row r="181" spans="1:24" x14ac:dyDescent="0.25">
      <c r="O181" s="474"/>
      <c r="P181" s="474"/>
      <c r="Q181" s="195"/>
      <c r="R181" s="195"/>
      <c r="S181" s="195"/>
      <c r="T181" s="195"/>
      <c r="U181" s="1"/>
      <c r="W181" s="195"/>
      <c r="X181" s="195"/>
    </row>
    <row r="182" spans="1:24" x14ac:dyDescent="0.25">
      <c r="O182" s="474"/>
      <c r="P182" s="474"/>
      <c r="Q182" s="195"/>
      <c r="R182" s="195"/>
      <c r="S182" s="195"/>
      <c r="T182" s="195"/>
      <c r="U182" s="1"/>
      <c r="W182" s="195"/>
      <c r="X182" s="195"/>
    </row>
    <row r="183" spans="1:24" x14ac:dyDescent="0.25">
      <c r="O183" s="474"/>
      <c r="P183" s="474"/>
      <c r="Q183" s="195"/>
      <c r="R183" s="195"/>
      <c r="S183" s="195"/>
      <c r="T183" s="195"/>
      <c r="U183" s="1"/>
      <c r="W183" s="195"/>
      <c r="X183" s="195"/>
    </row>
    <row r="184" spans="1:24" x14ac:dyDescent="0.25">
      <c r="O184" s="474"/>
      <c r="P184" s="474"/>
      <c r="Q184" s="195"/>
      <c r="R184" s="195"/>
      <c r="S184" s="195"/>
      <c r="T184" s="195"/>
      <c r="U184" s="1"/>
      <c r="W184" s="195"/>
      <c r="X184" s="195"/>
    </row>
    <row r="185" spans="1:24" x14ac:dyDescent="0.25">
      <c r="O185" s="474"/>
      <c r="P185" s="474"/>
      <c r="Q185" s="195"/>
      <c r="R185" s="195"/>
      <c r="S185" s="195"/>
      <c r="T185" s="195"/>
      <c r="U185" s="1"/>
      <c r="W185" s="195"/>
      <c r="X185" s="195"/>
    </row>
    <row r="186" spans="1:24" x14ac:dyDescent="0.25">
      <c r="O186" s="475"/>
      <c r="P186" s="475"/>
      <c r="Q186" s="195"/>
      <c r="R186" s="195"/>
      <c r="S186" s="195"/>
      <c r="T186" s="195"/>
      <c r="U186" s="1"/>
      <c r="W186" s="195"/>
      <c r="X186" s="195"/>
    </row>
    <row r="187" spans="1:24" x14ac:dyDescent="0.25">
      <c r="O187" s="474"/>
      <c r="P187" s="474"/>
      <c r="Q187" s="195"/>
      <c r="R187" s="195"/>
      <c r="S187" s="195"/>
      <c r="T187" s="195"/>
      <c r="U187" s="1"/>
      <c r="W187" s="195"/>
      <c r="X187" s="195"/>
    </row>
    <row r="188" spans="1:24" x14ac:dyDescent="0.25">
      <c r="O188" s="190"/>
      <c r="P188" s="190"/>
      <c r="Q188" s="195"/>
      <c r="R188" s="195"/>
      <c r="S188" s="195"/>
      <c r="T188" s="195"/>
      <c r="U188" s="1"/>
      <c r="W188" s="195"/>
      <c r="X188" s="195"/>
    </row>
    <row r="189" spans="1:24" x14ac:dyDescent="0.25">
      <c r="O189" s="190"/>
      <c r="P189" s="190"/>
      <c r="Q189" s="195"/>
      <c r="R189" s="195"/>
      <c r="S189" s="195"/>
      <c r="T189" s="195"/>
      <c r="U189" s="1"/>
      <c r="W189" s="195"/>
      <c r="X189" s="195"/>
    </row>
    <row r="190" spans="1:24" x14ac:dyDescent="0.25">
      <c r="O190" s="190"/>
      <c r="P190" s="190"/>
      <c r="Q190" s="195"/>
      <c r="R190" s="195"/>
      <c r="S190" s="195"/>
      <c r="T190" s="195"/>
      <c r="U190" s="1"/>
      <c r="W190" s="195"/>
      <c r="X190" s="195"/>
    </row>
    <row r="191" spans="1:24" x14ac:dyDescent="0.25">
      <c r="O191" s="190"/>
      <c r="P191" s="190"/>
      <c r="Q191" s="195"/>
      <c r="R191" s="195"/>
      <c r="S191" s="195"/>
      <c r="T191" s="195"/>
      <c r="U191" s="1"/>
      <c r="W191" s="195"/>
      <c r="X191" s="195"/>
    </row>
    <row r="192" spans="1:24" x14ac:dyDescent="0.25">
      <c r="O192" s="190"/>
      <c r="P192" s="190"/>
      <c r="Q192" s="195"/>
      <c r="R192" s="195"/>
      <c r="S192" s="195"/>
      <c r="T192" s="195"/>
      <c r="U192" s="1"/>
      <c r="W192" s="195"/>
      <c r="X192" s="195"/>
    </row>
    <row r="193" spans="15:24" x14ac:dyDescent="0.25">
      <c r="O193" s="190"/>
      <c r="P193" s="190"/>
      <c r="Q193" s="195"/>
      <c r="R193" s="195"/>
      <c r="S193" s="195"/>
      <c r="T193" s="195"/>
      <c r="U193" s="1"/>
      <c r="W193" s="195"/>
      <c r="X193" s="195"/>
    </row>
    <row r="194" spans="15:24" x14ac:dyDescent="0.25">
      <c r="O194" s="190"/>
      <c r="P194" s="190"/>
      <c r="Q194" s="195"/>
      <c r="R194" s="195"/>
      <c r="S194" s="195"/>
      <c r="T194" s="195"/>
      <c r="U194" s="1"/>
      <c r="W194" s="195"/>
      <c r="X194" s="195"/>
    </row>
    <row r="195" spans="15:24" x14ac:dyDescent="0.25">
      <c r="O195" s="190"/>
      <c r="P195" s="190"/>
      <c r="Q195" s="195"/>
      <c r="R195" s="195"/>
      <c r="S195" s="195"/>
      <c r="T195" s="195"/>
      <c r="U195" s="1"/>
      <c r="W195" s="195"/>
      <c r="X195" s="195"/>
    </row>
    <row r="196" spans="15:24" x14ac:dyDescent="0.25">
      <c r="O196" s="190"/>
      <c r="P196" s="190"/>
      <c r="Q196" s="195"/>
      <c r="R196" s="195"/>
      <c r="S196" s="195"/>
      <c r="T196" s="195"/>
      <c r="U196" s="1"/>
      <c r="W196" s="195"/>
      <c r="X196" s="195"/>
    </row>
    <row r="197" spans="15:24" x14ac:dyDescent="0.25">
      <c r="O197" s="190"/>
      <c r="P197" s="190"/>
      <c r="Q197" s="195"/>
      <c r="R197" s="195"/>
      <c r="S197" s="195"/>
      <c r="T197" s="195"/>
      <c r="U197" s="1"/>
      <c r="W197" s="195"/>
      <c r="X197" s="195"/>
    </row>
    <row r="198" spans="15:24" x14ac:dyDescent="0.25">
      <c r="O198" s="190"/>
      <c r="P198" s="190"/>
      <c r="Q198" s="195"/>
      <c r="R198" s="195"/>
      <c r="S198" s="195"/>
      <c r="T198" s="195"/>
      <c r="U198" s="1"/>
      <c r="W198" s="195"/>
      <c r="X198" s="195"/>
    </row>
    <row r="199" spans="15:24" x14ac:dyDescent="0.25">
      <c r="O199" s="190"/>
      <c r="P199" s="190"/>
      <c r="Q199" s="195"/>
      <c r="R199" s="195"/>
      <c r="S199" s="195"/>
      <c r="T199" s="195"/>
      <c r="U199" s="1"/>
      <c r="W199" s="195"/>
      <c r="X199" s="195"/>
    </row>
    <row r="200" spans="15:24" x14ac:dyDescent="0.25">
      <c r="Q200" s="195"/>
      <c r="R200" s="195"/>
      <c r="S200" s="195"/>
      <c r="T200" s="195"/>
      <c r="U200" s="1"/>
      <c r="W200" s="195"/>
      <c r="X200" s="195"/>
    </row>
    <row r="201" spans="15:24" x14ac:dyDescent="0.25">
      <c r="Q201" s="195"/>
      <c r="R201" s="195"/>
      <c r="S201" s="195"/>
      <c r="T201" s="195"/>
      <c r="U201" s="1"/>
      <c r="W201" s="195"/>
      <c r="X201" s="195"/>
    </row>
    <row r="202" spans="15:24" x14ac:dyDescent="0.25">
      <c r="Q202" s="195"/>
      <c r="R202" s="195"/>
      <c r="S202" s="195"/>
      <c r="T202" s="195"/>
      <c r="U202" s="1"/>
      <c r="W202" s="195"/>
      <c r="X202" s="195"/>
    </row>
    <row r="203" spans="15:24" x14ac:dyDescent="0.25">
      <c r="Q203" s="195"/>
      <c r="R203" s="195"/>
      <c r="S203" s="195"/>
      <c r="T203" s="195"/>
      <c r="U203" s="1"/>
      <c r="W203" s="195"/>
      <c r="X203" s="195"/>
    </row>
    <row r="204" spans="15:24" x14ac:dyDescent="0.25">
      <c r="Q204" s="195"/>
      <c r="R204" s="195"/>
      <c r="S204" s="195"/>
      <c r="T204" s="195"/>
      <c r="U204" s="1"/>
      <c r="W204" s="195"/>
      <c r="X204" s="195"/>
    </row>
    <row r="205" spans="15:24" x14ac:dyDescent="0.25">
      <c r="Q205" s="195"/>
      <c r="R205" s="195"/>
      <c r="S205" s="195"/>
      <c r="T205" s="195"/>
      <c r="U205" s="1"/>
      <c r="W205" s="195"/>
      <c r="X205" s="195"/>
    </row>
    <row r="206" spans="15:24" x14ac:dyDescent="0.25">
      <c r="Q206" s="195"/>
      <c r="R206" s="195"/>
      <c r="S206" s="195"/>
      <c r="T206" s="195"/>
      <c r="U206" s="1"/>
      <c r="W206" s="195"/>
      <c r="X206" s="195"/>
    </row>
    <row r="207" spans="15:24" x14ac:dyDescent="0.25">
      <c r="Q207" s="195"/>
      <c r="R207" s="195"/>
      <c r="S207" s="195"/>
      <c r="T207" s="195"/>
      <c r="U207" s="1"/>
      <c r="W207" s="195"/>
      <c r="X207" s="195"/>
    </row>
    <row r="208" spans="15:24" x14ac:dyDescent="0.25">
      <c r="Q208" s="195"/>
      <c r="R208" s="195"/>
      <c r="S208" s="195"/>
      <c r="T208" s="195"/>
      <c r="U208" s="1"/>
      <c r="W208" s="195"/>
      <c r="X208" s="195"/>
    </row>
    <row r="209" spans="17:24" x14ac:dyDescent="0.25">
      <c r="Q209" s="195"/>
      <c r="R209" s="195"/>
      <c r="S209" s="195"/>
      <c r="T209" s="195"/>
      <c r="U209" s="1"/>
      <c r="W209" s="195"/>
      <c r="X209" s="195"/>
    </row>
    <row r="210" spans="17:24" x14ac:dyDescent="0.25">
      <c r="Q210" s="195"/>
      <c r="R210" s="195"/>
      <c r="S210" s="195"/>
      <c r="T210" s="195"/>
      <c r="U210" s="1"/>
      <c r="W210" s="195"/>
      <c r="X210" s="195"/>
    </row>
    <row r="211" spans="17:24" x14ac:dyDescent="0.25">
      <c r="Q211" s="195"/>
      <c r="R211" s="195"/>
      <c r="S211" s="195"/>
      <c r="T211" s="195"/>
      <c r="U211" s="1"/>
      <c r="W211" s="195"/>
      <c r="X211" s="195"/>
    </row>
    <row r="212" spans="17:24" x14ac:dyDescent="0.25">
      <c r="Q212" s="195"/>
      <c r="R212" s="195"/>
      <c r="S212" s="195"/>
      <c r="T212" s="195"/>
      <c r="U212" s="1"/>
      <c r="W212" s="195"/>
      <c r="X212" s="195"/>
    </row>
    <row r="213" spans="17:24" x14ac:dyDescent="0.25">
      <c r="Q213" s="195"/>
      <c r="R213" s="195"/>
      <c r="S213" s="195"/>
      <c r="T213" s="195"/>
      <c r="U213" s="1"/>
      <c r="W213" s="195"/>
      <c r="X213" s="195"/>
    </row>
    <row r="214" spans="17:24" x14ac:dyDescent="0.25">
      <c r="Q214" s="195"/>
      <c r="R214" s="195"/>
      <c r="S214" s="195"/>
      <c r="T214" s="195"/>
      <c r="U214" s="1"/>
      <c r="W214" s="195"/>
      <c r="X214" s="195"/>
    </row>
    <row r="215" spans="17:24" x14ac:dyDescent="0.25">
      <c r="Q215" s="195"/>
      <c r="R215" s="195"/>
      <c r="S215" s="195"/>
      <c r="T215" s="195"/>
      <c r="U215" s="1"/>
      <c r="W215" s="195"/>
      <c r="X215" s="195"/>
    </row>
    <row r="216" spans="17:24" x14ac:dyDescent="0.25">
      <c r="Q216" s="195"/>
      <c r="R216" s="195"/>
      <c r="S216" s="195"/>
      <c r="T216" s="195"/>
      <c r="U216" s="1"/>
      <c r="W216" s="195"/>
      <c r="X216" s="195"/>
    </row>
    <row r="217" spans="17:24" x14ac:dyDescent="0.25">
      <c r="Q217" s="195"/>
      <c r="R217" s="195"/>
      <c r="S217" s="195"/>
      <c r="T217" s="195"/>
      <c r="U217" s="1"/>
      <c r="W217" s="195"/>
      <c r="X217" s="195"/>
    </row>
    <row r="218" spans="17:24" x14ac:dyDescent="0.25">
      <c r="Q218" s="195"/>
      <c r="R218" s="195"/>
      <c r="S218" s="195"/>
      <c r="T218" s="195"/>
      <c r="U218" s="1"/>
      <c r="W218" s="195"/>
      <c r="X218" s="195"/>
    </row>
    <row r="219" spans="17:24" x14ac:dyDescent="0.25">
      <c r="Q219" s="195"/>
      <c r="R219" s="195"/>
      <c r="S219" s="195"/>
      <c r="T219" s="195"/>
      <c r="U219" s="1"/>
      <c r="W219" s="195"/>
      <c r="X219" s="195"/>
    </row>
    <row r="220" spans="17:24" x14ac:dyDescent="0.25">
      <c r="Q220" s="195"/>
      <c r="R220" s="195"/>
      <c r="S220" s="195"/>
      <c r="T220" s="195"/>
      <c r="U220" s="1"/>
      <c r="W220" s="195"/>
      <c r="X220" s="195"/>
    </row>
    <row r="221" spans="17:24" x14ac:dyDescent="0.25">
      <c r="Q221" s="195"/>
      <c r="R221" s="195"/>
      <c r="S221" s="195"/>
      <c r="T221" s="195"/>
      <c r="U221" s="1"/>
      <c r="W221" s="195"/>
      <c r="X221" s="195"/>
    </row>
    <row r="222" spans="17:24" x14ac:dyDescent="0.25">
      <c r="Q222" s="195"/>
      <c r="R222" s="195"/>
      <c r="S222" s="195"/>
      <c r="T222" s="195"/>
      <c r="U222" s="1"/>
      <c r="W222" s="195"/>
      <c r="X222" s="195"/>
    </row>
    <row r="223" spans="17:24" x14ac:dyDescent="0.25">
      <c r="Q223" s="195"/>
      <c r="R223" s="195"/>
      <c r="S223" s="195"/>
      <c r="T223" s="195"/>
      <c r="U223" s="1"/>
      <c r="W223" s="195"/>
      <c r="X223" s="195"/>
    </row>
    <row r="224" spans="17:24" x14ac:dyDescent="0.25">
      <c r="Q224" s="195"/>
      <c r="R224" s="195"/>
      <c r="S224" s="195"/>
      <c r="T224" s="195"/>
      <c r="U224" s="1"/>
      <c r="W224" s="195"/>
      <c r="X224" s="195"/>
    </row>
    <row r="225" spans="17:24" x14ac:dyDescent="0.25">
      <c r="Q225" s="195"/>
      <c r="R225" s="195"/>
      <c r="S225" s="195"/>
      <c r="T225" s="195"/>
      <c r="U225" s="1"/>
      <c r="W225" s="195"/>
      <c r="X225" s="195"/>
    </row>
    <row r="226" spans="17:24" x14ac:dyDescent="0.25">
      <c r="Q226" s="195"/>
      <c r="R226" s="195"/>
      <c r="S226" s="195"/>
      <c r="T226" s="195"/>
      <c r="U226" s="1"/>
      <c r="W226" s="195"/>
      <c r="X226" s="195"/>
    </row>
    <row r="227" spans="17:24" x14ac:dyDescent="0.25">
      <c r="Q227" s="195"/>
      <c r="R227" s="195"/>
      <c r="S227" s="195"/>
      <c r="T227" s="195"/>
      <c r="U227" s="1"/>
      <c r="W227" s="195"/>
      <c r="X227" s="195"/>
    </row>
    <row r="228" spans="17:24" x14ac:dyDescent="0.25">
      <c r="Q228" s="195"/>
      <c r="R228" s="195"/>
      <c r="S228" s="195"/>
      <c r="T228" s="195"/>
      <c r="U228" s="1"/>
      <c r="W228" s="195"/>
      <c r="X228" s="195"/>
    </row>
    <row r="229" spans="17:24" x14ac:dyDescent="0.25">
      <c r="Q229" s="195"/>
      <c r="R229" s="195"/>
      <c r="S229" s="195"/>
      <c r="T229" s="195"/>
      <c r="U229" s="1"/>
      <c r="W229" s="195"/>
      <c r="X229" s="195"/>
    </row>
    <row r="230" spans="17:24" x14ac:dyDescent="0.25">
      <c r="Q230" s="195"/>
      <c r="R230" s="195"/>
      <c r="S230" s="195"/>
      <c r="T230" s="195"/>
      <c r="U230" s="1"/>
      <c r="W230" s="195"/>
      <c r="X230" s="195"/>
    </row>
    <row r="231" spans="17:24" x14ac:dyDescent="0.25">
      <c r="Q231" s="195"/>
      <c r="R231" s="195"/>
      <c r="S231" s="195"/>
      <c r="T231" s="195"/>
      <c r="U231" s="1"/>
      <c r="W231" s="195"/>
      <c r="X231" s="195"/>
    </row>
    <row r="232" spans="17:24" x14ac:dyDescent="0.25">
      <c r="Q232" s="195"/>
      <c r="R232" s="195"/>
      <c r="S232" s="195"/>
      <c r="T232" s="195"/>
      <c r="U232" s="1"/>
      <c r="W232" s="195"/>
      <c r="X232" s="195"/>
    </row>
    <row r="233" spans="17:24" x14ac:dyDescent="0.25">
      <c r="Q233" s="195"/>
      <c r="R233" s="195"/>
      <c r="S233" s="195"/>
      <c r="T233" s="195"/>
      <c r="U233" s="1"/>
      <c r="W233" s="195"/>
      <c r="X233" s="195"/>
    </row>
    <row r="234" spans="17:24" x14ac:dyDescent="0.25">
      <c r="Q234" s="195"/>
      <c r="R234" s="195"/>
      <c r="S234" s="195"/>
      <c r="T234" s="195"/>
      <c r="U234" s="1"/>
      <c r="W234" s="195"/>
      <c r="X234" s="195"/>
    </row>
    <row r="235" spans="17:24" x14ac:dyDescent="0.25">
      <c r="Q235" s="195"/>
      <c r="R235" s="195"/>
      <c r="S235" s="195"/>
      <c r="T235" s="195"/>
      <c r="U235" s="1"/>
      <c r="W235" s="195"/>
      <c r="X235" s="195"/>
    </row>
    <row r="236" spans="17:24" x14ac:dyDescent="0.25">
      <c r="Q236" s="195"/>
      <c r="R236" s="195"/>
      <c r="S236" s="195"/>
      <c r="T236" s="195"/>
      <c r="U236" s="1"/>
      <c r="W236" s="195"/>
      <c r="X236" s="195"/>
    </row>
    <row r="237" spans="17:24" x14ac:dyDescent="0.25">
      <c r="Q237" s="195"/>
      <c r="R237" s="195"/>
      <c r="S237" s="195"/>
      <c r="T237" s="195"/>
      <c r="U237" s="1"/>
      <c r="W237" s="195"/>
      <c r="X237" s="195"/>
    </row>
    <row r="238" spans="17:24" x14ac:dyDescent="0.25">
      <c r="Q238" s="195"/>
      <c r="R238" s="195"/>
      <c r="S238" s="195"/>
      <c r="T238" s="195"/>
      <c r="U238" s="1"/>
      <c r="W238" s="195"/>
      <c r="X238" s="195"/>
    </row>
    <row r="239" spans="17:24" x14ac:dyDescent="0.25">
      <c r="Q239" s="195"/>
      <c r="R239" s="195"/>
      <c r="S239" s="195"/>
      <c r="T239" s="195"/>
      <c r="U239" s="1"/>
      <c r="W239" s="195"/>
      <c r="X239" s="195"/>
    </row>
    <row r="240" spans="17:24" x14ac:dyDescent="0.25">
      <c r="Q240" s="195"/>
      <c r="R240" s="195"/>
      <c r="S240" s="195"/>
      <c r="T240" s="195"/>
      <c r="U240" s="1"/>
      <c r="W240" s="195"/>
      <c r="X240" s="195"/>
    </row>
    <row r="241" spans="17:24" x14ac:dyDescent="0.25">
      <c r="Q241" s="195"/>
      <c r="R241" s="195"/>
      <c r="S241" s="195"/>
      <c r="T241" s="195"/>
      <c r="U241" s="1"/>
      <c r="W241" s="195"/>
      <c r="X241" s="195"/>
    </row>
    <row r="242" spans="17:24" x14ac:dyDescent="0.25">
      <c r="Q242" s="195"/>
      <c r="R242" s="195"/>
      <c r="S242" s="195"/>
      <c r="T242" s="195"/>
      <c r="U242" s="1"/>
      <c r="W242" s="195"/>
      <c r="X242" s="195"/>
    </row>
    <row r="243" spans="17:24" x14ac:dyDescent="0.25">
      <c r="Q243" s="195"/>
      <c r="R243" s="195"/>
      <c r="S243" s="195"/>
      <c r="T243" s="195"/>
      <c r="U243" s="1"/>
      <c r="W243" s="195"/>
      <c r="X243" s="195"/>
    </row>
    <row r="244" spans="17:24" x14ac:dyDescent="0.25">
      <c r="Q244" s="195"/>
      <c r="R244" s="195"/>
      <c r="S244" s="195"/>
      <c r="T244" s="195"/>
      <c r="U244" s="1"/>
      <c r="W244" s="195"/>
      <c r="X244" s="195"/>
    </row>
    <row r="245" spans="17:24" x14ac:dyDescent="0.25">
      <c r="Q245" s="195"/>
      <c r="R245" s="195"/>
      <c r="S245" s="195"/>
      <c r="T245" s="195"/>
      <c r="U245" s="1"/>
      <c r="W245" s="195"/>
      <c r="X245" s="195"/>
    </row>
    <row r="246" spans="17:24" x14ac:dyDescent="0.25">
      <c r="Q246" s="195"/>
      <c r="R246" s="195"/>
      <c r="S246" s="195"/>
      <c r="T246" s="195"/>
      <c r="U246" s="1"/>
      <c r="W246" s="195"/>
      <c r="X246" s="195"/>
    </row>
    <row r="247" spans="17:24" x14ac:dyDescent="0.25">
      <c r="Q247" s="195"/>
      <c r="R247" s="195"/>
      <c r="S247" s="195"/>
      <c r="T247" s="195"/>
      <c r="U247" s="1"/>
      <c r="W247" s="195"/>
      <c r="X247" s="195"/>
    </row>
    <row r="248" spans="17:24" x14ac:dyDescent="0.25">
      <c r="Q248" s="195"/>
      <c r="R248" s="195"/>
      <c r="S248" s="195"/>
      <c r="T248" s="195"/>
      <c r="U248" s="1"/>
      <c r="W248" s="195"/>
      <c r="X248" s="195"/>
    </row>
    <row r="249" spans="17:24" x14ac:dyDescent="0.25">
      <c r="Q249" s="195"/>
      <c r="R249" s="195"/>
      <c r="S249" s="195"/>
      <c r="T249" s="195"/>
      <c r="U249" s="1"/>
      <c r="W249" s="195"/>
      <c r="X249" s="195"/>
    </row>
    <row r="250" spans="17:24" x14ac:dyDescent="0.25">
      <c r="Q250" s="195"/>
      <c r="R250" s="195"/>
      <c r="S250" s="195"/>
      <c r="T250" s="195"/>
      <c r="U250" s="1"/>
      <c r="W250" s="195"/>
      <c r="X250" s="195"/>
    </row>
    <row r="251" spans="17:24" x14ac:dyDescent="0.25">
      <c r="Q251" s="195"/>
      <c r="R251" s="195"/>
      <c r="S251" s="195"/>
      <c r="T251" s="195"/>
      <c r="U251" s="1"/>
      <c r="W251" s="195"/>
      <c r="X251" s="195"/>
    </row>
    <row r="252" spans="17:24" x14ac:dyDescent="0.25">
      <c r="Q252" s="195"/>
      <c r="R252" s="195"/>
      <c r="S252" s="195"/>
      <c r="T252" s="195"/>
      <c r="U252" s="1"/>
      <c r="W252" s="195"/>
      <c r="X252" s="195"/>
    </row>
    <row r="253" spans="17:24" x14ac:dyDescent="0.25">
      <c r="Q253" s="195"/>
      <c r="R253" s="195"/>
      <c r="S253" s="195"/>
      <c r="T253" s="195"/>
      <c r="U253" s="1"/>
      <c r="W253" s="195"/>
      <c r="X253" s="195"/>
    </row>
    <row r="254" spans="17:24" x14ac:dyDescent="0.25">
      <c r="Q254" s="195"/>
      <c r="R254" s="195"/>
      <c r="S254" s="195"/>
      <c r="T254" s="195"/>
      <c r="U254" s="1"/>
      <c r="W254" s="195"/>
      <c r="X254" s="195"/>
    </row>
    <row r="255" spans="17:24" x14ac:dyDescent="0.25">
      <c r="Q255" s="195"/>
      <c r="R255" s="195"/>
      <c r="S255" s="195"/>
      <c r="T255" s="195"/>
      <c r="U255" s="1"/>
      <c r="W255" s="195"/>
      <c r="X255" s="195"/>
    </row>
    <row r="256" spans="17:24" x14ac:dyDescent="0.25">
      <c r="Q256" s="195"/>
      <c r="R256" s="195"/>
      <c r="S256" s="195"/>
      <c r="T256" s="195"/>
      <c r="U256" s="1"/>
      <c r="W256" s="195"/>
      <c r="X256" s="195"/>
    </row>
    <row r="257" spans="17:24" x14ac:dyDescent="0.25">
      <c r="Q257" s="195"/>
      <c r="R257" s="195"/>
      <c r="S257" s="195"/>
      <c r="T257" s="195"/>
      <c r="U257" s="1"/>
      <c r="W257" s="195"/>
      <c r="X257" s="195"/>
    </row>
    <row r="258" spans="17:24" x14ac:dyDescent="0.25">
      <c r="Q258" s="195"/>
      <c r="R258" s="195"/>
      <c r="S258" s="195"/>
      <c r="T258" s="195"/>
      <c r="U258" s="1"/>
      <c r="W258" s="195"/>
      <c r="X258" s="195"/>
    </row>
    <row r="259" spans="17:24" x14ac:dyDescent="0.25">
      <c r="Q259" s="195"/>
      <c r="R259" s="195"/>
      <c r="S259" s="195"/>
      <c r="T259" s="195"/>
      <c r="U259" s="1"/>
      <c r="W259" s="195"/>
      <c r="X259" s="195"/>
    </row>
    <row r="260" spans="17:24" x14ac:dyDescent="0.25">
      <c r="Q260" s="195"/>
      <c r="R260" s="195"/>
      <c r="S260" s="195"/>
      <c r="T260" s="195"/>
      <c r="U260" s="1"/>
      <c r="W260" s="195"/>
      <c r="X260" s="195"/>
    </row>
    <row r="261" spans="17:24" x14ac:dyDescent="0.25">
      <c r="Q261" s="195"/>
      <c r="R261" s="195"/>
      <c r="S261" s="195"/>
      <c r="T261" s="195"/>
      <c r="U261" s="1"/>
      <c r="W261" s="195"/>
      <c r="X261" s="195"/>
    </row>
    <row r="262" spans="17:24" x14ac:dyDescent="0.25">
      <c r="Q262" s="195"/>
      <c r="R262" s="195"/>
      <c r="S262" s="195"/>
      <c r="T262" s="195"/>
      <c r="U262" s="1"/>
      <c r="W262" s="195"/>
      <c r="X262" s="195"/>
    </row>
    <row r="263" spans="17:24" x14ac:dyDescent="0.25">
      <c r="Q263" s="195"/>
      <c r="R263" s="195"/>
      <c r="S263" s="195"/>
      <c r="T263" s="195"/>
      <c r="U263" s="1"/>
      <c r="W263" s="195"/>
      <c r="X263" s="195"/>
    </row>
    <row r="264" spans="17:24" x14ac:dyDescent="0.25">
      <c r="Q264" s="195"/>
      <c r="R264" s="195"/>
      <c r="S264" s="195"/>
      <c r="T264" s="195"/>
      <c r="U264" s="1"/>
      <c r="W264" s="195"/>
      <c r="X264" s="195"/>
    </row>
    <row r="265" spans="17:24" x14ac:dyDescent="0.25">
      <c r="Q265" s="195"/>
      <c r="R265" s="195"/>
      <c r="S265" s="195"/>
      <c r="T265" s="195"/>
      <c r="U265" s="1"/>
      <c r="W265" s="195"/>
      <c r="X265" s="195"/>
    </row>
    <row r="266" spans="17:24" x14ac:dyDescent="0.25">
      <c r="Q266" s="195"/>
      <c r="R266" s="195"/>
      <c r="S266" s="195"/>
      <c r="T266" s="195"/>
      <c r="U266" s="1"/>
      <c r="W266" s="195"/>
      <c r="X266" s="195"/>
    </row>
    <row r="267" spans="17:24" x14ac:dyDescent="0.25">
      <c r="Q267" s="195"/>
      <c r="R267" s="195"/>
      <c r="S267" s="195"/>
      <c r="T267" s="195"/>
      <c r="U267" s="1"/>
      <c r="W267" s="195"/>
      <c r="X267" s="195"/>
    </row>
    <row r="268" spans="17:24" x14ac:dyDescent="0.25">
      <c r="Q268" s="195"/>
      <c r="R268" s="195"/>
      <c r="S268" s="195"/>
      <c r="T268" s="195"/>
      <c r="U268" s="1"/>
      <c r="W268" s="195"/>
      <c r="X268" s="195"/>
    </row>
    <row r="269" spans="17:24" x14ac:dyDescent="0.25">
      <c r="Q269" s="195"/>
      <c r="R269" s="195"/>
      <c r="S269" s="195"/>
      <c r="T269" s="195"/>
      <c r="U269" s="1"/>
      <c r="W269" s="195"/>
      <c r="X269" s="195"/>
    </row>
    <row r="270" spans="17:24" x14ac:dyDescent="0.25">
      <c r="Q270" s="195"/>
      <c r="R270" s="195"/>
      <c r="S270" s="195"/>
      <c r="T270" s="195"/>
      <c r="U270" s="1"/>
      <c r="W270" s="195"/>
      <c r="X270" s="195"/>
    </row>
    <row r="271" spans="17:24" x14ac:dyDescent="0.25">
      <c r="Q271" s="195"/>
      <c r="R271" s="195"/>
      <c r="S271" s="195"/>
      <c r="T271" s="195"/>
      <c r="U271" s="1"/>
      <c r="W271" s="195"/>
      <c r="X271" s="195"/>
    </row>
    <row r="272" spans="17:24" x14ac:dyDescent="0.25">
      <c r="Q272" s="195"/>
      <c r="R272" s="195"/>
      <c r="S272" s="195"/>
      <c r="T272" s="195"/>
      <c r="U272" s="1"/>
      <c r="W272" s="195"/>
      <c r="X272" s="195"/>
    </row>
    <row r="273" spans="17:24" x14ac:dyDescent="0.25">
      <c r="Q273" s="195"/>
      <c r="R273" s="195"/>
      <c r="S273" s="195"/>
      <c r="T273" s="195"/>
      <c r="U273" s="1"/>
      <c r="W273" s="195"/>
      <c r="X273" s="195"/>
    </row>
    <row r="274" spans="17:24" x14ac:dyDescent="0.25">
      <c r="Q274" s="195"/>
      <c r="R274" s="195"/>
      <c r="S274" s="195"/>
      <c r="T274" s="195"/>
      <c r="U274" s="1"/>
      <c r="W274" s="195"/>
      <c r="X274" s="195"/>
    </row>
    <row r="275" spans="17:24" x14ac:dyDescent="0.25">
      <c r="Q275" s="195"/>
      <c r="R275" s="195"/>
      <c r="S275" s="195"/>
      <c r="T275" s="195"/>
      <c r="U275" s="1"/>
      <c r="W275" s="195"/>
      <c r="X275" s="195"/>
    </row>
    <row r="276" spans="17:24" x14ac:dyDescent="0.25">
      <c r="Q276" s="195"/>
      <c r="R276" s="195"/>
      <c r="S276" s="195"/>
      <c r="T276" s="195"/>
      <c r="U276" s="1"/>
      <c r="W276" s="195"/>
      <c r="X276" s="195"/>
    </row>
    <row r="277" spans="17:24" x14ac:dyDescent="0.25">
      <c r="Q277" s="195"/>
      <c r="R277" s="195"/>
      <c r="S277" s="195"/>
      <c r="T277" s="195"/>
      <c r="U277" s="1"/>
      <c r="W277" s="195"/>
      <c r="X277" s="195"/>
    </row>
    <row r="278" spans="17:24" x14ac:dyDescent="0.25">
      <c r="Q278" s="195"/>
      <c r="R278" s="195"/>
      <c r="S278" s="195"/>
      <c r="T278" s="195"/>
      <c r="U278" s="1"/>
      <c r="W278" s="195"/>
      <c r="X278" s="195"/>
    </row>
    <row r="279" spans="17:24" x14ac:dyDescent="0.25">
      <c r="Q279" s="195"/>
      <c r="R279" s="195"/>
      <c r="S279" s="195"/>
      <c r="T279" s="195"/>
      <c r="U279" s="1"/>
      <c r="W279" s="195"/>
      <c r="X279" s="195"/>
    </row>
    <row r="280" spans="17:24" x14ac:dyDescent="0.25">
      <c r="Q280" s="195"/>
      <c r="R280" s="195"/>
      <c r="S280" s="195"/>
      <c r="T280" s="195"/>
      <c r="U280" s="1"/>
      <c r="W280" s="195"/>
      <c r="X280" s="195"/>
    </row>
    <row r="281" spans="17:24" x14ac:dyDescent="0.25">
      <c r="Q281" s="195"/>
      <c r="R281" s="195"/>
      <c r="S281" s="195"/>
      <c r="T281" s="195"/>
      <c r="U281" s="1"/>
      <c r="W281" s="195"/>
      <c r="X281" s="195"/>
    </row>
    <row r="282" spans="17:24" x14ac:dyDescent="0.25">
      <c r="Q282" s="195"/>
      <c r="R282" s="195"/>
      <c r="S282" s="195"/>
      <c r="T282" s="195"/>
      <c r="U282" s="1"/>
      <c r="W282" s="195"/>
      <c r="X282" s="195"/>
    </row>
    <row r="283" spans="17:24" x14ac:dyDescent="0.25">
      <c r="Q283" s="195"/>
      <c r="R283" s="195"/>
      <c r="S283" s="195"/>
      <c r="T283" s="195"/>
      <c r="U283" s="1"/>
      <c r="W283" s="195"/>
      <c r="X283" s="195"/>
    </row>
    <row r="284" spans="17:24" x14ac:dyDescent="0.25">
      <c r="Q284" s="195"/>
      <c r="R284" s="195"/>
      <c r="S284" s="195"/>
      <c r="T284" s="195"/>
      <c r="U284" s="1"/>
      <c r="W284" s="195"/>
      <c r="X284" s="195"/>
    </row>
    <row r="285" spans="17:24" x14ac:dyDescent="0.25">
      <c r="Q285" s="195"/>
      <c r="R285" s="195"/>
      <c r="S285" s="195"/>
      <c r="T285" s="195"/>
      <c r="U285" s="1"/>
      <c r="W285" s="195"/>
      <c r="X285" s="195"/>
    </row>
    <row r="286" spans="17:24" x14ac:dyDescent="0.25">
      <c r="Q286" s="195"/>
      <c r="R286" s="195"/>
      <c r="S286" s="195"/>
      <c r="T286" s="195"/>
      <c r="U286" s="1"/>
      <c r="W286" s="195"/>
      <c r="X286" s="195"/>
    </row>
    <row r="287" spans="17:24" x14ac:dyDescent="0.25">
      <c r="Q287" s="195"/>
      <c r="R287" s="195"/>
      <c r="S287" s="195"/>
      <c r="T287" s="195"/>
      <c r="U287" s="1"/>
      <c r="W287" s="195"/>
      <c r="X287" s="195"/>
    </row>
    <row r="288" spans="17:24" x14ac:dyDescent="0.25">
      <c r="Q288" s="195"/>
      <c r="R288" s="195"/>
      <c r="S288" s="195"/>
      <c r="T288" s="195"/>
      <c r="U288" s="1"/>
      <c r="W288" s="195"/>
      <c r="X288" s="195"/>
    </row>
    <row r="289" spans="17:24" x14ac:dyDescent="0.25">
      <c r="Q289" s="195"/>
      <c r="R289" s="195"/>
      <c r="S289" s="195"/>
      <c r="T289" s="195"/>
      <c r="U289" s="1"/>
      <c r="W289" s="195"/>
      <c r="X289" s="195"/>
    </row>
    <row r="290" spans="17:24" x14ac:dyDescent="0.25">
      <c r="Q290" s="195"/>
      <c r="R290" s="195"/>
      <c r="S290" s="195"/>
      <c r="T290" s="195"/>
      <c r="U290" s="1"/>
      <c r="W290" s="195"/>
      <c r="X290" s="195"/>
    </row>
    <row r="291" spans="17:24" x14ac:dyDescent="0.25">
      <c r="Q291" s="195"/>
      <c r="R291" s="195"/>
      <c r="S291" s="195"/>
      <c r="T291" s="195"/>
      <c r="U291" s="1"/>
      <c r="W291" s="195"/>
      <c r="X291" s="195"/>
    </row>
    <row r="292" spans="17:24" x14ac:dyDescent="0.25">
      <c r="Q292" s="195"/>
      <c r="R292" s="195"/>
      <c r="S292" s="195"/>
      <c r="T292" s="195"/>
      <c r="U292" s="1"/>
      <c r="W292" s="195"/>
      <c r="X292" s="195"/>
    </row>
    <row r="293" spans="17:24" x14ac:dyDescent="0.25">
      <c r="Q293" s="195"/>
      <c r="R293" s="195"/>
      <c r="S293" s="195"/>
      <c r="T293" s="195"/>
      <c r="U293" s="1"/>
      <c r="W293" s="195"/>
      <c r="X293" s="195"/>
    </row>
    <row r="294" spans="17:24" x14ac:dyDescent="0.25">
      <c r="Q294" s="195"/>
      <c r="R294" s="195"/>
      <c r="S294" s="195"/>
      <c r="T294" s="195"/>
      <c r="U294" s="1"/>
      <c r="W294" s="195"/>
      <c r="X294" s="195"/>
    </row>
    <row r="295" spans="17:24" x14ac:dyDescent="0.25">
      <c r="Q295" s="195"/>
      <c r="R295" s="195"/>
      <c r="S295" s="195"/>
      <c r="T295" s="195"/>
      <c r="U295" s="1"/>
      <c r="W295" s="195"/>
      <c r="X295" s="195"/>
    </row>
    <row r="296" spans="17:24" x14ac:dyDescent="0.25">
      <c r="Q296" s="195"/>
      <c r="R296" s="195"/>
      <c r="S296" s="195"/>
      <c r="T296" s="195"/>
      <c r="U296" s="1"/>
      <c r="W296" s="195"/>
      <c r="X296" s="195"/>
    </row>
    <row r="297" spans="17:24" x14ac:dyDescent="0.25">
      <c r="Q297" s="195"/>
      <c r="R297" s="195"/>
      <c r="S297" s="195"/>
      <c r="T297" s="195"/>
      <c r="U297" s="1"/>
      <c r="W297" s="195"/>
      <c r="X297" s="195"/>
    </row>
    <row r="298" spans="17:24" x14ac:dyDescent="0.25">
      <c r="Q298" s="195"/>
      <c r="R298" s="195"/>
      <c r="S298" s="195"/>
      <c r="T298" s="195"/>
      <c r="U298" s="1"/>
      <c r="W298" s="195"/>
      <c r="X298" s="195"/>
    </row>
    <row r="299" spans="17:24" x14ac:dyDescent="0.25">
      <c r="Q299" s="195"/>
      <c r="R299" s="195"/>
      <c r="S299" s="195"/>
      <c r="T299" s="195"/>
      <c r="U299" s="1"/>
      <c r="W299" s="195"/>
      <c r="X299" s="195"/>
    </row>
    <row r="300" spans="17:24" x14ac:dyDescent="0.25">
      <c r="Q300" s="195"/>
      <c r="R300" s="195"/>
      <c r="S300" s="195"/>
      <c r="T300" s="195"/>
      <c r="U300" s="1"/>
      <c r="W300" s="195"/>
      <c r="X300" s="195"/>
    </row>
    <row r="301" spans="17:24" x14ac:dyDescent="0.25">
      <c r="Q301" s="195"/>
      <c r="R301" s="195"/>
      <c r="S301" s="195"/>
      <c r="T301" s="195"/>
      <c r="U301" s="1"/>
      <c r="W301" s="195"/>
      <c r="X301" s="195"/>
    </row>
    <row r="302" spans="17:24" x14ac:dyDescent="0.25">
      <c r="Q302" s="195"/>
      <c r="R302" s="195"/>
      <c r="S302" s="195"/>
      <c r="T302" s="195"/>
      <c r="U302" s="1"/>
      <c r="W302" s="195"/>
      <c r="X302" s="195"/>
    </row>
    <row r="303" spans="17:24" x14ac:dyDescent="0.25">
      <c r="Q303" s="195"/>
      <c r="R303" s="195"/>
      <c r="S303" s="195"/>
      <c r="T303" s="195"/>
      <c r="U303" s="1"/>
      <c r="W303" s="195"/>
      <c r="X303" s="195"/>
    </row>
    <row r="304" spans="17:24" x14ac:dyDescent="0.25">
      <c r="Q304" s="195"/>
      <c r="R304" s="195"/>
      <c r="S304" s="195"/>
      <c r="T304" s="195"/>
      <c r="U304" s="1"/>
      <c r="W304" s="195"/>
      <c r="X304" s="195"/>
    </row>
    <row r="305" spans="17:24" x14ac:dyDescent="0.25">
      <c r="Q305" s="195"/>
      <c r="R305" s="195"/>
      <c r="S305" s="195"/>
      <c r="T305" s="195"/>
      <c r="U305" s="1"/>
      <c r="W305" s="195"/>
      <c r="X305" s="195"/>
    </row>
    <row r="306" spans="17:24" x14ac:dyDescent="0.25">
      <c r="Q306" s="195"/>
      <c r="R306" s="195"/>
      <c r="S306" s="195"/>
      <c r="T306" s="195"/>
      <c r="U306" s="1"/>
      <c r="W306" s="195"/>
      <c r="X306" s="195"/>
    </row>
    <row r="307" spans="17:24" x14ac:dyDescent="0.25">
      <c r="Q307" s="195"/>
      <c r="R307" s="195"/>
      <c r="S307" s="195"/>
      <c r="T307" s="195"/>
      <c r="U307" s="1"/>
      <c r="W307" s="195"/>
      <c r="X307" s="195"/>
    </row>
    <row r="308" spans="17:24" x14ac:dyDescent="0.25">
      <c r="Q308" s="195"/>
      <c r="R308" s="195"/>
      <c r="S308" s="195"/>
      <c r="T308" s="195"/>
      <c r="U308" s="1"/>
      <c r="W308" s="195"/>
      <c r="X308" s="195"/>
    </row>
    <row r="309" spans="17:24" x14ac:dyDescent="0.25">
      <c r="Q309" s="195"/>
      <c r="R309" s="195"/>
      <c r="S309" s="195"/>
      <c r="T309" s="195"/>
      <c r="U309" s="1"/>
      <c r="W309" s="195"/>
      <c r="X309" s="195"/>
    </row>
    <row r="310" spans="17:24" x14ac:dyDescent="0.25">
      <c r="Q310" s="195"/>
      <c r="R310" s="195"/>
      <c r="S310" s="195"/>
      <c r="T310" s="195"/>
      <c r="U310" s="1"/>
      <c r="W310" s="195"/>
      <c r="X310" s="195"/>
    </row>
    <row r="311" spans="17:24" x14ac:dyDescent="0.25">
      <c r="Q311" s="195"/>
      <c r="R311" s="195"/>
      <c r="S311" s="195"/>
      <c r="T311" s="195"/>
      <c r="U311" s="1"/>
      <c r="W311" s="195"/>
      <c r="X311" s="195"/>
    </row>
    <row r="312" spans="17:24" x14ac:dyDescent="0.25">
      <c r="Q312" s="195"/>
      <c r="R312" s="195"/>
      <c r="S312" s="195"/>
      <c r="T312" s="195"/>
      <c r="U312" s="1"/>
      <c r="W312" s="195"/>
      <c r="X312" s="195"/>
    </row>
    <row r="313" spans="17:24" x14ac:dyDescent="0.25">
      <c r="Q313" s="195"/>
      <c r="R313" s="195"/>
      <c r="S313" s="195"/>
      <c r="T313" s="195"/>
      <c r="U313" s="1"/>
      <c r="W313" s="195"/>
      <c r="X313" s="195"/>
    </row>
    <row r="314" spans="17:24" x14ac:dyDescent="0.25">
      <c r="Q314" s="195"/>
      <c r="R314" s="195"/>
      <c r="S314" s="195"/>
      <c r="T314" s="195"/>
      <c r="U314" s="1"/>
      <c r="W314" s="195"/>
      <c r="X314" s="195"/>
    </row>
    <row r="315" spans="17:24" x14ac:dyDescent="0.25">
      <c r="Q315" s="195"/>
      <c r="R315" s="195"/>
      <c r="S315" s="195"/>
      <c r="T315" s="195"/>
      <c r="U315" s="1"/>
      <c r="W315" s="195"/>
      <c r="X315" s="195"/>
    </row>
    <row r="316" spans="17:24" x14ac:dyDescent="0.25">
      <c r="Q316" s="195"/>
      <c r="R316" s="195"/>
      <c r="S316" s="195"/>
      <c r="T316" s="195"/>
      <c r="U316" s="1"/>
      <c r="W316" s="195"/>
      <c r="X316" s="195"/>
    </row>
    <row r="317" spans="17:24" x14ac:dyDescent="0.25">
      <c r="Q317" s="195"/>
      <c r="R317" s="195"/>
      <c r="S317" s="195"/>
      <c r="T317" s="195"/>
      <c r="U317" s="1"/>
      <c r="W317" s="195"/>
      <c r="X317" s="195"/>
    </row>
    <row r="318" spans="17:24" x14ac:dyDescent="0.25">
      <c r="Q318" s="195"/>
      <c r="R318" s="195"/>
      <c r="S318" s="195"/>
      <c r="T318" s="195"/>
      <c r="U318" s="1"/>
      <c r="W318" s="195"/>
      <c r="X318" s="195"/>
    </row>
    <row r="319" spans="17:24" x14ac:dyDescent="0.25">
      <c r="Q319" s="195"/>
      <c r="R319" s="195"/>
      <c r="S319" s="195"/>
      <c r="T319" s="195"/>
      <c r="U319" s="1"/>
      <c r="W319" s="195"/>
      <c r="X319" s="195"/>
    </row>
    <row r="320" spans="17:24" x14ac:dyDescent="0.25">
      <c r="Q320" s="195"/>
      <c r="R320" s="195"/>
      <c r="S320" s="195"/>
      <c r="T320" s="195"/>
      <c r="U320" s="1"/>
      <c r="W320" s="195"/>
      <c r="X320" s="195"/>
    </row>
    <row r="321" spans="17:24" x14ac:dyDescent="0.25">
      <c r="Q321" s="195"/>
      <c r="R321" s="195"/>
      <c r="S321" s="195"/>
      <c r="T321" s="195"/>
      <c r="U321" s="1"/>
      <c r="W321" s="195"/>
      <c r="X321" s="195"/>
    </row>
    <row r="322" spans="17:24" x14ac:dyDescent="0.25">
      <c r="Q322" s="195"/>
      <c r="R322" s="195"/>
      <c r="S322" s="195"/>
      <c r="T322" s="195"/>
      <c r="U322" s="1"/>
      <c r="W322" s="195"/>
      <c r="X322" s="195"/>
    </row>
    <row r="323" spans="17:24" x14ac:dyDescent="0.25">
      <c r="Q323" s="195"/>
      <c r="R323" s="195"/>
      <c r="S323" s="195"/>
      <c r="T323" s="195"/>
      <c r="U323" s="1"/>
      <c r="W323" s="195"/>
      <c r="X323" s="195"/>
    </row>
    <row r="324" spans="17:24" x14ac:dyDescent="0.25">
      <c r="Q324" s="195"/>
      <c r="R324" s="195"/>
      <c r="S324" s="195"/>
      <c r="T324" s="195"/>
      <c r="U324" s="1"/>
      <c r="W324" s="195"/>
      <c r="X324" s="195"/>
    </row>
    <row r="325" spans="17:24" x14ac:dyDescent="0.25">
      <c r="Q325" s="195"/>
      <c r="R325" s="195"/>
      <c r="S325" s="195"/>
      <c r="T325" s="195"/>
      <c r="U325" s="1"/>
      <c r="W325" s="195"/>
      <c r="X325" s="195"/>
    </row>
    <row r="326" spans="17:24" x14ac:dyDescent="0.25">
      <c r="Q326" s="195"/>
      <c r="R326" s="195"/>
      <c r="S326" s="195"/>
      <c r="T326" s="195"/>
      <c r="U326" s="1"/>
      <c r="W326" s="195"/>
      <c r="X326" s="195"/>
    </row>
    <row r="327" spans="17:24" x14ac:dyDescent="0.25">
      <c r="Q327" s="195"/>
      <c r="R327" s="195"/>
      <c r="S327" s="195"/>
      <c r="T327" s="195"/>
      <c r="U327" s="1"/>
      <c r="W327" s="195"/>
      <c r="X327" s="195"/>
    </row>
    <row r="328" spans="17:24" x14ac:dyDescent="0.25">
      <c r="Q328" s="195"/>
      <c r="R328" s="195"/>
      <c r="S328" s="195"/>
      <c r="T328" s="195"/>
      <c r="U328" s="1"/>
      <c r="W328" s="195"/>
      <c r="X328" s="195"/>
    </row>
    <row r="329" spans="17:24" x14ac:dyDescent="0.25">
      <c r="Q329" s="195"/>
      <c r="R329" s="195"/>
      <c r="S329" s="195"/>
      <c r="T329" s="195"/>
      <c r="U329" s="1"/>
      <c r="W329" s="195"/>
      <c r="X329" s="195"/>
    </row>
    <row r="330" spans="17:24" x14ac:dyDescent="0.25">
      <c r="Q330" s="195"/>
      <c r="R330" s="195"/>
      <c r="S330" s="195"/>
      <c r="T330" s="195"/>
      <c r="U330" s="1"/>
      <c r="W330" s="195"/>
      <c r="X330" s="195"/>
    </row>
    <row r="331" spans="17:24" x14ac:dyDescent="0.25">
      <c r="Q331" s="195"/>
      <c r="R331" s="195"/>
      <c r="S331" s="195"/>
      <c r="T331" s="195"/>
      <c r="U331" s="1"/>
      <c r="W331" s="195"/>
      <c r="X331" s="195"/>
    </row>
    <row r="332" spans="17:24" x14ac:dyDescent="0.25">
      <c r="Q332" s="195"/>
      <c r="R332" s="195"/>
      <c r="S332" s="195"/>
      <c r="T332" s="195"/>
      <c r="U332" s="1"/>
      <c r="W332" s="195"/>
      <c r="X332" s="195"/>
    </row>
    <row r="333" spans="17:24" x14ac:dyDescent="0.25">
      <c r="Q333" s="195"/>
      <c r="R333" s="195"/>
      <c r="S333" s="195"/>
      <c r="T333" s="195"/>
      <c r="U333" s="1"/>
      <c r="W333" s="195"/>
      <c r="X333" s="195"/>
    </row>
    <row r="334" spans="17:24" x14ac:dyDescent="0.25">
      <c r="Q334" s="195"/>
      <c r="R334" s="195"/>
      <c r="S334" s="195"/>
      <c r="T334" s="195"/>
      <c r="U334" s="1"/>
      <c r="W334" s="195"/>
      <c r="X334" s="195"/>
    </row>
    <row r="335" spans="17:24" x14ac:dyDescent="0.25">
      <c r="Q335" s="195"/>
      <c r="R335" s="195"/>
      <c r="S335" s="195"/>
      <c r="T335" s="195"/>
      <c r="U335" s="1"/>
      <c r="W335" s="195"/>
      <c r="X335" s="195"/>
    </row>
    <row r="336" spans="17:24" x14ac:dyDescent="0.25">
      <c r="Q336" s="195"/>
      <c r="R336" s="195"/>
      <c r="S336" s="195"/>
      <c r="T336" s="195"/>
      <c r="U336" s="1"/>
      <c r="W336" s="195"/>
      <c r="X336" s="195"/>
    </row>
    <row r="337" spans="17:24" x14ac:dyDescent="0.25">
      <c r="Q337" s="195"/>
      <c r="R337" s="195"/>
      <c r="S337" s="195"/>
      <c r="T337" s="195"/>
      <c r="U337" s="1"/>
      <c r="W337" s="195"/>
      <c r="X337" s="195"/>
    </row>
    <row r="338" spans="17:24" x14ac:dyDescent="0.25">
      <c r="Q338" s="195"/>
      <c r="R338" s="195"/>
      <c r="S338" s="195"/>
      <c r="T338" s="195"/>
      <c r="U338" s="1"/>
      <c r="W338" s="195"/>
      <c r="X338" s="195"/>
    </row>
    <row r="339" spans="17:24" x14ac:dyDescent="0.25">
      <c r="Q339" s="195"/>
      <c r="R339" s="195"/>
      <c r="S339" s="195"/>
      <c r="T339" s="195"/>
      <c r="U339" s="1"/>
      <c r="W339" s="195"/>
      <c r="X339" s="195"/>
    </row>
    <row r="340" spans="17:24" x14ac:dyDescent="0.25">
      <c r="Q340" s="195"/>
      <c r="R340" s="195"/>
      <c r="S340" s="195"/>
      <c r="T340" s="195"/>
      <c r="U340" s="1"/>
      <c r="W340" s="195"/>
      <c r="X340" s="195"/>
    </row>
    <row r="341" spans="17:24" x14ac:dyDescent="0.25">
      <c r="Q341" s="195"/>
      <c r="R341" s="195"/>
      <c r="S341" s="195"/>
      <c r="T341" s="195"/>
      <c r="U341" s="1"/>
      <c r="W341" s="195"/>
      <c r="X341" s="195"/>
    </row>
    <row r="342" spans="17:24" x14ac:dyDescent="0.25">
      <c r="Q342" s="195"/>
      <c r="R342" s="195"/>
      <c r="S342" s="195"/>
      <c r="T342" s="195"/>
      <c r="U342" s="1"/>
      <c r="W342" s="195"/>
      <c r="X342" s="195"/>
    </row>
    <row r="343" spans="17:24" x14ac:dyDescent="0.25">
      <c r="Q343" s="195"/>
      <c r="R343" s="195"/>
      <c r="S343" s="195"/>
      <c r="T343" s="195"/>
      <c r="U343" s="1"/>
      <c r="W343" s="195"/>
      <c r="X343" s="195"/>
    </row>
    <row r="344" spans="17:24" x14ac:dyDescent="0.25">
      <c r="Q344" s="195"/>
      <c r="R344" s="195"/>
      <c r="S344" s="195"/>
      <c r="T344" s="195"/>
      <c r="U344" s="1"/>
      <c r="W344" s="195"/>
      <c r="X344" s="195"/>
    </row>
    <row r="345" spans="17:24" x14ac:dyDescent="0.25">
      <c r="Q345" s="195"/>
      <c r="R345" s="195"/>
      <c r="S345" s="195"/>
      <c r="T345" s="195"/>
      <c r="U345" s="1"/>
      <c r="W345" s="195"/>
      <c r="X345" s="195"/>
    </row>
    <row r="346" spans="17:24" x14ac:dyDescent="0.25">
      <c r="Q346" s="195"/>
      <c r="R346" s="195"/>
      <c r="S346" s="195"/>
      <c r="T346" s="195"/>
      <c r="U346" s="1"/>
      <c r="W346" s="195"/>
      <c r="X346" s="195"/>
    </row>
    <row r="347" spans="17:24" x14ac:dyDescent="0.25">
      <c r="Q347" s="195"/>
      <c r="R347" s="195"/>
      <c r="S347" s="195"/>
      <c r="T347" s="195"/>
      <c r="U347" s="1"/>
      <c r="W347" s="195"/>
      <c r="X347" s="195"/>
    </row>
    <row r="348" spans="17:24" x14ac:dyDescent="0.25">
      <c r="Q348" s="195"/>
      <c r="R348" s="195"/>
      <c r="S348" s="195"/>
      <c r="T348" s="195"/>
      <c r="U348" s="1"/>
      <c r="W348" s="195"/>
      <c r="X348" s="195"/>
    </row>
    <row r="349" spans="17:24" x14ac:dyDescent="0.25">
      <c r="Q349" s="195"/>
      <c r="R349" s="195"/>
      <c r="S349" s="195"/>
      <c r="T349" s="195"/>
      <c r="U349" s="1"/>
      <c r="W349" s="195"/>
      <c r="X349" s="195"/>
    </row>
    <row r="350" spans="17:24" x14ac:dyDescent="0.25">
      <c r="Q350" s="195"/>
      <c r="R350" s="195"/>
      <c r="S350" s="195"/>
      <c r="T350" s="195"/>
      <c r="U350" s="1"/>
      <c r="W350" s="195"/>
      <c r="X350" s="195"/>
    </row>
    <row r="351" spans="17:24" x14ac:dyDescent="0.25">
      <c r="Q351" s="195"/>
      <c r="R351" s="195"/>
      <c r="S351" s="195"/>
      <c r="T351" s="195"/>
      <c r="U351" s="1"/>
      <c r="W351" s="195"/>
      <c r="X351" s="195"/>
    </row>
    <row r="352" spans="17:24" x14ac:dyDescent="0.25">
      <c r="Q352" s="195"/>
      <c r="R352" s="195"/>
      <c r="S352" s="195"/>
      <c r="T352" s="195"/>
      <c r="U352" s="1"/>
      <c r="W352" s="195"/>
      <c r="X352" s="195"/>
    </row>
    <row r="353" spans="17:24" x14ac:dyDescent="0.25">
      <c r="Q353" s="195"/>
      <c r="R353" s="195"/>
      <c r="S353" s="195"/>
      <c r="T353" s="195"/>
      <c r="U353" s="1"/>
      <c r="W353" s="195"/>
      <c r="X353" s="195"/>
    </row>
    <row r="354" spans="17:24" x14ac:dyDescent="0.25">
      <c r="Q354" s="195"/>
      <c r="R354" s="195"/>
      <c r="S354" s="195"/>
      <c r="T354" s="195"/>
      <c r="U354" s="1"/>
      <c r="W354" s="195"/>
      <c r="X354" s="195"/>
    </row>
    <row r="355" spans="17:24" x14ac:dyDescent="0.25">
      <c r="Q355" s="195"/>
      <c r="R355" s="195"/>
      <c r="S355" s="195"/>
      <c r="T355" s="195"/>
      <c r="U355" s="1"/>
      <c r="W355" s="195"/>
      <c r="X355" s="195"/>
    </row>
    <row r="356" spans="17:24" x14ac:dyDescent="0.25">
      <c r="Q356" s="195"/>
      <c r="R356" s="195"/>
      <c r="S356" s="195"/>
      <c r="T356" s="195"/>
      <c r="U356" s="1"/>
      <c r="W356" s="195"/>
      <c r="X356" s="195"/>
    </row>
    <row r="357" spans="17:24" x14ac:dyDescent="0.25">
      <c r="Q357" s="195"/>
      <c r="R357" s="195"/>
      <c r="S357" s="195"/>
      <c r="T357" s="195"/>
      <c r="U357" s="1"/>
      <c r="W357" s="195"/>
      <c r="X357" s="195"/>
    </row>
    <row r="358" spans="17:24" x14ac:dyDescent="0.25">
      <c r="Q358" s="195"/>
      <c r="R358" s="195"/>
      <c r="S358" s="195"/>
      <c r="T358" s="195"/>
      <c r="U358" s="1"/>
      <c r="W358" s="195"/>
      <c r="X358" s="195"/>
    </row>
    <row r="359" spans="17:24" x14ac:dyDescent="0.25">
      <c r="Q359" s="195"/>
      <c r="R359" s="195"/>
      <c r="S359" s="195"/>
      <c r="T359" s="195"/>
      <c r="U359" s="1"/>
      <c r="W359" s="195"/>
      <c r="X359" s="195"/>
    </row>
    <row r="360" spans="17:24" x14ac:dyDescent="0.25">
      <c r="Q360" s="195"/>
      <c r="R360" s="195"/>
      <c r="S360" s="195"/>
      <c r="T360" s="195"/>
      <c r="U360" s="1"/>
      <c r="W360" s="195"/>
      <c r="X360" s="195"/>
    </row>
    <row r="361" spans="17:24" x14ac:dyDescent="0.25">
      <c r="Q361" s="195"/>
      <c r="R361" s="195"/>
      <c r="S361" s="195"/>
      <c r="T361" s="195"/>
      <c r="U361" s="1"/>
      <c r="W361" s="195"/>
      <c r="X361" s="195"/>
    </row>
    <row r="362" spans="17:24" x14ac:dyDescent="0.25">
      <c r="Q362" s="195"/>
      <c r="R362" s="195"/>
      <c r="S362" s="195"/>
      <c r="T362" s="195"/>
      <c r="U362" s="1"/>
      <c r="W362" s="195"/>
      <c r="X362" s="195"/>
    </row>
    <row r="363" spans="17:24" x14ac:dyDescent="0.25">
      <c r="Q363" s="195"/>
      <c r="R363" s="195"/>
      <c r="S363" s="195"/>
      <c r="T363" s="195"/>
      <c r="U363" s="1"/>
      <c r="W363" s="195"/>
      <c r="X363" s="195"/>
    </row>
    <row r="364" spans="17:24" x14ac:dyDescent="0.25">
      <c r="Q364" s="195"/>
      <c r="R364" s="195"/>
      <c r="S364" s="195"/>
      <c r="T364" s="195"/>
      <c r="U364" s="1"/>
      <c r="W364" s="195"/>
      <c r="X364" s="195"/>
    </row>
    <row r="365" spans="17:24" x14ac:dyDescent="0.25">
      <c r="Q365" s="195"/>
      <c r="R365" s="195"/>
      <c r="S365" s="195"/>
      <c r="T365" s="195"/>
      <c r="U365" s="1"/>
      <c r="W365" s="195"/>
      <c r="X365" s="195"/>
    </row>
    <row r="366" spans="17:24" x14ac:dyDescent="0.25">
      <c r="Q366" s="195"/>
      <c r="R366" s="195"/>
      <c r="S366" s="195"/>
      <c r="T366" s="195"/>
      <c r="U366" s="1"/>
      <c r="W366" s="195"/>
      <c r="X366" s="195"/>
    </row>
    <row r="367" spans="17:24" x14ac:dyDescent="0.25">
      <c r="Q367" s="195"/>
      <c r="R367" s="195"/>
      <c r="S367" s="195"/>
      <c r="T367" s="195"/>
      <c r="U367" s="1"/>
      <c r="W367" s="195"/>
      <c r="X367" s="195"/>
    </row>
    <row r="368" spans="17:24" x14ac:dyDescent="0.25">
      <c r="Q368" s="195"/>
      <c r="R368" s="195"/>
      <c r="S368" s="195"/>
      <c r="T368" s="195"/>
      <c r="U368" s="1"/>
      <c r="W368" s="195"/>
      <c r="X368" s="195"/>
    </row>
    <row r="369" spans="17:24" x14ac:dyDescent="0.25">
      <c r="Q369" s="195"/>
      <c r="R369" s="195"/>
      <c r="S369" s="195"/>
      <c r="T369" s="195"/>
      <c r="U369" s="1"/>
      <c r="W369" s="195"/>
      <c r="X369" s="195"/>
    </row>
    <row r="370" spans="17:24" x14ac:dyDescent="0.25">
      <c r="Q370" s="195"/>
      <c r="R370" s="195"/>
      <c r="S370" s="195"/>
      <c r="T370" s="195"/>
      <c r="U370" s="1"/>
      <c r="W370" s="195"/>
      <c r="X370" s="195"/>
    </row>
    <row r="371" spans="17:24" x14ac:dyDescent="0.25">
      <c r="Q371" s="195"/>
      <c r="R371" s="195"/>
      <c r="S371" s="195"/>
      <c r="T371" s="195"/>
      <c r="U371" s="1"/>
      <c r="W371" s="195"/>
      <c r="X371" s="195"/>
    </row>
    <row r="372" spans="17:24" x14ac:dyDescent="0.25">
      <c r="Q372" s="195"/>
      <c r="R372" s="195"/>
      <c r="S372" s="195"/>
      <c r="T372" s="195"/>
      <c r="U372" s="1"/>
      <c r="W372" s="195"/>
      <c r="X372" s="195"/>
    </row>
    <row r="373" spans="17:24" x14ac:dyDescent="0.25">
      <c r="Q373" s="195"/>
      <c r="R373" s="195"/>
      <c r="S373" s="195"/>
      <c r="T373" s="195"/>
      <c r="U373" s="1"/>
      <c r="W373" s="195"/>
      <c r="X373" s="195"/>
    </row>
    <row r="374" spans="17:24" x14ac:dyDescent="0.25">
      <c r="Q374" s="195"/>
      <c r="R374" s="195"/>
      <c r="S374" s="195"/>
      <c r="T374" s="195"/>
      <c r="U374" s="1"/>
      <c r="W374" s="195"/>
      <c r="X374" s="195"/>
    </row>
    <row r="375" spans="17:24" x14ac:dyDescent="0.25">
      <c r="Q375" s="195"/>
      <c r="R375" s="195"/>
      <c r="S375" s="195"/>
      <c r="T375" s="195"/>
      <c r="U375" s="1"/>
      <c r="W375" s="195"/>
      <c r="X375" s="195"/>
    </row>
    <row r="376" spans="17:24" x14ac:dyDescent="0.25">
      <c r="Q376" s="195"/>
      <c r="R376" s="195"/>
      <c r="S376" s="195"/>
      <c r="T376" s="195"/>
      <c r="U376" s="1"/>
      <c r="W376" s="195"/>
      <c r="X376" s="195"/>
    </row>
    <row r="377" spans="17:24" x14ac:dyDescent="0.25">
      <c r="Q377" s="195"/>
      <c r="R377" s="195"/>
      <c r="S377" s="195"/>
      <c r="T377" s="195"/>
      <c r="U377" s="1"/>
      <c r="W377" s="195"/>
      <c r="X377" s="195"/>
    </row>
    <row r="378" spans="17:24" x14ac:dyDescent="0.25">
      <c r="Q378" s="195"/>
      <c r="R378" s="195"/>
      <c r="S378" s="195"/>
      <c r="T378" s="195"/>
      <c r="U378" s="1"/>
      <c r="W378" s="195"/>
      <c r="X378" s="195"/>
    </row>
    <row r="379" spans="17:24" x14ac:dyDescent="0.25">
      <c r="Q379" s="195"/>
      <c r="R379" s="195"/>
      <c r="S379" s="195"/>
      <c r="T379" s="195"/>
      <c r="U379" s="1"/>
      <c r="W379" s="195"/>
      <c r="X379" s="195"/>
    </row>
    <row r="380" spans="17:24" x14ac:dyDescent="0.25">
      <c r="Q380" s="195"/>
      <c r="R380" s="195"/>
      <c r="S380" s="195"/>
      <c r="T380" s="195"/>
      <c r="U380" s="1"/>
      <c r="W380" s="195"/>
      <c r="X380" s="195"/>
    </row>
    <row r="381" spans="17:24" x14ac:dyDescent="0.25">
      <c r="Q381" s="195"/>
      <c r="R381" s="195"/>
      <c r="S381" s="195"/>
      <c r="T381" s="195"/>
      <c r="U381" s="1"/>
      <c r="W381" s="195"/>
      <c r="X381" s="195"/>
    </row>
    <row r="382" spans="17:24" x14ac:dyDescent="0.25">
      <c r="Q382" s="195"/>
      <c r="R382" s="195"/>
      <c r="S382" s="195"/>
      <c r="T382" s="195"/>
      <c r="U382" s="1"/>
      <c r="W382" s="195"/>
      <c r="X382" s="195"/>
    </row>
    <row r="383" spans="17:24" x14ac:dyDescent="0.25">
      <c r="Q383" s="195"/>
      <c r="R383" s="195"/>
      <c r="S383" s="195"/>
      <c r="T383" s="195"/>
      <c r="U383" s="1"/>
      <c r="W383" s="195"/>
      <c r="X383" s="195"/>
    </row>
    <row r="384" spans="17:24" x14ac:dyDescent="0.25">
      <c r="Q384" s="195"/>
      <c r="R384" s="195"/>
      <c r="S384" s="195"/>
      <c r="T384" s="195"/>
      <c r="U384" s="1"/>
      <c r="W384" s="195"/>
      <c r="X384" s="195"/>
    </row>
    <row r="385" spans="17:24" x14ac:dyDescent="0.25">
      <c r="Q385" s="195"/>
      <c r="R385" s="195"/>
      <c r="S385" s="195"/>
      <c r="T385" s="195"/>
      <c r="U385" s="1"/>
      <c r="W385" s="195"/>
      <c r="X385" s="195"/>
    </row>
    <row r="386" spans="17:24" x14ac:dyDescent="0.25">
      <c r="Q386" s="195"/>
      <c r="R386" s="195"/>
      <c r="S386" s="195"/>
      <c r="T386" s="195"/>
      <c r="U386" s="1"/>
      <c r="W386" s="195"/>
      <c r="X386" s="195"/>
    </row>
    <row r="387" spans="17:24" x14ac:dyDescent="0.25">
      <c r="Q387" s="195"/>
      <c r="R387" s="195"/>
      <c r="S387" s="195"/>
      <c r="T387" s="195"/>
      <c r="U387" s="1"/>
      <c r="W387" s="195"/>
      <c r="X387" s="195"/>
    </row>
    <row r="388" spans="17:24" x14ac:dyDescent="0.25">
      <c r="Q388" s="195"/>
      <c r="R388" s="195"/>
      <c r="S388" s="195"/>
      <c r="T388" s="195"/>
      <c r="U388" s="1"/>
      <c r="W388" s="195"/>
      <c r="X388" s="195"/>
    </row>
    <row r="389" spans="17:24" x14ac:dyDescent="0.25">
      <c r="Q389" s="195"/>
      <c r="R389" s="195"/>
      <c r="S389" s="195"/>
      <c r="T389" s="195"/>
      <c r="U389" s="1"/>
      <c r="W389" s="195"/>
      <c r="X389" s="195"/>
    </row>
    <row r="390" spans="17:24" x14ac:dyDescent="0.25">
      <c r="Q390" s="195"/>
      <c r="R390" s="195"/>
      <c r="S390" s="195"/>
      <c r="T390" s="195"/>
      <c r="U390" s="1"/>
      <c r="W390" s="195"/>
      <c r="X390" s="195"/>
    </row>
    <row r="391" spans="17:24" x14ac:dyDescent="0.25">
      <c r="Q391" s="195"/>
      <c r="R391" s="195"/>
      <c r="S391" s="195"/>
      <c r="T391" s="195"/>
      <c r="U391" s="1"/>
      <c r="W391" s="195"/>
      <c r="X391" s="195"/>
    </row>
    <row r="392" spans="17:24" x14ac:dyDescent="0.25">
      <c r="Q392" s="195"/>
      <c r="R392" s="195"/>
      <c r="S392" s="195"/>
      <c r="T392" s="195"/>
      <c r="U392" s="1"/>
      <c r="W392" s="195"/>
      <c r="X392" s="195"/>
    </row>
    <row r="393" spans="17:24" x14ac:dyDescent="0.25">
      <c r="Q393" s="195"/>
      <c r="R393" s="195"/>
      <c r="S393" s="195"/>
      <c r="T393" s="195"/>
      <c r="U393" s="1"/>
      <c r="W393" s="195"/>
      <c r="X393" s="195"/>
    </row>
    <row r="394" spans="17:24" x14ac:dyDescent="0.25">
      <c r="Q394" s="195"/>
      <c r="R394" s="195"/>
      <c r="S394" s="195"/>
      <c r="T394" s="195"/>
      <c r="U394" s="1"/>
      <c r="W394" s="195"/>
      <c r="X394" s="195"/>
    </row>
    <row r="395" spans="17:24" x14ac:dyDescent="0.25">
      <c r="Q395" s="195"/>
      <c r="R395" s="195"/>
      <c r="S395" s="195"/>
      <c r="T395" s="195"/>
      <c r="U395" s="1"/>
      <c r="W395" s="195"/>
      <c r="X395" s="195"/>
    </row>
    <row r="396" spans="17:24" x14ac:dyDescent="0.25">
      <c r="Q396" s="195"/>
      <c r="R396" s="195"/>
      <c r="S396" s="195"/>
      <c r="T396" s="195"/>
      <c r="U396" s="1"/>
      <c r="W396" s="195"/>
      <c r="X396" s="195"/>
    </row>
    <row r="397" spans="17:24" x14ac:dyDescent="0.25">
      <c r="Q397" s="195"/>
      <c r="R397" s="195"/>
      <c r="S397" s="195"/>
      <c r="T397" s="195"/>
      <c r="U397" s="1"/>
      <c r="W397" s="195"/>
      <c r="X397" s="195"/>
    </row>
    <row r="398" spans="17:24" x14ac:dyDescent="0.25">
      <c r="Q398" s="195"/>
      <c r="R398" s="195"/>
      <c r="S398" s="195"/>
      <c r="T398" s="195"/>
      <c r="U398" s="1"/>
      <c r="W398" s="195"/>
      <c r="X398" s="195"/>
    </row>
    <row r="399" spans="17:24" x14ac:dyDescent="0.25">
      <c r="Q399" s="195"/>
      <c r="R399" s="195"/>
      <c r="S399" s="195"/>
      <c r="T399" s="195"/>
      <c r="U399" s="1"/>
      <c r="W399" s="195"/>
      <c r="X399" s="195"/>
    </row>
    <row r="400" spans="17:24" x14ac:dyDescent="0.25">
      <c r="Q400" s="195"/>
      <c r="R400" s="195"/>
      <c r="S400" s="195"/>
      <c r="T400" s="195"/>
      <c r="U400" s="1"/>
      <c r="W400" s="195"/>
      <c r="X400" s="195"/>
    </row>
    <row r="401" spans="17:24" x14ac:dyDescent="0.25">
      <c r="Q401" s="195"/>
      <c r="R401" s="195"/>
      <c r="S401" s="195"/>
      <c r="T401" s="195"/>
      <c r="U401" s="1"/>
      <c r="W401" s="195"/>
      <c r="X401" s="195"/>
    </row>
    <row r="402" spans="17:24" x14ac:dyDescent="0.25">
      <c r="Q402" s="195"/>
      <c r="R402" s="195"/>
      <c r="S402" s="195"/>
      <c r="T402" s="195"/>
      <c r="U402" s="1"/>
      <c r="W402" s="195"/>
      <c r="X402" s="195"/>
    </row>
    <row r="403" spans="17:24" x14ac:dyDescent="0.25">
      <c r="Q403" s="195"/>
      <c r="R403" s="195"/>
      <c r="S403" s="195"/>
      <c r="T403" s="195"/>
      <c r="U403" s="1"/>
      <c r="W403" s="195"/>
      <c r="X403" s="195"/>
    </row>
    <row r="404" spans="17:24" x14ac:dyDescent="0.25">
      <c r="Q404" s="195"/>
      <c r="R404" s="195"/>
      <c r="S404" s="195"/>
      <c r="T404" s="195"/>
      <c r="U404" s="1"/>
      <c r="W404" s="195"/>
      <c r="X404" s="195"/>
    </row>
    <row r="405" spans="17:24" x14ac:dyDescent="0.25">
      <c r="Q405" s="195"/>
      <c r="R405" s="195"/>
      <c r="S405" s="195"/>
      <c r="T405" s="195"/>
      <c r="U405" s="1"/>
      <c r="W405" s="195"/>
      <c r="X405" s="195"/>
    </row>
    <row r="406" spans="17:24" x14ac:dyDescent="0.25">
      <c r="Q406" s="195"/>
      <c r="R406" s="195"/>
      <c r="S406" s="195"/>
      <c r="T406" s="195"/>
      <c r="U406" s="1"/>
      <c r="W406" s="195"/>
      <c r="X406" s="195"/>
    </row>
    <row r="407" spans="17:24" x14ac:dyDescent="0.25">
      <c r="Q407" s="195"/>
      <c r="R407" s="195"/>
      <c r="S407" s="195"/>
      <c r="T407" s="195"/>
      <c r="U407" s="1"/>
      <c r="W407" s="195"/>
      <c r="X407" s="195"/>
    </row>
    <row r="408" spans="17:24" x14ac:dyDescent="0.25">
      <c r="Q408" s="195"/>
      <c r="R408" s="195"/>
      <c r="S408" s="195"/>
      <c r="T408" s="195"/>
      <c r="U408" s="1"/>
      <c r="W408" s="195"/>
      <c r="X408" s="195"/>
    </row>
    <row r="409" spans="17:24" x14ac:dyDescent="0.25">
      <c r="Q409" s="195"/>
      <c r="R409" s="195"/>
      <c r="S409" s="195"/>
      <c r="T409" s="195"/>
      <c r="U409" s="1"/>
      <c r="W409" s="195"/>
      <c r="X409" s="195"/>
    </row>
    <row r="410" spans="17:24" x14ac:dyDescent="0.25">
      <c r="Q410" s="195"/>
      <c r="R410" s="195"/>
      <c r="S410" s="195"/>
      <c r="T410" s="195"/>
      <c r="U410" s="1"/>
      <c r="W410" s="195"/>
      <c r="X410" s="195"/>
    </row>
    <row r="411" spans="17:24" x14ac:dyDescent="0.25">
      <c r="Q411" s="195"/>
      <c r="R411" s="195"/>
      <c r="S411" s="195"/>
      <c r="T411" s="195"/>
      <c r="U411" s="1"/>
      <c r="W411" s="195"/>
      <c r="X411" s="195"/>
    </row>
    <row r="412" spans="17:24" x14ac:dyDescent="0.25">
      <c r="Q412" s="195"/>
      <c r="R412" s="195"/>
      <c r="S412" s="195"/>
      <c r="T412" s="195"/>
      <c r="U412" s="1"/>
      <c r="W412" s="195"/>
      <c r="X412" s="195"/>
    </row>
    <row r="413" spans="17:24" x14ac:dyDescent="0.25">
      <c r="Q413" s="195"/>
      <c r="R413" s="195"/>
      <c r="S413" s="195"/>
      <c r="T413" s="195"/>
      <c r="U413" s="1"/>
      <c r="W413" s="195"/>
      <c r="X413" s="195"/>
    </row>
    <row r="414" spans="17:24" x14ac:dyDescent="0.25">
      <c r="Q414" s="195"/>
      <c r="R414" s="195"/>
      <c r="S414" s="195"/>
      <c r="T414" s="195"/>
      <c r="U414" s="1"/>
      <c r="W414" s="195"/>
      <c r="X414" s="195"/>
    </row>
    <row r="415" spans="17:24" x14ac:dyDescent="0.25">
      <c r="Q415" s="195"/>
      <c r="R415" s="195"/>
      <c r="S415" s="195"/>
      <c r="T415" s="195"/>
      <c r="U415" s="1"/>
      <c r="W415" s="195"/>
      <c r="X415" s="195"/>
    </row>
    <row r="416" spans="17:24" x14ac:dyDescent="0.25">
      <c r="Q416" s="195"/>
      <c r="R416" s="195"/>
      <c r="S416" s="195"/>
      <c r="T416" s="195"/>
      <c r="U416" s="1"/>
      <c r="W416" s="195"/>
      <c r="X416" s="195"/>
    </row>
    <row r="417" spans="17:24" x14ac:dyDescent="0.25">
      <c r="Q417" s="195"/>
      <c r="R417" s="195"/>
      <c r="S417" s="195"/>
      <c r="T417" s="195"/>
      <c r="U417" s="1"/>
      <c r="W417" s="195"/>
      <c r="X417" s="195"/>
    </row>
    <row r="418" spans="17:24" x14ac:dyDescent="0.25">
      <c r="Q418" s="195"/>
      <c r="R418" s="195"/>
      <c r="S418" s="195"/>
      <c r="T418" s="195"/>
      <c r="U418" s="1"/>
      <c r="W418" s="195"/>
      <c r="X418" s="195"/>
    </row>
    <row r="419" spans="17:24" x14ac:dyDescent="0.25">
      <c r="Q419" s="195"/>
      <c r="R419" s="195"/>
      <c r="S419" s="195"/>
      <c r="T419" s="195"/>
      <c r="U419" s="1"/>
      <c r="W419" s="195"/>
      <c r="X419" s="195"/>
    </row>
    <row r="420" spans="17:24" x14ac:dyDescent="0.25">
      <c r="Q420" s="195"/>
      <c r="R420" s="195"/>
      <c r="S420" s="195"/>
      <c r="T420" s="195"/>
      <c r="U420" s="1"/>
      <c r="W420" s="195"/>
      <c r="X420" s="195"/>
    </row>
    <row r="421" spans="17:24" x14ac:dyDescent="0.25">
      <c r="Q421" s="195"/>
      <c r="R421" s="195"/>
      <c r="S421" s="195"/>
      <c r="T421" s="195"/>
      <c r="U421" s="1"/>
      <c r="W421" s="195"/>
      <c r="X421" s="195"/>
    </row>
    <row r="422" spans="17:24" x14ac:dyDescent="0.25">
      <c r="Q422" s="195"/>
      <c r="R422" s="195"/>
      <c r="S422" s="195"/>
      <c r="T422" s="195"/>
      <c r="U422" s="1"/>
      <c r="W422" s="195"/>
      <c r="X422" s="195"/>
    </row>
    <row r="423" spans="17:24" x14ac:dyDescent="0.25">
      <c r="Q423" s="195"/>
      <c r="R423" s="195"/>
      <c r="S423" s="195"/>
      <c r="T423" s="195"/>
      <c r="U423" s="1"/>
      <c r="W423" s="195"/>
      <c r="X423" s="195"/>
    </row>
    <row r="424" spans="17:24" x14ac:dyDescent="0.25">
      <c r="Q424" s="195"/>
      <c r="R424" s="195"/>
      <c r="S424" s="195"/>
      <c r="T424" s="195"/>
      <c r="U424" s="1"/>
      <c r="W424" s="195"/>
      <c r="X424" s="195"/>
    </row>
    <row r="425" spans="17:24" x14ac:dyDescent="0.25">
      <c r="Q425" s="195"/>
      <c r="R425" s="195"/>
      <c r="S425" s="195"/>
      <c r="T425" s="195"/>
      <c r="U425" s="1"/>
      <c r="W425" s="195"/>
      <c r="X425" s="195"/>
    </row>
    <row r="426" spans="17:24" x14ac:dyDescent="0.25">
      <c r="Q426" s="195"/>
      <c r="R426" s="195"/>
      <c r="S426" s="195"/>
      <c r="T426" s="195"/>
      <c r="U426" s="1"/>
      <c r="W426" s="195"/>
      <c r="X426" s="195"/>
    </row>
    <row r="427" spans="17:24" x14ac:dyDescent="0.25">
      <c r="Q427" s="195"/>
      <c r="R427" s="195"/>
      <c r="S427" s="195"/>
      <c r="T427" s="195"/>
      <c r="U427" s="1"/>
      <c r="W427" s="195"/>
      <c r="X427" s="195"/>
    </row>
    <row r="428" spans="17:24" x14ac:dyDescent="0.25">
      <c r="Q428" s="195"/>
      <c r="R428" s="195"/>
      <c r="S428" s="195"/>
      <c r="T428" s="195"/>
      <c r="U428" s="1"/>
      <c r="W428" s="195"/>
      <c r="X428" s="195"/>
    </row>
    <row r="429" spans="17:24" x14ac:dyDescent="0.25">
      <c r="Q429" s="195"/>
      <c r="R429" s="195"/>
      <c r="S429" s="195"/>
      <c r="T429" s="195"/>
      <c r="U429" s="1"/>
      <c r="W429" s="195"/>
      <c r="X429" s="195"/>
    </row>
    <row r="430" spans="17:24" x14ac:dyDescent="0.25">
      <c r="Q430" s="195"/>
      <c r="R430" s="195"/>
      <c r="S430" s="195"/>
      <c r="T430" s="195"/>
      <c r="U430" s="1"/>
      <c r="W430" s="195"/>
      <c r="X430" s="195"/>
    </row>
    <row r="431" spans="17:24" x14ac:dyDescent="0.25">
      <c r="Q431" s="195"/>
      <c r="R431" s="195"/>
      <c r="S431" s="195"/>
      <c r="T431" s="195"/>
      <c r="U431" s="1"/>
      <c r="W431" s="195"/>
      <c r="X431" s="195"/>
    </row>
    <row r="432" spans="17:24" x14ac:dyDescent="0.25">
      <c r="Q432" s="195"/>
      <c r="R432" s="195"/>
      <c r="S432" s="195"/>
      <c r="T432" s="195"/>
      <c r="U432" s="1"/>
      <c r="W432" s="195"/>
      <c r="X432" s="195"/>
    </row>
    <row r="433" spans="17:24" x14ac:dyDescent="0.25">
      <c r="Q433" s="195"/>
      <c r="R433" s="195"/>
      <c r="S433" s="195"/>
      <c r="T433" s="195"/>
      <c r="U433" s="1"/>
      <c r="W433" s="195"/>
      <c r="X433" s="195"/>
    </row>
    <row r="434" spans="17:24" x14ac:dyDescent="0.25">
      <c r="Q434" s="195"/>
      <c r="R434" s="195"/>
      <c r="S434" s="195"/>
      <c r="T434" s="195"/>
      <c r="U434" s="1"/>
      <c r="W434" s="195"/>
      <c r="X434" s="195"/>
    </row>
    <row r="435" spans="17:24" x14ac:dyDescent="0.25">
      <c r="Q435" s="195"/>
      <c r="R435" s="195"/>
      <c r="S435" s="195"/>
      <c r="T435" s="195"/>
      <c r="U435" s="1"/>
      <c r="W435" s="195"/>
      <c r="X435" s="195"/>
    </row>
    <row r="436" spans="17:24" x14ac:dyDescent="0.25">
      <c r="Q436" s="195"/>
      <c r="R436" s="195"/>
      <c r="S436" s="195"/>
      <c r="T436" s="195"/>
      <c r="U436" s="1"/>
      <c r="W436" s="195"/>
      <c r="X436" s="195"/>
    </row>
    <row r="437" spans="17:24" x14ac:dyDescent="0.25">
      <c r="Q437" s="195"/>
      <c r="R437" s="195"/>
      <c r="S437" s="195"/>
      <c r="T437" s="195"/>
      <c r="U437" s="1"/>
      <c r="W437" s="195"/>
      <c r="X437" s="195"/>
    </row>
    <row r="438" spans="17:24" x14ac:dyDescent="0.25">
      <c r="Q438" s="195"/>
      <c r="R438" s="195"/>
      <c r="S438" s="195"/>
      <c r="T438" s="195"/>
      <c r="U438" s="1"/>
      <c r="W438" s="195"/>
      <c r="X438" s="195"/>
    </row>
    <row r="439" spans="17:24" x14ac:dyDescent="0.25">
      <c r="Q439" s="195"/>
      <c r="R439" s="195"/>
      <c r="S439" s="195"/>
      <c r="T439" s="195"/>
      <c r="U439" s="1"/>
      <c r="W439" s="195"/>
      <c r="X439" s="195"/>
    </row>
    <row r="440" spans="17:24" x14ac:dyDescent="0.25">
      <c r="Q440" s="195"/>
      <c r="R440" s="195"/>
      <c r="S440" s="195"/>
      <c r="T440" s="195"/>
      <c r="U440" s="1"/>
      <c r="W440" s="195"/>
      <c r="X440" s="195"/>
    </row>
    <row r="441" spans="17:24" x14ac:dyDescent="0.25">
      <c r="Q441" s="195"/>
      <c r="R441" s="195"/>
      <c r="S441" s="195"/>
      <c r="T441" s="195"/>
      <c r="U441" s="1"/>
      <c r="W441" s="195"/>
      <c r="X441" s="195"/>
    </row>
    <row r="442" spans="17:24" x14ac:dyDescent="0.25">
      <c r="Q442" s="195"/>
      <c r="R442" s="195"/>
      <c r="S442" s="195"/>
      <c r="T442" s="195"/>
      <c r="U442" s="1"/>
      <c r="W442" s="195"/>
      <c r="X442" s="195"/>
    </row>
    <row r="443" spans="17:24" x14ac:dyDescent="0.25">
      <c r="Q443" s="195"/>
      <c r="R443" s="195"/>
      <c r="S443" s="195"/>
      <c r="T443" s="195"/>
      <c r="U443" s="1"/>
      <c r="W443" s="195"/>
      <c r="X443" s="195"/>
    </row>
    <row r="444" spans="17:24" x14ac:dyDescent="0.25">
      <c r="Q444" s="195"/>
      <c r="R444" s="195"/>
      <c r="S444" s="195"/>
      <c r="T444" s="195"/>
      <c r="U444" s="1"/>
      <c r="W444" s="195"/>
      <c r="X444" s="195"/>
    </row>
    <row r="445" spans="17:24" x14ac:dyDescent="0.25">
      <c r="Q445" s="195"/>
      <c r="R445" s="195"/>
      <c r="S445" s="195"/>
      <c r="T445" s="195"/>
      <c r="U445" s="1"/>
      <c r="W445" s="195"/>
      <c r="X445" s="195"/>
    </row>
    <row r="446" spans="17:24" x14ac:dyDescent="0.25">
      <c r="Q446" s="195"/>
      <c r="R446" s="195"/>
      <c r="S446" s="195"/>
      <c r="T446" s="195"/>
      <c r="U446" s="1"/>
      <c r="W446" s="195"/>
      <c r="X446" s="195"/>
    </row>
    <row r="447" spans="17:24" x14ac:dyDescent="0.25">
      <c r="Q447" s="195"/>
      <c r="R447" s="195"/>
      <c r="S447" s="195"/>
      <c r="T447" s="195"/>
      <c r="U447" s="1"/>
      <c r="W447" s="195"/>
      <c r="X447" s="195"/>
    </row>
    <row r="448" spans="17:24" x14ac:dyDescent="0.25">
      <c r="Q448" s="195"/>
      <c r="R448" s="195"/>
      <c r="S448" s="195"/>
      <c r="T448" s="195"/>
      <c r="U448" s="1"/>
      <c r="W448" s="195"/>
      <c r="X448" s="195"/>
    </row>
    <row r="449" spans="17:24" x14ac:dyDescent="0.25">
      <c r="Q449" s="195"/>
      <c r="R449" s="195"/>
      <c r="S449" s="195"/>
      <c r="T449" s="195"/>
      <c r="U449" s="1"/>
      <c r="W449" s="195"/>
      <c r="X449" s="195"/>
    </row>
    <row r="450" spans="17:24" x14ac:dyDescent="0.25">
      <c r="Q450" s="195"/>
      <c r="R450" s="195"/>
      <c r="S450" s="195"/>
      <c r="T450" s="195"/>
      <c r="U450" s="1"/>
      <c r="W450" s="195"/>
      <c r="X450" s="195"/>
    </row>
    <row r="451" spans="17:24" x14ac:dyDescent="0.25">
      <c r="Q451" s="195"/>
      <c r="R451" s="195"/>
      <c r="S451" s="195"/>
      <c r="T451" s="195"/>
      <c r="U451" s="1"/>
      <c r="W451" s="195"/>
      <c r="X451" s="195"/>
    </row>
    <row r="452" spans="17:24" x14ac:dyDescent="0.25">
      <c r="Q452" s="195"/>
      <c r="R452" s="195"/>
      <c r="S452" s="195"/>
      <c r="T452" s="195"/>
      <c r="U452" s="1"/>
      <c r="W452" s="195"/>
      <c r="X452" s="195"/>
    </row>
    <row r="453" spans="17:24" x14ac:dyDescent="0.25">
      <c r="Q453" s="195"/>
      <c r="R453" s="195"/>
      <c r="S453" s="195"/>
      <c r="T453" s="195"/>
      <c r="U453" s="1"/>
      <c r="W453" s="195"/>
      <c r="X453" s="195"/>
    </row>
    <row r="454" spans="17:24" x14ac:dyDescent="0.25">
      <c r="Q454" s="195"/>
      <c r="R454" s="195"/>
      <c r="S454" s="195"/>
      <c r="T454" s="195"/>
      <c r="U454" s="1"/>
      <c r="W454" s="195"/>
      <c r="X454" s="195"/>
    </row>
    <row r="455" spans="17:24" x14ac:dyDescent="0.25">
      <c r="Q455" s="195"/>
      <c r="R455" s="195"/>
      <c r="S455" s="195"/>
      <c r="T455" s="195"/>
      <c r="U455" s="1"/>
      <c r="W455" s="195"/>
      <c r="X455" s="195"/>
    </row>
    <row r="456" spans="17:24" x14ac:dyDescent="0.25">
      <c r="Q456" s="195"/>
      <c r="R456" s="195"/>
      <c r="S456" s="195"/>
      <c r="T456" s="195"/>
      <c r="U456" s="1"/>
      <c r="W456" s="195"/>
      <c r="X456" s="195"/>
    </row>
    <row r="457" spans="17:24" x14ac:dyDescent="0.25">
      <c r="Q457" s="195"/>
      <c r="R457" s="195"/>
      <c r="S457" s="195"/>
      <c r="T457" s="195"/>
      <c r="U457" s="1"/>
      <c r="W457" s="195"/>
      <c r="X457" s="195"/>
    </row>
    <row r="458" spans="17:24" x14ac:dyDescent="0.25">
      <c r="Q458" s="195"/>
      <c r="R458" s="195"/>
      <c r="S458" s="195"/>
      <c r="T458" s="195"/>
      <c r="U458" s="1"/>
      <c r="W458" s="195"/>
      <c r="X458" s="195"/>
    </row>
    <row r="459" spans="17:24" x14ac:dyDescent="0.25">
      <c r="Q459" s="195"/>
      <c r="R459" s="195"/>
      <c r="S459" s="195"/>
      <c r="T459" s="195"/>
      <c r="U459" s="1"/>
      <c r="W459" s="195"/>
      <c r="X459" s="195"/>
    </row>
    <row r="460" spans="17:24" x14ac:dyDescent="0.25">
      <c r="Q460" s="195"/>
      <c r="R460" s="195"/>
      <c r="S460" s="195"/>
      <c r="T460" s="195"/>
      <c r="U460" s="1"/>
      <c r="W460" s="195"/>
      <c r="X460" s="195"/>
    </row>
    <row r="461" spans="17:24" x14ac:dyDescent="0.25">
      <c r="Q461" s="195"/>
      <c r="R461" s="195"/>
      <c r="S461" s="195"/>
      <c r="T461" s="195"/>
      <c r="U461" s="1"/>
      <c r="W461" s="195"/>
      <c r="X461" s="195"/>
    </row>
    <row r="462" spans="17:24" x14ac:dyDescent="0.25">
      <c r="Q462" s="195"/>
      <c r="R462" s="195"/>
      <c r="S462" s="195"/>
      <c r="T462" s="195"/>
      <c r="U462" s="1"/>
      <c r="W462" s="195"/>
      <c r="X462" s="195"/>
    </row>
    <row r="463" spans="17:24" x14ac:dyDescent="0.25">
      <c r="Q463" s="195"/>
      <c r="R463" s="195"/>
      <c r="S463" s="195"/>
      <c r="T463" s="195"/>
      <c r="U463" s="1"/>
      <c r="W463" s="195"/>
      <c r="X463" s="195"/>
    </row>
    <row r="464" spans="17:24" x14ac:dyDescent="0.25">
      <c r="Q464" s="195"/>
      <c r="R464" s="195"/>
      <c r="S464" s="195"/>
      <c r="T464" s="195"/>
      <c r="U464" s="1"/>
      <c r="W464" s="195"/>
      <c r="X464" s="195"/>
    </row>
    <row r="465" spans="17:24" x14ac:dyDescent="0.25">
      <c r="Q465" s="195"/>
      <c r="R465" s="195"/>
      <c r="S465" s="195"/>
      <c r="T465" s="195"/>
      <c r="U465" s="1"/>
      <c r="W465" s="195"/>
      <c r="X465" s="195"/>
    </row>
    <row r="466" spans="17:24" x14ac:dyDescent="0.25">
      <c r="Q466" s="195"/>
      <c r="R466" s="195"/>
      <c r="S466" s="195"/>
      <c r="T466" s="195"/>
      <c r="U466" s="1"/>
      <c r="W466" s="195"/>
      <c r="X466" s="195"/>
    </row>
    <row r="467" spans="17:24" x14ac:dyDescent="0.25">
      <c r="Q467" s="195"/>
      <c r="R467" s="195"/>
      <c r="S467" s="195"/>
      <c r="T467" s="195"/>
      <c r="U467" s="1"/>
      <c r="W467" s="195"/>
      <c r="X467" s="195"/>
    </row>
    <row r="468" spans="17:24" x14ac:dyDescent="0.25">
      <c r="Q468" s="195"/>
      <c r="R468" s="195"/>
      <c r="S468" s="195"/>
      <c r="T468" s="195"/>
      <c r="U468" s="1"/>
      <c r="W468" s="195"/>
      <c r="X468" s="195"/>
    </row>
    <row r="469" spans="17:24" x14ac:dyDescent="0.25">
      <c r="Q469" s="195"/>
      <c r="R469" s="195"/>
      <c r="S469" s="195"/>
      <c r="T469" s="195"/>
      <c r="U469" s="1"/>
      <c r="W469" s="195"/>
      <c r="X469" s="195"/>
    </row>
    <row r="470" spans="17:24" x14ac:dyDescent="0.25">
      <c r="Q470" s="195"/>
      <c r="R470" s="195"/>
      <c r="S470" s="195"/>
      <c r="T470" s="195"/>
      <c r="U470" s="1"/>
      <c r="W470" s="195"/>
      <c r="X470" s="195"/>
    </row>
    <row r="471" spans="17:24" x14ac:dyDescent="0.25">
      <c r="Q471" s="195"/>
      <c r="R471" s="195"/>
      <c r="S471" s="195"/>
      <c r="T471" s="195"/>
      <c r="U471" s="1"/>
      <c r="W471" s="195"/>
      <c r="X471" s="195"/>
    </row>
    <row r="472" spans="17:24" x14ac:dyDescent="0.25">
      <c r="Q472" s="195"/>
      <c r="R472" s="195"/>
      <c r="S472" s="195"/>
      <c r="T472" s="195"/>
      <c r="U472" s="1"/>
      <c r="W472" s="195"/>
      <c r="X472" s="195"/>
    </row>
    <row r="473" spans="17:24" x14ac:dyDescent="0.25">
      <c r="Q473" s="195"/>
      <c r="R473" s="195"/>
      <c r="S473" s="195"/>
      <c r="T473" s="195"/>
      <c r="U473" s="1"/>
      <c r="W473" s="195"/>
      <c r="X473" s="195"/>
    </row>
    <row r="474" spans="17:24" x14ac:dyDescent="0.25">
      <c r="Q474" s="195"/>
      <c r="R474" s="195"/>
      <c r="S474" s="195"/>
      <c r="T474" s="195"/>
      <c r="U474" s="1"/>
      <c r="W474" s="195"/>
      <c r="X474" s="195"/>
    </row>
    <row r="475" spans="17:24" x14ac:dyDescent="0.25">
      <c r="Q475" s="195"/>
      <c r="R475" s="195"/>
      <c r="S475" s="195"/>
      <c r="T475" s="195"/>
      <c r="U475" s="1"/>
      <c r="W475" s="195"/>
      <c r="X475" s="195"/>
    </row>
    <row r="476" spans="17:24" x14ac:dyDescent="0.25">
      <c r="Q476" s="195"/>
      <c r="R476" s="195"/>
      <c r="S476" s="195"/>
      <c r="T476" s="195"/>
      <c r="U476" s="1"/>
      <c r="W476" s="195"/>
      <c r="X476" s="195"/>
    </row>
    <row r="477" spans="17:24" x14ac:dyDescent="0.25">
      <c r="Q477" s="195"/>
      <c r="R477" s="195"/>
      <c r="S477" s="195"/>
      <c r="T477" s="195"/>
      <c r="U477" s="1"/>
      <c r="W477" s="195"/>
      <c r="X477" s="195"/>
    </row>
    <row r="478" spans="17:24" x14ac:dyDescent="0.25">
      <c r="Q478" s="195"/>
      <c r="R478" s="195"/>
      <c r="S478" s="195"/>
      <c r="T478" s="195"/>
      <c r="U478" s="1"/>
      <c r="W478" s="195"/>
      <c r="X478" s="195"/>
    </row>
    <row r="479" spans="17:24" x14ac:dyDescent="0.25">
      <c r="Q479" s="195"/>
      <c r="R479" s="195"/>
      <c r="S479" s="195"/>
      <c r="T479" s="195"/>
      <c r="U479" s="1"/>
      <c r="W479" s="195"/>
      <c r="X479" s="195"/>
    </row>
    <row r="480" spans="17:24" x14ac:dyDescent="0.25">
      <c r="Q480" s="195"/>
      <c r="R480" s="195"/>
      <c r="S480" s="195"/>
      <c r="T480" s="195"/>
      <c r="U480" s="1"/>
      <c r="W480" s="195"/>
      <c r="X480" s="195"/>
    </row>
    <row r="481" spans="17:24" x14ac:dyDescent="0.25">
      <c r="Q481" s="195"/>
      <c r="R481" s="195"/>
      <c r="S481" s="195"/>
      <c r="T481" s="195"/>
      <c r="U481" s="1"/>
      <c r="W481" s="195"/>
      <c r="X481" s="195"/>
    </row>
    <row r="482" spans="17:24" x14ac:dyDescent="0.25">
      <c r="Q482" s="195"/>
      <c r="R482" s="195"/>
      <c r="S482" s="195"/>
      <c r="T482" s="195"/>
      <c r="U482" s="1"/>
      <c r="W482" s="195"/>
      <c r="X482" s="195"/>
    </row>
    <row r="483" spans="17:24" x14ac:dyDescent="0.25">
      <c r="Q483" s="195"/>
      <c r="R483" s="195"/>
      <c r="S483" s="195"/>
      <c r="T483" s="195"/>
      <c r="U483" s="1"/>
      <c r="W483" s="195"/>
      <c r="X483" s="195"/>
    </row>
    <row r="484" spans="17:24" x14ac:dyDescent="0.25">
      <c r="Q484" s="195"/>
      <c r="R484" s="195"/>
      <c r="S484" s="195"/>
      <c r="T484" s="195"/>
      <c r="U484" s="1"/>
      <c r="W484" s="195"/>
      <c r="X484" s="195"/>
    </row>
    <row r="485" spans="17:24" x14ac:dyDescent="0.25">
      <c r="Q485" s="195"/>
      <c r="R485" s="195"/>
      <c r="S485" s="195"/>
      <c r="T485" s="195"/>
      <c r="U485" s="1"/>
      <c r="W485" s="195"/>
      <c r="X485" s="195"/>
    </row>
    <row r="486" spans="17:24" x14ac:dyDescent="0.25">
      <c r="Q486" s="195"/>
      <c r="R486" s="195"/>
      <c r="S486" s="195"/>
      <c r="T486" s="195"/>
      <c r="U486" s="1"/>
      <c r="W486" s="195"/>
      <c r="X486" s="195"/>
    </row>
    <row r="487" spans="17:24" x14ac:dyDescent="0.25">
      <c r="Q487" s="195"/>
      <c r="R487" s="195"/>
      <c r="S487" s="195"/>
      <c r="T487" s="195"/>
      <c r="U487" s="1"/>
      <c r="W487" s="195"/>
      <c r="X487" s="195"/>
    </row>
    <row r="488" spans="17:24" x14ac:dyDescent="0.25">
      <c r="Q488" s="195"/>
      <c r="R488" s="195"/>
      <c r="S488" s="195"/>
      <c r="T488" s="195"/>
      <c r="U488" s="1"/>
      <c r="W488" s="195"/>
      <c r="X488" s="195"/>
    </row>
    <row r="489" spans="17:24" x14ac:dyDescent="0.25">
      <c r="Q489" s="195"/>
      <c r="R489" s="195"/>
      <c r="S489" s="195"/>
      <c r="T489" s="195"/>
      <c r="U489" s="1"/>
      <c r="W489" s="195"/>
      <c r="X489" s="195"/>
    </row>
    <row r="490" spans="17:24" x14ac:dyDescent="0.25">
      <c r="Q490" s="195"/>
      <c r="R490" s="195"/>
      <c r="S490" s="195"/>
      <c r="T490" s="195"/>
      <c r="U490" s="1"/>
      <c r="W490" s="195"/>
      <c r="X490" s="195"/>
    </row>
    <row r="491" spans="17:24" x14ac:dyDescent="0.25">
      <c r="Q491" s="195"/>
      <c r="R491" s="195"/>
      <c r="S491" s="195"/>
      <c r="T491" s="195"/>
      <c r="U491" s="1"/>
      <c r="W491" s="195"/>
      <c r="X491" s="195"/>
    </row>
    <row r="492" spans="17:24" x14ac:dyDescent="0.25">
      <c r="Q492" s="195"/>
      <c r="R492" s="195"/>
      <c r="S492" s="195"/>
      <c r="T492" s="195"/>
      <c r="U492" s="1"/>
      <c r="W492" s="195"/>
      <c r="X492" s="195"/>
    </row>
    <row r="493" spans="17:24" x14ac:dyDescent="0.25">
      <c r="Q493" s="195"/>
      <c r="R493" s="195"/>
      <c r="S493" s="195"/>
      <c r="T493" s="195"/>
      <c r="U493" s="1"/>
      <c r="W493" s="195"/>
      <c r="X493" s="195"/>
    </row>
    <row r="494" spans="17:24" x14ac:dyDescent="0.25">
      <c r="Q494" s="195"/>
      <c r="R494" s="195"/>
      <c r="S494" s="195"/>
      <c r="T494" s="195"/>
      <c r="U494" s="1"/>
      <c r="W494" s="195"/>
      <c r="X494" s="195"/>
    </row>
    <row r="495" spans="17:24" x14ac:dyDescent="0.25">
      <c r="Q495" s="195"/>
      <c r="R495" s="195"/>
      <c r="S495" s="195"/>
      <c r="T495" s="195"/>
      <c r="U495" s="1"/>
      <c r="W495" s="195"/>
      <c r="X495" s="195"/>
    </row>
    <row r="496" spans="17:24" x14ac:dyDescent="0.25">
      <c r="Q496" s="195"/>
      <c r="R496" s="195"/>
      <c r="S496" s="195"/>
      <c r="T496" s="195"/>
      <c r="U496" s="1"/>
      <c r="W496" s="195"/>
      <c r="X496" s="195"/>
    </row>
    <row r="497" spans="17:24" x14ac:dyDescent="0.25">
      <c r="Q497" s="195"/>
      <c r="R497" s="195"/>
      <c r="S497" s="195"/>
      <c r="T497" s="195"/>
      <c r="U497" s="1"/>
      <c r="W497" s="195"/>
      <c r="X497" s="195"/>
    </row>
    <row r="498" spans="17:24" x14ac:dyDescent="0.25">
      <c r="Q498" s="195"/>
      <c r="R498" s="195"/>
      <c r="S498" s="195"/>
      <c r="T498" s="195"/>
      <c r="U498" s="1"/>
      <c r="W498" s="195"/>
      <c r="X498" s="195"/>
    </row>
    <row r="499" spans="17:24" x14ac:dyDescent="0.25">
      <c r="Q499" s="195"/>
      <c r="R499" s="195"/>
      <c r="S499" s="195"/>
      <c r="T499" s="195"/>
      <c r="U499" s="1"/>
      <c r="W499" s="195"/>
      <c r="X499" s="195"/>
    </row>
    <row r="500" spans="17:24" x14ac:dyDescent="0.25">
      <c r="Q500" s="195"/>
      <c r="R500" s="195"/>
      <c r="S500" s="195"/>
      <c r="T500" s="195"/>
      <c r="U500" s="1"/>
      <c r="W500" s="195"/>
      <c r="X500" s="195"/>
    </row>
    <row r="501" spans="17:24" x14ac:dyDescent="0.25">
      <c r="Q501" s="195"/>
      <c r="R501" s="195"/>
      <c r="S501" s="195"/>
      <c r="T501" s="195"/>
      <c r="U501" s="1"/>
      <c r="W501" s="195"/>
      <c r="X501" s="195"/>
    </row>
    <row r="502" spans="17:24" x14ac:dyDescent="0.25">
      <c r="Q502" s="195"/>
      <c r="R502" s="195"/>
      <c r="S502" s="195"/>
      <c r="T502" s="195"/>
      <c r="U502" s="1"/>
      <c r="W502" s="195"/>
      <c r="X502" s="195"/>
    </row>
    <row r="503" spans="17:24" x14ac:dyDescent="0.25">
      <c r="Q503" s="195"/>
      <c r="R503" s="195"/>
      <c r="S503" s="195"/>
      <c r="T503" s="195"/>
      <c r="U503" s="1"/>
      <c r="W503" s="195"/>
      <c r="X503" s="195"/>
    </row>
    <row r="504" spans="17:24" x14ac:dyDescent="0.25">
      <c r="Q504" s="195"/>
      <c r="R504" s="195"/>
      <c r="S504" s="195"/>
      <c r="T504" s="195"/>
      <c r="U504" s="1"/>
      <c r="W504" s="195"/>
      <c r="X504" s="195"/>
    </row>
    <row r="505" spans="17:24" x14ac:dyDescent="0.25">
      <c r="Q505" s="195"/>
      <c r="R505" s="195"/>
      <c r="S505" s="195"/>
      <c r="T505" s="195"/>
      <c r="U505" s="1"/>
      <c r="W505" s="195"/>
      <c r="X505" s="195"/>
    </row>
    <row r="506" spans="17:24" x14ac:dyDescent="0.25">
      <c r="Q506" s="195"/>
      <c r="R506" s="195"/>
      <c r="S506" s="195"/>
      <c r="T506" s="195"/>
      <c r="U506" s="1"/>
      <c r="W506" s="195"/>
      <c r="X506" s="195"/>
    </row>
    <row r="507" spans="17:24" x14ac:dyDescent="0.25">
      <c r="Q507" s="195"/>
      <c r="R507" s="195"/>
      <c r="S507" s="195"/>
      <c r="T507" s="195"/>
      <c r="U507" s="1"/>
      <c r="W507" s="195"/>
      <c r="X507" s="195"/>
    </row>
    <row r="508" spans="17:24" x14ac:dyDescent="0.25">
      <c r="Q508" s="195"/>
      <c r="R508" s="195"/>
      <c r="S508" s="195"/>
      <c r="T508" s="195"/>
      <c r="U508" s="1"/>
      <c r="W508" s="195"/>
      <c r="X508" s="195"/>
    </row>
    <row r="509" spans="17:24" x14ac:dyDescent="0.25">
      <c r="Q509" s="195"/>
      <c r="R509" s="195"/>
      <c r="S509" s="195"/>
      <c r="T509" s="195"/>
      <c r="U509" s="1"/>
      <c r="W509" s="195"/>
      <c r="X509" s="195"/>
    </row>
    <row r="510" spans="17:24" x14ac:dyDescent="0.25">
      <c r="Q510" s="195"/>
      <c r="R510" s="195"/>
      <c r="S510" s="195"/>
      <c r="T510" s="195"/>
      <c r="U510" s="1"/>
      <c r="W510" s="195"/>
      <c r="X510" s="195"/>
    </row>
    <row r="511" spans="17:24" x14ac:dyDescent="0.25">
      <c r="Q511" s="195"/>
      <c r="R511" s="195"/>
      <c r="S511" s="195"/>
      <c r="T511" s="195"/>
      <c r="U511" s="1"/>
      <c r="W511" s="195"/>
      <c r="X511" s="195"/>
    </row>
    <row r="512" spans="17:24" x14ac:dyDescent="0.25">
      <c r="Q512" s="195"/>
      <c r="R512" s="195"/>
      <c r="S512" s="195"/>
      <c r="T512" s="195"/>
      <c r="U512" s="1"/>
      <c r="W512" s="195"/>
      <c r="X512" s="195"/>
    </row>
    <row r="513" spans="17:24" x14ac:dyDescent="0.25">
      <c r="Q513" s="195"/>
      <c r="R513" s="195"/>
      <c r="S513" s="195"/>
      <c r="T513" s="195"/>
      <c r="U513" s="1"/>
      <c r="W513" s="195"/>
      <c r="X513" s="195"/>
    </row>
    <row r="514" spans="17:24" x14ac:dyDescent="0.25">
      <c r="Q514" s="195"/>
      <c r="R514" s="195"/>
      <c r="S514" s="195"/>
      <c r="T514" s="195"/>
      <c r="U514" s="1"/>
      <c r="W514" s="195"/>
      <c r="X514" s="195"/>
    </row>
    <row r="515" spans="17:24" x14ac:dyDescent="0.25">
      <c r="Q515" s="195"/>
      <c r="R515" s="195"/>
      <c r="S515" s="195"/>
      <c r="T515" s="195"/>
      <c r="U515" s="1"/>
      <c r="W515" s="195"/>
      <c r="X515" s="195"/>
    </row>
    <row r="516" spans="17:24" x14ac:dyDescent="0.25">
      <c r="Q516" s="195"/>
      <c r="R516" s="195"/>
      <c r="S516" s="195"/>
      <c r="T516" s="195"/>
      <c r="U516" s="1"/>
      <c r="W516" s="195"/>
      <c r="X516" s="195"/>
    </row>
    <row r="517" spans="17:24" x14ac:dyDescent="0.25">
      <c r="Q517" s="195"/>
      <c r="R517" s="195"/>
      <c r="S517" s="195"/>
      <c r="T517" s="195"/>
      <c r="U517" s="1"/>
      <c r="W517" s="195"/>
      <c r="X517" s="195"/>
    </row>
    <row r="518" spans="17:24" x14ac:dyDescent="0.25">
      <c r="Q518" s="195"/>
      <c r="R518" s="195"/>
      <c r="S518" s="195"/>
      <c r="T518" s="195"/>
      <c r="U518" s="1"/>
      <c r="W518" s="195"/>
      <c r="X518" s="195"/>
    </row>
    <row r="519" spans="17:24" x14ac:dyDescent="0.25">
      <c r="Q519" s="195"/>
      <c r="R519" s="195"/>
      <c r="S519" s="195"/>
      <c r="T519" s="195"/>
      <c r="U519" s="1"/>
      <c r="W519" s="195"/>
      <c r="X519" s="195"/>
    </row>
    <row r="520" spans="17:24" x14ac:dyDescent="0.25">
      <c r="Q520" s="195"/>
      <c r="R520" s="195"/>
      <c r="S520" s="195"/>
      <c r="T520" s="195"/>
      <c r="U520" s="1"/>
      <c r="W520" s="195"/>
      <c r="X520" s="195"/>
    </row>
    <row r="521" spans="17:24" x14ac:dyDescent="0.25">
      <c r="Q521" s="195"/>
      <c r="R521" s="195"/>
      <c r="S521" s="195"/>
      <c r="T521" s="195"/>
      <c r="U521" s="1"/>
      <c r="W521" s="195"/>
      <c r="X521" s="195"/>
    </row>
    <row r="522" spans="17:24" x14ac:dyDescent="0.25">
      <c r="Q522" s="195"/>
      <c r="R522" s="195"/>
      <c r="S522" s="195"/>
      <c r="T522" s="195"/>
      <c r="U522" s="1"/>
      <c r="W522" s="195"/>
      <c r="X522" s="195"/>
    </row>
    <row r="523" spans="17:24" x14ac:dyDescent="0.25">
      <c r="Q523" s="195"/>
      <c r="R523" s="195"/>
      <c r="S523" s="195"/>
      <c r="T523" s="195"/>
      <c r="U523" s="1"/>
      <c r="W523" s="195"/>
      <c r="X523" s="195"/>
    </row>
    <row r="524" spans="17:24" x14ac:dyDescent="0.25">
      <c r="Q524" s="195"/>
      <c r="R524" s="195"/>
      <c r="S524" s="195"/>
      <c r="T524" s="195"/>
      <c r="U524" s="1"/>
      <c r="W524" s="195"/>
      <c r="X524" s="195"/>
    </row>
    <row r="525" spans="17:24" x14ac:dyDescent="0.25">
      <c r="Q525" s="195"/>
      <c r="R525" s="195"/>
      <c r="S525" s="195"/>
      <c r="T525" s="195"/>
      <c r="U525" s="1"/>
      <c r="W525" s="195"/>
      <c r="X525" s="195"/>
    </row>
    <row r="526" spans="17:24" x14ac:dyDescent="0.25">
      <c r="Q526" s="195"/>
      <c r="R526" s="195"/>
      <c r="S526" s="195"/>
      <c r="T526" s="195"/>
      <c r="U526" s="1"/>
      <c r="W526" s="195"/>
      <c r="X526" s="195"/>
    </row>
    <row r="527" spans="17:24" x14ac:dyDescent="0.25">
      <c r="Q527" s="195"/>
      <c r="R527" s="195"/>
      <c r="S527" s="195"/>
      <c r="T527" s="195"/>
      <c r="U527" s="1"/>
      <c r="W527" s="195"/>
      <c r="X527" s="195"/>
    </row>
    <row r="528" spans="17:24" x14ac:dyDescent="0.25">
      <c r="Q528" s="195"/>
      <c r="R528" s="195"/>
      <c r="S528" s="195"/>
      <c r="T528" s="195"/>
      <c r="U528" s="1"/>
      <c r="W528" s="195"/>
      <c r="X528" s="195"/>
    </row>
    <row r="529" spans="17:24" x14ac:dyDescent="0.25">
      <c r="Q529" s="195"/>
      <c r="R529" s="195"/>
      <c r="S529" s="195"/>
      <c r="T529" s="195"/>
      <c r="U529" s="1"/>
      <c r="W529" s="195"/>
      <c r="X529" s="195"/>
    </row>
    <row r="530" spans="17:24" x14ac:dyDescent="0.25">
      <c r="Q530" s="195"/>
      <c r="R530" s="195"/>
      <c r="S530" s="195"/>
      <c r="T530" s="195"/>
      <c r="U530" s="1"/>
      <c r="W530" s="195"/>
      <c r="X530" s="195"/>
    </row>
    <row r="531" spans="17:24" x14ac:dyDescent="0.25">
      <c r="Q531" s="195"/>
      <c r="R531" s="195"/>
      <c r="S531" s="195"/>
      <c r="T531" s="195"/>
      <c r="U531" s="1"/>
      <c r="W531" s="195"/>
      <c r="X531" s="195"/>
    </row>
    <row r="532" spans="17:24" x14ac:dyDescent="0.25">
      <c r="Q532" s="195"/>
      <c r="R532" s="195"/>
      <c r="S532" s="195"/>
      <c r="T532" s="195"/>
      <c r="U532" s="1"/>
      <c r="W532" s="195"/>
      <c r="X532" s="195"/>
    </row>
    <row r="533" spans="17:24" x14ac:dyDescent="0.25">
      <c r="Q533" s="195"/>
      <c r="R533" s="195"/>
      <c r="S533" s="195"/>
      <c r="T533" s="195"/>
      <c r="U533" s="1"/>
      <c r="W533" s="195"/>
      <c r="X533" s="195"/>
    </row>
    <row r="534" spans="17:24" x14ac:dyDescent="0.25">
      <c r="Q534" s="195"/>
      <c r="R534" s="195"/>
      <c r="S534" s="195"/>
      <c r="T534" s="195"/>
      <c r="U534" s="1"/>
      <c r="W534" s="195"/>
      <c r="X534" s="195"/>
    </row>
    <row r="535" spans="17:24" x14ac:dyDescent="0.25">
      <c r="Q535" s="195"/>
      <c r="R535" s="195"/>
      <c r="S535" s="195"/>
      <c r="T535" s="195"/>
      <c r="U535" s="1"/>
      <c r="W535" s="195"/>
      <c r="X535" s="195"/>
    </row>
    <row r="536" spans="17:24" x14ac:dyDescent="0.25">
      <c r="Q536" s="195"/>
      <c r="R536" s="195"/>
      <c r="S536" s="195"/>
      <c r="T536" s="195"/>
      <c r="U536" s="1"/>
      <c r="W536" s="195"/>
      <c r="X536" s="195"/>
    </row>
    <row r="537" spans="17:24" x14ac:dyDescent="0.25">
      <c r="Q537" s="195"/>
      <c r="R537" s="195"/>
      <c r="S537" s="195"/>
      <c r="T537" s="195"/>
      <c r="U537" s="1"/>
      <c r="W537" s="195"/>
      <c r="X537" s="195"/>
    </row>
    <row r="538" spans="17:24" x14ac:dyDescent="0.25">
      <c r="Q538" s="195"/>
      <c r="R538" s="195"/>
      <c r="S538" s="195"/>
      <c r="T538" s="195"/>
      <c r="U538" s="1"/>
      <c r="W538" s="195"/>
      <c r="X538" s="195"/>
    </row>
    <row r="539" spans="17:24" x14ac:dyDescent="0.25">
      <c r="Q539" s="195"/>
      <c r="R539" s="195"/>
      <c r="S539" s="195"/>
      <c r="T539" s="195"/>
      <c r="U539" s="1"/>
      <c r="W539" s="195"/>
      <c r="X539" s="195"/>
    </row>
    <row r="540" spans="17:24" x14ac:dyDescent="0.25">
      <c r="Q540" s="195"/>
      <c r="R540" s="195"/>
      <c r="S540" s="195"/>
      <c r="T540" s="195"/>
      <c r="U540" s="1"/>
      <c r="W540" s="195"/>
      <c r="X540" s="195"/>
    </row>
    <row r="541" spans="17:24" x14ac:dyDescent="0.25">
      <c r="Q541" s="195"/>
      <c r="R541" s="195"/>
      <c r="S541" s="195"/>
      <c r="T541" s="195"/>
      <c r="U541" s="1"/>
      <c r="W541" s="195"/>
      <c r="X541" s="195"/>
    </row>
    <row r="542" spans="17:24" x14ac:dyDescent="0.25">
      <c r="Q542" s="195"/>
      <c r="R542" s="195"/>
      <c r="S542" s="195"/>
      <c r="T542" s="195"/>
      <c r="U542" s="1"/>
      <c r="W542" s="195"/>
      <c r="X542" s="195"/>
    </row>
    <row r="543" spans="17:24" x14ac:dyDescent="0.25">
      <c r="Q543" s="195"/>
      <c r="R543" s="195"/>
      <c r="S543" s="195"/>
      <c r="T543" s="195"/>
      <c r="U543" s="1"/>
      <c r="W543" s="195"/>
      <c r="X543" s="195"/>
    </row>
    <row r="544" spans="17:24" x14ac:dyDescent="0.25">
      <c r="Q544" s="195"/>
      <c r="R544" s="195"/>
      <c r="S544" s="195"/>
      <c r="T544" s="195"/>
      <c r="U544" s="1"/>
      <c r="W544" s="195"/>
      <c r="X544" s="195"/>
    </row>
    <row r="545" spans="17:24" x14ac:dyDescent="0.25">
      <c r="Q545" s="195"/>
      <c r="R545" s="195"/>
      <c r="S545" s="195"/>
      <c r="T545" s="195"/>
      <c r="U545" s="1"/>
      <c r="W545" s="195"/>
      <c r="X545" s="195"/>
    </row>
    <row r="546" spans="17:24" x14ac:dyDescent="0.25">
      <c r="Q546" s="195"/>
      <c r="R546" s="195"/>
      <c r="S546" s="195"/>
      <c r="T546" s="195"/>
      <c r="U546" s="1"/>
      <c r="W546" s="195"/>
      <c r="X546" s="195"/>
    </row>
    <row r="547" spans="17:24" x14ac:dyDescent="0.25">
      <c r="Q547" s="195"/>
      <c r="R547" s="195"/>
      <c r="S547" s="195"/>
      <c r="T547" s="195"/>
      <c r="U547" s="1"/>
      <c r="W547" s="195"/>
      <c r="X547" s="195"/>
    </row>
    <row r="548" spans="17:24" x14ac:dyDescent="0.25">
      <c r="Q548" s="195"/>
      <c r="R548" s="195"/>
      <c r="S548" s="195"/>
      <c r="T548" s="195"/>
      <c r="U548" s="1"/>
      <c r="W548" s="195"/>
      <c r="X548" s="195"/>
    </row>
    <row r="549" spans="17:24" x14ac:dyDescent="0.25">
      <c r="Q549" s="195"/>
      <c r="R549" s="195"/>
      <c r="S549" s="195"/>
      <c r="T549" s="195"/>
      <c r="U549" s="1"/>
      <c r="W549" s="195"/>
      <c r="X549" s="195"/>
    </row>
    <row r="550" spans="17:24" x14ac:dyDescent="0.25">
      <c r="Q550" s="195"/>
      <c r="R550" s="195"/>
      <c r="S550" s="195"/>
      <c r="T550" s="195"/>
      <c r="U550" s="1"/>
      <c r="W550" s="195"/>
      <c r="X550" s="195"/>
    </row>
    <row r="551" spans="17:24" x14ac:dyDescent="0.25">
      <c r="Q551" s="195"/>
      <c r="R551" s="195"/>
      <c r="S551" s="195"/>
      <c r="T551" s="195"/>
      <c r="U551" s="1"/>
      <c r="W551" s="195"/>
      <c r="X551" s="195"/>
    </row>
    <row r="552" spans="17:24" x14ac:dyDescent="0.25">
      <c r="Q552" s="195"/>
      <c r="R552" s="195"/>
      <c r="S552" s="195"/>
      <c r="T552" s="195"/>
      <c r="U552" s="1"/>
      <c r="W552" s="195"/>
      <c r="X552" s="195"/>
    </row>
    <row r="553" spans="17:24" x14ac:dyDescent="0.25">
      <c r="Q553" s="195"/>
      <c r="R553" s="195"/>
      <c r="S553" s="195"/>
      <c r="T553" s="195"/>
      <c r="U553" s="1"/>
      <c r="W553" s="195"/>
      <c r="X553" s="195"/>
    </row>
    <row r="554" spans="17:24" x14ac:dyDescent="0.25">
      <c r="Q554" s="195"/>
      <c r="R554" s="195"/>
      <c r="S554" s="195"/>
      <c r="T554" s="195"/>
      <c r="U554" s="1"/>
      <c r="W554" s="195"/>
      <c r="X554" s="195"/>
    </row>
    <row r="555" spans="17:24" x14ac:dyDescent="0.25">
      <c r="Q555" s="195"/>
      <c r="R555" s="195"/>
      <c r="S555" s="195"/>
      <c r="T555" s="195"/>
      <c r="U555" s="1"/>
      <c r="W555" s="195"/>
      <c r="X555" s="195"/>
    </row>
    <row r="556" spans="17:24" x14ac:dyDescent="0.25">
      <c r="Q556" s="195"/>
      <c r="R556" s="195"/>
      <c r="S556" s="195"/>
      <c r="T556" s="195"/>
      <c r="U556" s="1"/>
      <c r="W556" s="195"/>
      <c r="X556" s="195"/>
    </row>
    <row r="557" spans="17:24" x14ac:dyDescent="0.25">
      <c r="Q557" s="195"/>
      <c r="R557" s="195"/>
      <c r="S557" s="195"/>
      <c r="T557" s="195"/>
      <c r="U557" s="1"/>
      <c r="W557" s="195"/>
      <c r="X557" s="195"/>
    </row>
    <row r="558" spans="17:24" x14ac:dyDescent="0.25">
      <c r="Q558" s="195"/>
      <c r="R558" s="195"/>
      <c r="S558" s="195"/>
      <c r="T558" s="195"/>
      <c r="U558" s="1"/>
      <c r="W558" s="195"/>
      <c r="X558" s="195"/>
    </row>
    <row r="559" spans="17:24" x14ac:dyDescent="0.25">
      <c r="Q559" s="195"/>
      <c r="R559" s="195"/>
      <c r="S559" s="195"/>
      <c r="T559" s="195"/>
      <c r="U559" s="1"/>
      <c r="W559" s="195"/>
      <c r="X559" s="195"/>
    </row>
    <row r="560" spans="17:24" x14ac:dyDescent="0.25">
      <c r="Q560" s="195"/>
      <c r="R560" s="195"/>
      <c r="S560" s="195"/>
      <c r="T560" s="195"/>
      <c r="U560" s="1"/>
      <c r="W560" s="195"/>
      <c r="X560" s="195"/>
    </row>
    <row r="561" spans="17:24" x14ac:dyDescent="0.25">
      <c r="Q561" s="195"/>
      <c r="R561" s="195"/>
      <c r="S561" s="195"/>
      <c r="T561" s="195"/>
      <c r="U561" s="1"/>
      <c r="W561" s="195"/>
      <c r="X561" s="195"/>
    </row>
    <row r="562" spans="17:24" x14ac:dyDescent="0.25">
      <c r="Q562" s="195"/>
      <c r="R562" s="195"/>
      <c r="S562" s="195"/>
      <c r="T562" s="195"/>
      <c r="U562" s="1"/>
      <c r="W562" s="195"/>
      <c r="X562" s="195"/>
    </row>
    <row r="563" spans="17:24" x14ac:dyDescent="0.25">
      <c r="Q563" s="195"/>
      <c r="R563" s="195"/>
      <c r="S563" s="195"/>
      <c r="T563" s="195"/>
      <c r="U563" s="1"/>
      <c r="W563" s="195"/>
      <c r="X563" s="195"/>
    </row>
    <row r="564" spans="17:24" x14ac:dyDescent="0.25">
      <c r="Q564" s="195"/>
      <c r="R564" s="195"/>
      <c r="S564" s="195"/>
      <c r="T564" s="195"/>
      <c r="U564" s="1"/>
      <c r="W564" s="195"/>
      <c r="X564" s="195"/>
    </row>
    <row r="565" spans="17:24" x14ac:dyDescent="0.25">
      <c r="Q565" s="195"/>
      <c r="R565" s="195"/>
      <c r="S565" s="195"/>
      <c r="T565" s="195"/>
      <c r="U565" s="1"/>
      <c r="W565" s="195"/>
      <c r="X565" s="195"/>
    </row>
    <row r="566" spans="17:24" x14ac:dyDescent="0.25">
      <c r="Q566" s="195"/>
      <c r="R566" s="195"/>
      <c r="S566" s="195"/>
      <c r="T566" s="195"/>
      <c r="U566" s="1"/>
      <c r="W566" s="195"/>
      <c r="X566" s="195"/>
    </row>
    <row r="567" spans="17:24" x14ac:dyDescent="0.25">
      <c r="Q567" s="195"/>
      <c r="R567" s="195"/>
      <c r="S567" s="195"/>
      <c r="T567" s="195"/>
      <c r="U567" s="1"/>
      <c r="W567" s="195"/>
      <c r="X567" s="195"/>
    </row>
    <row r="568" spans="17:24" x14ac:dyDescent="0.25">
      <c r="Q568" s="195"/>
      <c r="R568" s="195"/>
      <c r="S568" s="195"/>
      <c r="T568" s="195"/>
      <c r="U568" s="1"/>
      <c r="W568" s="195"/>
      <c r="X568" s="195"/>
    </row>
    <row r="569" spans="17:24" x14ac:dyDescent="0.25">
      <c r="Q569" s="195"/>
      <c r="R569" s="195"/>
      <c r="S569" s="195"/>
      <c r="T569" s="195"/>
      <c r="U569" s="1"/>
      <c r="W569" s="195"/>
      <c r="X569" s="195"/>
    </row>
    <row r="570" spans="17:24" x14ac:dyDescent="0.25">
      <c r="Q570" s="195"/>
      <c r="R570" s="195"/>
      <c r="S570" s="195"/>
      <c r="T570" s="195"/>
      <c r="U570" s="1"/>
      <c r="W570" s="195"/>
      <c r="X570" s="195"/>
    </row>
    <row r="571" spans="17:24" x14ac:dyDescent="0.25">
      <c r="Q571" s="195"/>
      <c r="R571" s="195"/>
      <c r="S571" s="195"/>
      <c r="T571" s="195"/>
      <c r="U571" s="1"/>
      <c r="W571" s="195"/>
      <c r="X571" s="195"/>
    </row>
    <row r="572" spans="17:24" x14ac:dyDescent="0.25">
      <c r="Q572" s="195"/>
      <c r="R572" s="195"/>
      <c r="S572" s="195"/>
      <c r="T572" s="195"/>
      <c r="U572" s="1"/>
      <c r="W572" s="195"/>
      <c r="X572" s="195"/>
    </row>
    <row r="573" spans="17:24" x14ac:dyDescent="0.25">
      <c r="Q573" s="195"/>
      <c r="R573" s="195"/>
      <c r="S573" s="195"/>
      <c r="T573" s="195"/>
      <c r="U573" s="1"/>
      <c r="W573" s="195"/>
      <c r="X573" s="195"/>
    </row>
    <row r="574" spans="17:24" x14ac:dyDescent="0.25">
      <c r="Q574" s="195"/>
      <c r="R574" s="195"/>
      <c r="S574" s="195"/>
      <c r="T574" s="195"/>
      <c r="U574" s="1"/>
      <c r="W574" s="195"/>
      <c r="X574" s="195"/>
    </row>
    <row r="575" spans="17:24" x14ac:dyDescent="0.25">
      <c r="Q575" s="195"/>
      <c r="R575" s="195"/>
      <c r="S575" s="195"/>
      <c r="T575" s="195"/>
      <c r="U575" s="1"/>
      <c r="W575" s="195"/>
      <c r="X575" s="195"/>
    </row>
    <row r="576" spans="17:24" x14ac:dyDescent="0.25">
      <c r="Q576" s="195"/>
      <c r="R576" s="195"/>
      <c r="S576" s="195"/>
      <c r="T576" s="195"/>
      <c r="U576" s="1"/>
      <c r="W576" s="195"/>
      <c r="X576" s="195"/>
    </row>
    <row r="577" spans="17:24" x14ac:dyDescent="0.25">
      <c r="Q577" s="195"/>
      <c r="R577" s="195"/>
      <c r="S577" s="195"/>
      <c r="T577" s="195"/>
      <c r="U577" s="1"/>
      <c r="W577" s="195"/>
      <c r="X577" s="195"/>
    </row>
    <row r="578" spans="17:24" x14ac:dyDescent="0.25">
      <c r="Q578" s="195"/>
      <c r="R578" s="195"/>
      <c r="S578" s="195"/>
      <c r="T578" s="195"/>
      <c r="U578" s="1"/>
      <c r="W578" s="195"/>
      <c r="X578" s="195"/>
    </row>
    <row r="579" spans="17:24" x14ac:dyDescent="0.25">
      <c r="Q579" s="195"/>
      <c r="R579" s="195"/>
      <c r="S579" s="195"/>
      <c r="T579" s="195"/>
      <c r="U579" s="1"/>
      <c r="W579" s="195"/>
      <c r="X579" s="195"/>
    </row>
    <row r="580" spans="17:24" x14ac:dyDescent="0.25">
      <c r="Q580" s="195"/>
      <c r="R580" s="195"/>
      <c r="S580" s="195"/>
      <c r="T580" s="195"/>
      <c r="U580" s="1"/>
      <c r="W580" s="195"/>
      <c r="X580" s="195"/>
    </row>
    <row r="581" spans="17:24" x14ac:dyDescent="0.25">
      <c r="Q581" s="195"/>
      <c r="R581" s="195"/>
      <c r="S581" s="195"/>
      <c r="T581" s="195"/>
      <c r="U581" s="1"/>
      <c r="W581" s="195"/>
      <c r="X581" s="195"/>
    </row>
    <row r="582" spans="17:24" x14ac:dyDescent="0.25">
      <c r="Q582" s="195"/>
      <c r="R582" s="195"/>
      <c r="S582" s="195"/>
      <c r="T582" s="195"/>
      <c r="U582" s="1"/>
      <c r="W582" s="195"/>
      <c r="X582" s="195"/>
    </row>
    <row r="583" spans="17:24" x14ac:dyDescent="0.25">
      <c r="Q583" s="195"/>
      <c r="R583" s="195"/>
      <c r="S583" s="195"/>
      <c r="T583" s="195"/>
      <c r="U583" s="1"/>
      <c r="W583" s="195"/>
      <c r="X583" s="195"/>
    </row>
    <row r="584" spans="17:24" x14ac:dyDescent="0.25">
      <c r="Q584" s="195"/>
      <c r="R584" s="195"/>
      <c r="S584" s="195"/>
      <c r="T584" s="195"/>
      <c r="U584" s="1"/>
      <c r="W584" s="195"/>
      <c r="X584" s="195"/>
    </row>
    <row r="585" spans="17:24" x14ac:dyDescent="0.25">
      <c r="Q585" s="195"/>
      <c r="R585" s="195"/>
      <c r="S585" s="195"/>
      <c r="T585" s="195"/>
      <c r="U585" s="1"/>
      <c r="W585" s="195"/>
      <c r="X585" s="195"/>
    </row>
    <row r="586" spans="17:24" x14ac:dyDescent="0.25">
      <c r="Q586" s="195"/>
      <c r="R586" s="195"/>
      <c r="S586" s="195"/>
      <c r="T586" s="195"/>
      <c r="U586" s="1"/>
      <c r="W586" s="195"/>
      <c r="X586" s="195"/>
    </row>
    <row r="587" spans="17:24" x14ac:dyDescent="0.25">
      <c r="Q587" s="195"/>
      <c r="R587" s="195"/>
      <c r="S587" s="195"/>
      <c r="T587" s="195"/>
      <c r="U587" s="1"/>
      <c r="W587" s="195"/>
      <c r="X587" s="195"/>
    </row>
    <row r="588" spans="17:24" x14ac:dyDescent="0.25">
      <c r="Q588" s="195"/>
      <c r="R588" s="195"/>
      <c r="S588" s="195"/>
      <c r="T588" s="195"/>
      <c r="U588" s="1"/>
      <c r="W588" s="195"/>
      <c r="X588" s="195"/>
    </row>
    <row r="589" spans="17:24" x14ac:dyDescent="0.25">
      <c r="Q589" s="195"/>
      <c r="R589" s="195"/>
      <c r="S589" s="195"/>
      <c r="T589" s="195"/>
      <c r="U589" s="1"/>
      <c r="W589" s="195"/>
      <c r="X589" s="195"/>
    </row>
    <row r="590" spans="17:24" x14ac:dyDescent="0.25">
      <c r="Q590" s="195"/>
      <c r="R590" s="195"/>
      <c r="S590" s="195"/>
      <c r="T590" s="195"/>
      <c r="U590" s="1"/>
      <c r="W590" s="195"/>
      <c r="X590" s="195"/>
    </row>
    <row r="591" spans="17:24" x14ac:dyDescent="0.25">
      <c r="Q591" s="195"/>
      <c r="R591" s="195"/>
      <c r="S591" s="195"/>
      <c r="T591" s="195"/>
      <c r="U591" s="1"/>
      <c r="W591" s="195"/>
      <c r="X591" s="195"/>
    </row>
    <row r="592" spans="17:24" x14ac:dyDescent="0.25">
      <c r="Q592" s="195"/>
      <c r="R592" s="195"/>
      <c r="S592" s="195"/>
      <c r="T592" s="195"/>
      <c r="U592" s="1"/>
      <c r="W592" s="195"/>
      <c r="X592" s="195"/>
    </row>
    <row r="593" spans="17:24" x14ac:dyDescent="0.25">
      <c r="Q593" s="195"/>
      <c r="R593" s="195"/>
      <c r="S593" s="195"/>
      <c r="T593" s="195"/>
      <c r="U593" s="1"/>
      <c r="W593" s="195"/>
      <c r="X593" s="195"/>
    </row>
    <row r="594" spans="17:24" x14ac:dyDescent="0.25">
      <c r="Q594" s="195"/>
      <c r="R594" s="195"/>
      <c r="S594" s="195"/>
      <c r="T594" s="195"/>
      <c r="U594" s="1"/>
      <c r="W594" s="195"/>
      <c r="X594" s="195"/>
    </row>
    <row r="595" spans="17:24" x14ac:dyDescent="0.25">
      <c r="Q595" s="195"/>
      <c r="R595" s="195"/>
      <c r="S595" s="195"/>
      <c r="T595" s="195"/>
      <c r="U595" s="1"/>
      <c r="W595" s="195"/>
      <c r="X595" s="195"/>
    </row>
    <row r="596" spans="17:24" x14ac:dyDescent="0.25">
      <c r="Q596" s="195"/>
      <c r="R596" s="195"/>
      <c r="S596" s="195"/>
      <c r="T596" s="195"/>
      <c r="U596" s="1"/>
      <c r="W596" s="195"/>
      <c r="X596" s="195"/>
    </row>
    <row r="597" spans="17:24" x14ac:dyDescent="0.25">
      <c r="Q597" s="195"/>
      <c r="R597" s="195"/>
      <c r="S597" s="195"/>
      <c r="T597" s="195"/>
      <c r="U597" s="1"/>
      <c r="W597" s="195"/>
      <c r="X597" s="195"/>
    </row>
    <row r="598" spans="17:24" x14ac:dyDescent="0.25">
      <c r="Q598" s="195"/>
      <c r="R598" s="195"/>
      <c r="S598" s="195"/>
      <c r="T598" s="195"/>
      <c r="U598" s="1"/>
      <c r="W598" s="195"/>
      <c r="X598" s="195"/>
    </row>
    <row r="599" spans="17:24" x14ac:dyDescent="0.25">
      <c r="Q599" s="195"/>
      <c r="R599" s="195"/>
      <c r="S599" s="195"/>
      <c r="T599" s="195"/>
      <c r="U599" s="1"/>
      <c r="W599" s="195"/>
      <c r="X599" s="195"/>
    </row>
    <row r="600" spans="17:24" x14ac:dyDescent="0.25">
      <c r="Q600" s="195"/>
      <c r="R600" s="195"/>
      <c r="S600" s="195"/>
      <c r="T600" s="195"/>
      <c r="U600" s="1"/>
      <c r="W600" s="195"/>
      <c r="X600" s="195"/>
    </row>
    <row r="601" spans="17:24" x14ac:dyDescent="0.25">
      <c r="Q601" s="195"/>
      <c r="R601" s="195"/>
      <c r="S601" s="195"/>
      <c r="T601" s="195"/>
      <c r="U601" s="1"/>
      <c r="W601" s="195"/>
      <c r="X601" s="195"/>
    </row>
    <row r="602" spans="17:24" x14ac:dyDescent="0.25">
      <c r="Q602" s="195"/>
      <c r="R602" s="195"/>
      <c r="S602" s="195"/>
      <c r="T602" s="195"/>
      <c r="U602" s="1"/>
      <c r="W602" s="195"/>
      <c r="X602" s="195"/>
    </row>
    <row r="603" spans="17:24" x14ac:dyDescent="0.25">
      <c r="Q603" s="195"/>
      <c r="R603" s="195"/>
      <c r="S603" s="195"/>
      <c r="T603" s="195"/>
      <c r="U603" s="1"/>
      <c r="W603" s="195"/>
      <c r="X603" s="195"/>
    </row>
    <row r="604" spans="17:24" x14ac:dyDescent="0.25">
      <c r="Q604" s="195"/>
      <c r="R604" s="195"/>
      <c r="S604" s="195"/>
      <c r="T604" s="195"/>
      <c r="U604" s="1"/>
      <c r="W604" s="195"/>
      <c r="X604" s="195"/>
    </row>
    <row r="605" spans="17:24" x14ac:dyDescent="0.25">
      <c r="Q605" s="195"/>
      <c r="R605" s="195"/>
      <c r="S605" s="195"/>
      <c r="T605" s="195"/>
      <c r="U605" s="1"/>
      <c r="W605" s="195"/>
      <c r="X605" s="195"/>
    </row>
    <row r="606" spans="17:24" x14ac:dyDescent="0.25">
      <c r="Q606" s="195"/>
      <c r="R606" s="195"/>
      <c r="S606" s="195"/>
      <c r="T606" s="195"/>
      <c r="U606" s="1"/>
      <c r="W606" s="195"/>
      <c r="X606" s="195"/>
    </row>
    <row r="607" spans="17:24" x14ac:dyDescent="0.25">
      <c r="Q607" s="195"/>
      <c r="R607" s="195"/>
      <c r="S607" s="195"/>
      <c r="T607" s="195"/>
      <c r="U607" s="1"/>
      <c r="W607" s="195"/>
      <c r="X607" s="195"/>
    </row>
    <row r="608" spans="17:24" x14ac:dyDescent="0.25">
      <c r="Q608" s="195"/>
      <c r="R608" s="195"/>
      <c r="S608" s="195"/>
      <c r="T608" s="195"/>
      <c r="U608" s="1"/>
      <c r="W608" s="195"/>
      <c r="X608" s="195"/>
    </row>
    <row r="609" spans="17:24" x14ac:dyDescent="0.25">
      <c r="Q609" s="195"/>
      <c r="R609" s="195"/>
      <c r="S609" s="195"/>
      <c r="T609" s="195"/>
      <c r="U609" s="1"/>
      <c r="W609" s="195"/>
      <c r="X609" s="195"/>
    </row>
    <row r="610" spans="17:24" x14ac:dyDescent="0.25">
      <c r="Q610" s="195"/>
      <c r="R610" s="195"/>
      <c r="S610" s="195"/>
      <c r="T610" s="195"/>
      <c r="U610" s="1"/>
      <c r="W610" s="195"/>
      <c r="X610" s="195"/>
    </row>
    <row r="611" spans="17:24" x14ac:dyDescent="0.25">
      <c r="Q611" s="195"/>
      <c r="R611" s="195"/>
      <c r="S611" s="195"/>
      <c r="T611" s="195"/>
      <c r="U611" s="1"/>
      <c r="W611" s="195"/>
      <c r="X611" s="195"/>
    </row>
    <row r="612" spans="17:24" x14ac:dyDescent="0.25">
      <c r="Q612" s="195"/>
      <c r="R612" s="195"/>
      <c r="S612" s="195"/>
      <c r="T612" s="195"/>
      <c r="U612" s="1"/>
      <c r="W612" s="195"/>
      <c r="X612" s="195"/>
    </row>
    <row r="613" spans="17:24" x14ac:dyDescent="0.25">
      <c r="Q613" s="195"/>
      <c r="R613" s="195"/>
      <c r="S613" s="195"/>
      <c r="T613" s="195"/>
      <c r="U613" s="1"/>
      <c r="W613" s="195"/>
      <c r="X613" s="195"/>
    </row>
    <row r="614" spans="17:24" x14ac:dyDescent="0.25">
      <c r="Q614" s="195"/>
      <c r="R614" s="195"/>
      <c r="S614" s="195"/>
      <c r="T614" s="195"/>
      <c r="U614" s="1"/>
      <c r="W614" s="195"/>
      <c r="X614" s="195"/>
    </row>
    <row r="615" spans="17:24" x14ac:dyDescent="0.25">
      <c r="Q615" s="195"/>
      <c r="R615" s="195"/>
      <c r="S615" s="195"/>
      <c r="T615" s="195"/>
      <c r="U615" s="1"/>
      <c r="W615" s="195"/>
      <c r="X615" s="195"/>
    </row>
    <row r="616" spans="17:24" x14ac:dyDescent="0.25">
      <c r="Q616" s="195"/>
      <c r="R616" s="195"/>
      <c r="S616" s="195"/>
      <c r="T616" s="195"/>
      <c r="U616" s="1"/>
      <c r="W616" s="195"/>
      <c r="X616" s="195"/>
    </row>
    <row r="617" spans="17:24" x14ac:dyDescent="0.25">
      <c r="Q617" s="195"/>
      <c r="R617" s="195"/>
      <c r="S617" s="195"/>
      <c r="T617" s="195"/>
      <c r="U617" s="1"/>
      <c r="W617" s="195"/>
      <c r="X617" s="195"/>
    </row>
    <row r="618" spans="17:24" x14ac:dyDescent="0.25">
      <c r="Q618" s="195"/>
      <c r="R618" s="195"/>
      <c r="S618" s="195"/>
      <c r="T618" s="195"/>
      <c r="U618" s="1"/>
      <c r="W618" s="195"/>
      <c r="X618" s="195"/>
    </row>
    <row r="619" spans="17:24" x14ac:dyDescent="0.25">
      <c r="Q619" s="195"/>
      <c r="R619" s="195"/>
      <c r="S619" s="195"/>
      <c r="T619" s="195"/>
      <c r="U619" s="1"/>
      <c r="W619" s="195"/>
      <c r="X619" s="195"/>
    </row>
    <row r="620" spans="17:24" x14ac:dyDescent="0.25">
      <c r="Q620" s="195"/>
      <c r="R620" s="195"/>
      <c r="S620" s="195"/>
      <c r="T620" s="195"/>
      <c r="U620" s="1"/>
      <c r="W620" s="195"/>
      <c r="X620" s="195"/>
    </row>
    <row r="621" spans="17:24" x14ac:dyDescent="0.25">
      <c r="Q621" s="195"/>
      <c r="R621" s="195"/>
      <c r="S621" s="195"/>
      <c r="T621" s="195"/>
      <c r="U621" s="1"/>
      <c r="W621" s="195"/>
      <c r="X621" s="195"/>
    </row>
    <row r="622" spans="17:24" x14ac:dyDescent="0.25">
      <c r="Q622" s="195"/>
      <c r="R622" s="195"/>
      <c r="S622" s="195"/>
      <c r="T622" s="195"/>
      <c r="U622" s="1"/>
      <c r="W622" s="195"/>
      <c r="X622" s="195"/>
    </row>
    <row r="623" spans="17:24" x14ac:dyDescent="0.25">
      <c r="Q623" s="195"/>
      <c r="R623" s="195"/>
      <c r="S623" s="195"/>
      <c r="T623" s="195"/>
      <c r="U623" s="1"/>
      <c r="W623" s="195"/>
      <c r="X623" s="195"/>
    </row>
    <row r="624" spans="17:24" x14ac:dyDescent="0.25">
      <c r="Q624" s="195"/>
      <c r="R624" s="195"/>
      <c r="S624" s="195"/>
      <c r="T624" s="195"/>
      <c r="U624" s="1"/>
      <c r="W624" s="195"/>
      <c r="X624" s="195"/>
    </row>
    <row r="625" spans="17:24" x14ac:dyDescent="0.25">
      <c r="Q625" s="195"/>
      <c r="R625" s="195"/>
      <c r="S625" s="195"/>
      <c r="T625" s="195"/>
      <c r="U625" s="1"/>
      <c r="W625" s="195"/>
      <c r="X625" s="195"/>
    </row>
    <row r="626" spans="17:24" x14ac:dyDescent="0.25">
      <c r="Q626" s="195"/>
      <c r="R626" s="195"/>
      <c r="S626" s="195"/>
      <c r="T626" s="195"/>
      <c r="U626" s="1"/>
      <c r="W626" s="195"/>
      <c r="X626" s="195"/>
    </row>
    <row r="627" spans="17:24" x14ac:dyDescent="0.25">
      <c r="Q627" s="195"/>
      <c r="R627" s="195"/>
      <c r="S627" s="195"/>
      <c r="T627" s="195"/>
      <c r="U627" s="1"/>
      <c r="W627" s="195"/>
      <c r="X627" s="195"/>
    </row>
    <row r="628" spans="17:24" x14ac:dyDescent="0.25">
      <c r="Q628" s="195"/>
      <c r="R628" s="195"/>
      <c r="S628" s="195"/>
      <c r="T628" s="195"/>
      <c r="U628" s="1"/>
      <c r="W628" s="195"/>
      <c r="X628" s="195"/>
    </row>
    <row r="629" spans="17:24" x14ac:dyDescent="0.25">
      <c r="Q629" s="195"/>
      <c r="R629" s="195"/>
      <c r="S629" s="195"/>
      <c r="T629" s="195"/>
      <c r="U629" s="1"/>
      <c r="W629" s="195"/>
      <c r="X629" s="195"/>
    </row>
    <row r="630" spans="17:24" x14ac:dyDescent="0.25">
      <c r="Q630" s="195"/>
      <c r="R630" s="195"/>
      <c r="S630" s="195"/>
      <c r="T630" s="195"/>
      <c r="U630" s="1"/>
      <c r="W630" s="195"/>
      <c r="X630" s="195"/>
    </row>
    <row r="631" spans="17:24" x14ac:dyDescent="0.25">
      <c r="Q631" s="195"/>
      <c r="R631" s="195"/>
      <c r="S631" s="195"/>
      <c r="T631" s="195"/>
      <c r="U631" s="1"/>
      <c r="W631" s="195"/>
      <c r="X631" s="195"/>
    </row>
    <row r="632" spans="17:24" x14ac:dyDescent="0.25">
      <c r="Q632" s="195"/>
      <c r="R632" s="195"/>
      <c r="S632" s="195"/>
      <c r="T632" s="195"/>
      <c r="U632" s="1"/>
      <c r="W632" s="195"/>
      <c r="X632" s="195"/>
    </row>
    <row r="633" spans="17:24" x14ac:dyDescent="0.25">
      <c r="Q633" s="195"/>
      <c r="R633" s="195"/>
      <c r="S633" s="195"/>
      <c r="T633" s="195"/>
      <c r="U633" s="1"/>
      <c r="W633" s="195"/>
      <c r="X633" s="195"/>
    </row>
    <row r="634" spans="17:24" x14ac:dyDescent="0.25">
      <c r="Q634" s="195"/>
      <c r="R634" s="195"/>
      <c r="S634" s="195"/>
      <c r="T634" s="195"/>
      <c r="U634" s="1"/>
      <c r="W634" s="195"/>
      <c r="X634" s="195"/>
    </row>
    <row r="635" spans="17:24" x14ac:dyDescent="0.25">
      <c r="Q635" s="195"/>
      <c r="R635" s="195"/>
      <c r="S635" s="195"/>
      <c r="T635" s="195"/>
      <c r="U635" s="1"/>
      <c r="W635" s="195"/>
      <c r="X635" s="195"/>
    </row>
    <row r="636" spans="17:24" x14ac:dyDescent="0.25">
      <c r="Q636" s="195"/>
      <c r="R636" s="195"/>
      <c r="S636" s="195"/>
      <c r="T636" s="195"/>
      <c r="U636" s="1"/>
      <c r="W636" s="195"/>
      <c r="X636" s="195"/>
    </row>
    <row r="637" spans="17:24" x14ac:dyDescent="0.25">
      <c r="Q637" s="195"/>
      <c r="R637" s="195"/>
      <c r="S637" s="195"/>
      <c r="T637" s="195"/>
      <c r="U637" s="1"/>
      <c r="W637" s="195"/>
      <c r="X637" s="195"/>
    </row>
    <row r="638" spans="17:24" x14ac:dyDescent="0.25">
      <c r="Q638" s="195"/>
      <c r="R638" s="195"/>
      <c r="S638" s="195"/>
      <c r="T638" s="195"/>
      <c r="U638" s="1"/>
      <c r="W638" s="195"/>
      <c r="X638" s="195"/>
    </row>
    <row r="639" spans="17:24" x14ac:dyDescent="0.25">
      <c r="Q639" s="195"/>
      <c r="R639" s="195"/>
      <c r="S639" s="195"/>
      <c r="T639" s="195"/>
      <c r="U639" s="1"/>
      <c r="W639" s="195"/>
      <c r="X639" s="195"/>
    </row>
    <row r="640" spans="17:24" x14ac:dyDescent="0.25">
      <c r="Q640" s="195"/>
      <c r="R640" s="195"/>
      <c r="S640" s="195"/>
      <c r="T640" s="195"/>
      <c r="U640" s="1"/>
      <c r="W640" s="195"/>
      <c r="X640" s="195"/>
    </row>
    <row r="641" spans="17:24" x14ac:dyDescent="0.25">
      <c r="Q641" s="195"/>
      <c r="R641" s="195"/>
      <c r="S641" s="195"/>
      <c r="T641" s="195"/>
      <c r="U641" s="1"/>
      <c r="W641" s="195"/>
      <c r="X641" s="195"/>
    </row>
    <row r="642" spans="17:24" x14ac:dyDescent="0.25">
      <c r="Q642" s="195"/>
      <c r="R642" s="195"/>
      <c r="S642" s="195"/>
      <c r="T642" s="195"/>
      <c r="U642" s="1"/>
      <c r="W642" s="195"/>
      <c r="X642" s="195"/>
    </row>
    <row r="643" spans="17:24" x14ac:dyDescent="0.25">
      <c r="Q643" s="195"/>
      <c r="R643" s="195"/>
      <c r="S643" s="195"/>
      <c r="T643" s="195"/>
      <c r="U643" s="1"/>
      <c r="W643" s="195"/>
      <c r="X643" s="195"/>
    </row>
    <row r="644" spans="17:24" x14ac:dyDescent="0.25">
      <c r="Q644" s="195"/>
      <c r="R644" s="195"/>
      <c r="S644" s="195"/>
      <c r="T644" s="195"/>
      <c r="U644" s="1"/>
      <c r="W644" s="195"/>
      <c r="X644" s="195"/>
    </row>
    <row r="645" spans="17:24" x14ac:dyDescent="0.25">
      <c r="Q645" s="195"/>
      <c r="R645" s="195"/>
      <c r="S645" s="195"/>
      <c r="T645" s="195"/>
      <c r="U645" s="1"/>
      <c r="W645" s="195"/>
      <c r="X645" s="195"/>
    </row>
    <row r="646" spans="17:24" x14ac:dyDescent="0.25">
      <c r="Q646" s="195"/>
      <c r="R646" s="195"/>
      <c r="S646" s="195"/>
      <c r="T646" s="195"/>
      <c r="U646" s="1"/>
      <c r="W646" s="195"/>
      <c r="X646" s="195"/>
    </row>
    <row r="647" spans="17:24" x14ac:dyDescent="0.25">
      <c r="Q647" s="195"/>
      <c r="R647" s="195"/>
      <c r="S647" s="195"/>
      <c r="T647" s="195"/>
      <c r="U647" s="1"/>
      <c r="W647" s="195"/>
      <c r="X647" s="195"/>
    </row>
    <row r="648" spans="17:24" x14ac:dyDescent="0.25">
      <c r="Q648" s="195"/>
      <c r="R648" s="195"/>
      <c r="S648" s="195"/>
      <c r="T648" s="195"/>
      <c r="U648" s="1"/>
      <c r="W648" s="195"/>
      <c r="X648" s="195"/>
    </row>
    <row r="649" spans="17:24" x14ac:dyDescent="0.25">
      <c r="Q649" s="195"/>
      <c r="R649" s="195"/>
      <c r="S649" s="195"/>
      <c r="T649" s="195"/>
      <c r="U649" s="1"/>
      <c r="W649" s="195"/>
      <c r="X649" s="195"/>
    </row>
    <row r="650" spans="17:24" x14ac:dyDescent="0.25">
      <c r="Q650" s="195"/>
      <c r="R650" s="195"/>
      <c r="S650" s="195"/>
      <c r="T650" s="195"/>
      <c r="U650" s="1"/>
      <c r="W650" s="195"/>
      <c r="X650" s="195"/>
    </row>
    <row r="651" spans="17:24" x14ac:dyDescent="0.25">
      <c r="Q651" s="195"/>
      <c r="R651" s="195"/>
      <c r="S651" s="195"/>
      <c r="T651" s="195"/>
      <c r="U651" s="1"/>
      <c r="W651" s="195"/>
      <c r="X651" s="195"/>
    </row>
    <row r="652" spans="17:24" x14ac:dyDescent="0.25">
      <c r="Q652" s="195"/>
      <c r="R652" s="195"/>
      <c r="S652" s="195"/>
      <c r="T652" s="195"/>
      <c r="U652" s="1"/>
      <c r="W652" s="195"/>
      <c r="X652" s="195"/>
    </row>
    <row r="653" spans="17:24" x14ac:dyDescent="0.25">
      <c r="Q653" s="195"/>
      <c r="R653" s="195"/>
      <c r="S653" s="195"/>
      <c r="T653" s="195"/>
      <c r="U653" s="1"/>
      <c r="W653" s="195"/>
      <c r="X653" s="195"/>
    </row>
    <row r="654" spans="17:24" x14ac:dyDescent="0.25">
      <c r="Q654" s="195"/>
      <c r="R654" s="195"/>
      <c r="S654" s="195"/>
      <c r="T654" s="195"/>
      <c r="U654" s="1"/>
      <c r="W654" s="195"/>
      <c r="X654" s="195"/>
    </row>
    <row r="655" spans="17:24" x14ac:dyDescent="0.25">
      <c r="Q655" s="195"/>
      <c r="R655" s="195"/>
      <c r="S655" s="195"/>
      <c r="T655" s="195"/>
      <c r="U655" s="1"/>
      <c r="W655" s="195"/>
      <c r="X655" s="195"/>
    </row>
    <row r="656" spans="17:24" x14ac:dyDescent="0.25">
      <c r="Q656" s="195"/>
      <c r="R656" s="195"/>
      <c r="S656" s="195"/>
      <c r="T656" s="195"/>
      <c r="U656" s="1"/>
      <c r="W656" s="195"/>
      <c r="X656" s="195"/>
    </row>
    <row r="657" spans="17:24" x14ac:dyDescent="0.25">
      <c r="Q657" s="195"/>
      <c r="R657" s="195"/>
      <c r="S657" s="195"/>
      <c r="T657" s="195"/>
      <c r="U657" s="1"/>
      <c r="W657" s="195"/>
      <c r="X657" s="195"/>
    </row>
    <row r="658" spans="17:24" x14ac:dyDescent="0.25">
      <c r="Q658" s="195"/>
      <c r="R658" s="195"/>
      <c r="S658" s="195"/>
      <c r="T658" s="195"/>
      <c r="U658" s="1"/>
      <c r="W658" s="195"/>
      <c r="X658" s="195"/>
    </row>
    <row r="659" spans="17:24" x14ac:dyDescent="0.25">
      <c r="Q659" s="195"/>
      <c r="R659" s="195"/>
      <c r="S659" s="195"/>
      <c r="T659" s="195"/>
      <c r="U659" s="1"/>
      <c r="W659" s="195"/>
      <c r="X659" s="195"/>
    </row>
    <row r="660" spans="17:24" x14ac:dyDescent="0.25">
      <c r="Q660" s="195"/>
      <c r="R660" s="195"/>
      <c r="S660" s="195"/>
      <c r="T660" s="195"/>
      <c r="U660" s="1"/>
      <c r="W660" s="195"/>
      <c r="X660" s="195"/>
    </row>
    <row r="661" spans="17:24" x14ac:dyDescent="0.25">
      <c r="Q661" s="195"/>
      <c r="R661" s="195"/>
      <c r="S661" s="195"/>
      <c r="T661" s="195"/>
      <c r="U661" s="1"/>
      <c r="W661" s="195"/>
      <c r="X661" s="195"/>
    </row>
    <row r="662" spans="17:24" x14ac:dyDescent="0.25">
      <c r="Q662" s="195"/>
      <c r="R662" s="195"/>
      <c r="S662" s="195"/>
      <c r="T662" s="195"/>
      <c r="U662" s="1"/>
      <c r="W662" s="195"/>
      <c r="X662" s="195"/>
    </row>
    <row r="663" spans="17:24" x14ac:dyDescent="0.25">
      <c r="Q663" s="195"/>
      <c r="R663" s="195"/>
      <c r="S663" s="195"/>
      <c r="T663" s="195"/>
      <c r="U663" s="1"/>
      <c r="W663" s="195"/>
      <c r="X663" s="195"/>
    </row>
    <row r="664" spans="17:24" x14ac:dyDescent="0.25">
      <c r="Q664" s="195"/>
      <c r="R664" s="195"/>
      <c r="S664" s="195"/>
      <c r="T664" s="195"/>
      <c r="U664" s="1"/>
      <c r="W664" s="195"/>
      <c r="X664" s="195"/>
    </row>
    <row r="665" spans="17:24" x14ac:dyDescent="0.25">
      <c r="Q665" s="195"/>
      <c r="R665" s="195"/>
      <c r="S665" s="195"/>
      <c r="T665" s="195"/>
      <c r="U665" s="1"/>
      <c r="W665" s="195"/>
      <c r="X665" s="195"/>
    </row>
    <row r="666" spans="17:24" x14ac:dyDescent="0.25">
      <c r="Q666" s="195"/>
      <c r="R666" s="195"/>
      <c r="S666" s="195"/>
      <c r="T666" s="195"/>
      <c r="U666" s="1"/>
      <c r="W666" s="195"/>
      <c r="X666" s="195"/>
    </row>
    <row r="667" spans="17:24" x14ac:dyDescent="0.25">
      <c r="Q667" s="195"/>
      <c r="R667" s="195"/>
      <c r="S667" s="195"/>
      <c r="T667" s="195"/>
      <c r="U667" s="1"/>
      <c r="W667" s="195"/>
      <c r="X667" s="195"/>
    </row>
    <row r="668" spans="17:24" x14ac:dyDescent="0.25">
      <c r="Q668" s="195"/>
      <c r="R668" s="195"/>
      <c r="S668" s="195"/>
      <c r="T668" s="195"/>
      <c r="U668" s="1"/>
      <c r="W668" s="195"/>
      <c r="X668" s="195"/>
    </row>
    <row r="669" spans="17:24" x14ac:dyDescent="0.25">
      <c r="Q669" s="195"/>
      <c r="R669" s="195"/>
      <c r="S669" s="195"/>
      <c r="T669" s="195"/>
      <c r="U669" s="1"/>
      <c r="W669" s="195"/>
      <c r="X669" s="195"/>
    </row>
    <row r="670" spans="17:24" x14ac:dyDescent="0.25">
      <c r="Q670" s="195"/>
      <c r="R670" s="195"/>
      <c r="S670" s="195"/>
      <c r="T670" s="195"/>
      <c r="U670" s="1"/>
      <c r="W670" s="195"/>
      <c r="X670" s="195"/>
    </row>
    <row r="671" spans="17:24" x14ac:dyDescent="0.25">
      <c r="Q671" s="195"/>
      <c r="R671" s="195"/>
      <c r="S671" s="195"/>
      <c r="T671" s="195"/>
      <c r="U671" s="1"/>
      <c r="W671" s="195"/>
      <c r="X671" s="195"/>
    </row>
    <row r="672" spans="17:24" x14ac:dyDescent="0.25">
      <c r="Q672" s="195"/>
      <c r="R672" s="195"/>
      <c r="S672" s="195"/>
      <c r="T672" s="195"/>
      <c r="U672" s="1"/>
      <c r="W672" s="195"/>
      <c r="X672" s="195"/>
    </row>
    <row r="673" spans="17:24" x14ac:dyDescent="0.25">
      <c r="Q673" s="195"/>
      <c r="R673" s="195"/>
      <c r="S673" s="195"/>
      <c r="T673" s="195"/>
      <c r="U673" s="1"/>
      <c r="W673" s="195"/>
      <c r="X673" s="195"/>
    </row>
    <row r="674" spans="17:24" x14ac:dyDescent="0.25">
      <c r="Q674" s="195"/>
      <c r="R674" s="195"/>
      <c r="S674" s="195"/>
      <c r="T674" s="195"/>
      <c r="U674" s="1"/>
      <c r="W674" s="195"/>
      <c r="X674" s="195"/>
    </row>
    <row r="675" spans="17:24" x14ac:dyDescent="0.25">
      <c r="Q675" s="195"/>
      <c r="R675" s="195"/>
      <c r="S675" s="195"/>
      <c r="T675" s="195"/>
      <c r="U675" s="1"/>
      <c r="W675" s="195"/>
      <c r="X675" s="195"/>
    </row>
    <row r="676" spans="17:24" x14ac:dyDescent="0.25">
      <c r="Q676" s="195"/>
      <c r="R676" s="195"/>
      <c r="S676" s="195"/>
      <c r="T676" s="195"/>
      <c r="U676" s="1"/>
      <c r="W676" s="195"/>
      <c r="X676" s="195"/>
    </row>
    <row r="677" spans="17:24" x14ac:dyDescent="0.25">
      <c r="Q677" s="195"/>
      <c r="R677" s="195"/>
      <c r="S677" s="195"/>
      <c r="T677" s="195"/>
      <c r="U677" s="1"/>
      <c r="W677" s="195"/>
      <c r="X677" s="195"/>
    </row>
    <row r="678" spans="17:24" x14ac:dyDescent="0.25">
      <c r="Q678" s="195"/>
      <c r="R678" s="195"/>
      <c r="S678" s="195"/>
      <c r="T678" s="195"/>
      <c r="U678" s="1"/>
      <c r="W678" s="195"/>
      <c r="X678" s="195"/>
    </row>
    <row r="679" spans="17:24" x14ac:dyDescent="0.25">
      <c r="Q679" s="195"/>
      <c r="R679" s="195"/>
      <c r="S679" s="195"/>
      <c r="T679" s="195"/>
      <c r="U679" s="1"/>
      <c r="W679" s="195"/>
      <c r="X679" s="195"/>
    </row>
    <row r="680" spans="17:24" x14ac:dyDescent="0.25">
      <c r="Q680" s="195"/>
      <c r="R680" s="195"/>
      <c r="S680" s="195"/>
      <c r="T680" s="195"/>
      <c r="U680" s="1"/>
      <c r="W680" s="195"/>
      <c r="X680" s="195"/>
    </row>
    <row r="681" spans="17:24" x14ac:dyDescent="0.25">
      <c r="Q681" s="195"/>
      <c r="R681" s="195"/>
      <c r="S681" s="195"/>
      <c r="T681" s="195"/>
      <c r="U681" s="1"/>
      <c r="W681" s="195"/>
      <c r="X681" s="195"/>
    </row>
    <row r="682" spans="17:24" x14ac:dyDescent="0.25">
      <c r="Q682" s="195"/>
      <c r="R682" s="195"/>
      <c r="S682" s="195"/>
      <c r="T682" s="195"/>
      <c r="U682" s="1"/>
      <c r="W682" s="195"/>
      <c r="X682" s="195"/>
    </row>
    <row r="683" spans="17:24" x14ac:dyDescent="0.25">
      <c r="Q683" s="195"/>
      <c r="R683" s="195"/>
      <c r="S683" s="195"/>
      <c r="T683" s="195"/>
      <c r="U683" s="1"/>
      <c r="W683" s="195"/>
      <c r="X683" s="195"/>
    </row>
    <row r="684" spans="17:24" x14ac:dyDescent="0.25">
      <c r="Q684" s="195"/>
      <c r="R684" s="195"/>
      <c r="S684" s="195"/>
      <c r="T684" s="195"/>
      <c r="U684" s="1"/>
      <c r="W684" s="195"/>
      <c r="X684" s="195"/>
    </row>
    <row r="685" spans="17:24" x14ac:dyDescent="0.25">
      <c r="Q685" s="195"/>
      <c r="R685" s="195"/>
      <c r="S685" s="195"/>
      <c r="T685" s="195"/>
      <c r="U685" s="1"/>
      <c r="W685" s="195"/>
      <c r="X685" s="195"/>
    </row>
    <row r="686" spans="17:24" x14ac:dyDescent="0.25">
      <c r="Q686" s="195"/>
      <c r="R686" s="195"/>
      <c r="S686" s="195"/>
      <c r="T686" s="195"/>
      <c r="U686" s="1"/>
      <c r="W686" s="195"/>
      <c r="X686" s="195"/>
    </row>
    <row r="687" spans="17:24" x14ac:dyDescent="0.25">
      <c r="Q687" s="195"/>
      <c r="R687" s="195"/>
      <c r="S687" s="195"/>
      <c r="T687" s="195"/>
      <c r="U687" s="1"/>
      <c r="W687" s="195"/>
      <c r="X687" s="195"/>
    </row>
    <row r="688" spans="17:24" x14ac:dyDescent="0.25">
      <c r="Q688" s="195"/>
      <c r="R688" s="195"/>
      <c r="S688" s="195"/>
      <c r="T688" s="195"/>
      <c r="U688" s="1"/>
      <c r="W688" s="195"/>
      <c r="X688" s="195"/>
    </row>
    <row r="689" spans="17:24" x14ac:dyDescent="0.25">
      <c r="Q689" s="195"/>
      <c r="R689" s="195"/>
      <c r="S689" s="195"/>
      <c r="T689" s="195"/>
      <c r="U689" s="1"/>
      <c r="W689" s="195"/>
      <c r="X689" s="195"/>
    </row>
    <row r="690" spans="17:24" x14ac:dyDescent="0.25">
      <c r="Q690" s="195"/>
      <c r="R690" s="195"/>
      <c r="S690" s="195"/>
      <c r="T690" s="195"/>
      <c r="U690" s="1"/>
      <c r="W690" s="195"/>
      <c r="X690" s="195"/>
    </row>
    <row r="691" spans="17:24" x14ac:dyDescent="0.25">
      <c r="Q691" s="195"/>
      <c r="R691" s="195"/>
      <c r="S691" s="195"/>
      <c r="T691" s="195"/>
      <c r="U691" s="1"/>
      <c r="W691" s="195"/>
      <c r="X691" s="195"/>
    </row>
    <row r="692" spans="17:24" x14ac:dyDescent="0.25">
      <c r="Q692" s="195"/>
      <c r="R692" s="195"/>
      <c r="S692" s="195"/>
      <c r="T692" s="195"/>
      <c r="U692" s="1"/>
      <c r="W692" s="195"/>
      <c r="X692" s="195"/>
    </row>
    <row r="693" spans="17:24" x14ac:dyDescent="0.25">
      <c r="Q693" s="195"/>
      <c r="R693" s="195"/>
      <c r="S693" s="195"/>
      <c r="T693" s="195"/>
      <c r="U693" s="1"/>
      <c r="W693" s="195"/>
      <c r="X693" s="195"/>
    </row>
    <row r="694" spans="17:24" x14ac:dyDescent="0.25">
      <c r="Q694" s="195"/>
      <c r="R694" s="195"/>
      <c r="S694" s="195"/>
      <c r="T694" s="195"/>
      <c r="U694" s="1"/>
      <c r="W694" s="195"/>
      <c r="X694" s="195"/>
    </row>
    <row r="695" spans="17:24" x14ac:dyDescent="0.25">
      <c r="Q695" s="195"/>
      <c r="R695" s="195"/>
      <c r="S695" s="195"/>
      <c r="T695" s="195"/>
      <c r="U695" s="1"/>
      <c r="W695" s="195"/>
      <c r="X695" s="195"/>
    </row>
    <row r="696" spans="17:24" x14ac:dyDescent="0.25">
      <c r="Q696" s="195"/>
      <c r="R696" s="195"/>
      <c r="S696" s="195"/>
      <c r="T696" s="195"/>
      <c r="U696" s="1"/>
      <c r="W696" s="195"/>
      <c r="X696" s="195"/>
    </row>
    <row r="697" spans="17:24" x14ac:dyDescent="0.25">
      <c r="Q697" s="195"/>
      <c r="R697" s="195"/>
      <c r="S697" s="195"/>
      <c r="T697" s="195"/>
      <c r="U697" s="1"/>
      <c r="W697" s="195"/>
      <c r="X697" s="195"/>
    </row>
    <row r="698" spans="17:24" x14ac:dyDescent="0.25">
      <c r="Q698" s="195"/>
      <c r="R698" s="195"/>
      <c r="S698" s="195"/>
      <c r="T698" s="195"/>
      <c r="U698" s="1"/>
      <c r="W698" s="195"/>
      <c r="X698" s="195"/>
    </row>
    <row r="699" spans="17:24" x14ac:dyDescent="0.25">
      <c r="Q699" s="195"/>
      <c r="R699" s="195"/>
      <c r="S699" s="195"/>
      <c r="T699" s="195"/>
      <c r="U699" s="1"/>
      <c r="W699" s="195"/>
      <c r="X699" s="195"/>
    </row>
    <row r="700" spans="17:24" x14ac:dyDescent="0.25">
      <c r="Q700" s="195"/>
      <c r="R700" s="195"/>
      <c r="S700" s="195"/>
      <c r="T700" s="195"/>
      <c r="U700" s="1"/>
      <c r="W700" s="195"/>
      <c r="X700" s="195"/>
    </row>
    <row r="701" spans="17:24" x14ac:dyDescent="0.25">
      <c r="Q701" s="195"/>
      <c r="R701" s="195"/>
      <c r="S701" s="195"/>
      <c r="T701" s="195"/>
      <c r="U701" s="1"/>
      <c r="W701" s="195"/>
      <c r="X701" s="195"/>
    </row>
    <row r="702" spans="17:24" x14ac:dyDescent="0.25">
      <c r="Q702" s="195"/>
      <c r="R702" s="195"/>
      <c r="S702" s="195"/>
      <c r="T702" s="195"/>
      <c r="U702" s="1"/>
      <c r="W702" s="195"/>
      <c r="X702" s="195"/>
    </row>
    <row r="703" spans="17:24" x14ac:dyDescent="0.25">
      <c r="Q703" s="195"/>
      <c r="R703" s="195"/>
      <c r="S703" s="195"/>
      <c r="T703" s="195"/>
      <c r="U703" s="1"/>
      <c r="W703" s="195"/>
      <c r="X703" s="195"/>
    </row>
    <row r="704" spans="17:24" x14ac:dyDescent="0.25">
      <c r="Q704" s="195"/>
      <c r="R704" s="195"/>
      <c r="S704" s="195"/>
      <c r="T704" s="195"/>
      <c r="U704" s="1"/>
      <c r="W704" s="195"/>
      <c r="X704" s="195"/>
    </row>
    <row r="705" spans="17:24" x14ac:dyDescent="0.25">
      <c r="Q705" s="195"/>
      <c r="R705" s="195"/>
      <c r="S705" s="195"/>
      <c r="T705" s="195"/>
      <c r="U705" s="1"/>
      <c r="W705" s="195"/>
      <c r="X705" s="195"/>
    </row>
    <row r="706" spans="17:24" x14ac:dyDescent="0.25">
      <c r="Q706" s="195"/>
      <c r="R706" s="195"/>
      <c r="S706" s="195"/>
      <c r="T706" s="195"/>
      <c r="U706" s="1"/>
      <c r="W706" s="195"/>
      <c r="X706" s="195"/>
    </row>
    <row r="707" spans="17:24" x14ac:dyDescent="0.25">
      <c r="Q707" s="195"/>
      <c r="R707" s="195"/>
      <c r="S707" s="195"/>
      <c r="T707" s="195"/>
      <c r="U707" s="1"/>
      <c r="W707" s="195"/>
      <c r="X707" s="195"/>
    </row>
    <row r="708" spans="17:24" x14ac:dyDescent="0.25">
      <c r="Q708" s="195"/>
      <c r="R708" s="195"/>
      <c r="S708" s="195"/>
      <c r="T708" s="195"/>
      <c r="U708" s="1"/>
      <c r="W708" s="195"/>
      <c r="X708" s="195"/>
    </row>
    <row r="709" spans="17:24" x14ac:dyDescent="0.25">
      <c r="Q709" s="195"/>
      <c r="R709" s="195"/>
      <c r="S709" s="195"/>
      <c r="T709" s="195"/>
      <c r="U709" s="1"/>
      <c r="W709" s="195"/>
      <c r="X709" s="195"/>
    </row>
    <row r="710" spans="17:24" x14ac:dyDescent="0.25">
      <c r="Q710" s="195"/>
      <c r="R710" s="195"/>
      <c r="S710" s="195"/>
      <c r="T710" s="195"/>
      <c r="U710" s="1"/>
      <c r="W710" s="195"/>
      <c r="X710" s="195"/>
    </row>
    <row r="711" spans="17:24" x14ac:dyDescent="0.25">
      <c r="Q711" s="195"/>
      <c r="R711" s="195"/>
      <c r="S711" s="195"/>
      <c r="T711" s="195"/>
      <c r="U711" s="1"/>
      <c r="W711" s="195"/>
      <c r="X711" s="195"/>
    </row>
    <row r="712" spans="17:24" x14ac:dyDescent="0.25">
      <c r="Q712" s="195"/>
      <c r="R712" s="195"/>
      <c r="S712" s="195"/>
      <c r="T712" s="195"/>
      <c r="U712" s="1"/>
      <c r="W712" s="195"/>
      <c r="X712" s="195"/>
    </row>
    <row r="713" spans="17:24" x14ac:dyDescent="0.25">
      <c r="Q713" s="195"/>
      <c r="R713" s="195"/>
      <c r="S713" s="195"/>
      <c r="T713" s="195"/>
      <c r="U713" s="1"/>
      <c r="W713" s="195"/>
      <c r="X713" s="195"/>
    </row>
    <row r="714" spans="17:24" x14ac:dyDescent="0.25">
      <c r="Q714" s="195"/>
      <c r="R714" s="195"/>
      <c r="S714" s="195"/>
      <c r="T714" s="195"/>
      <c r="U714" s="1"/>
      <c r="W714" s="195"/>
      <c r="X714" s="195"/>
    </row>
    <row r="715" spans="17:24" x14ac:dyDescent="0.25">
      <c r="Q715" s="195"/>
      <c r="R715" s="195"/>
      <c r="S715" s="195"/>
      <c r="T715" s="195"/>
      <c r="U715" s="1"/>
      <c r="W715" s="195"/>
      <c r="X715" s="195"/>
    </row>
    <row r="716" spans="17:24" x14ac:dyDescent="0.25">
      <c r="Q716" s="195"/>
      <c r="R716" s="195"/>
      <c r="S716" s="195"/>
      <c r="T716" s="195"/>
      <c r="U716" s="1"/>
      <c r="W716" s="195"/>
      <c r="X716" s="195"/>
    </row>
    <row r="717" spans="17:24" x14ac:dyDescent="0.25">
      <c r="Q717" s="195"/>
      <c r="R717" s="195"/>
      <c r="S717" s="195"/>
      <c r="T717" s="195"/>
      <c r="U717" s="1"/>
      <c r="W717" s="195"/>
      <c r="X717" s="195"/>
    </row>
    <row r="718" spans="17:24" x14ac:dyDescent="0.25">
      <c r="Q718" s="195"/>
      <c r="R718" s="195"/>
      <c r="S718" s="195"/>
      <c r="T718" s="195"/>
      <c r="U718" s="1"/>
      <c r="W718" s="195"/>
      <c r="X718" s="195"/>
    </row>
    <row r="719" spans="17:24" x14ac:dyDescent="0.25">
      <c r="Q719" s="195"/>
      <c r="R719" s="195"/>
      <c r="S719" s="195"/>
      <c r="T719" s="195"/>
      <c r="U719" s="1"/>
      <c r="W719" s="195"/>
      <c r="X719" s="195"/>
    </row>
    <row r="720" spans="17:24" x14ac:dyDescent="0.25">
      <c r="Q720" s="195"/>
      <c r="R720" s="195"/>
      <c r="S720" s="195"/>
      <c r="T720" s="195"/>
      <c r="U720" s="1"/>
      <c r="W720" s="195"/>
      <c r="X720" s="195"/>
    </row>
    <row r="721" spans="17:24" x14ac:dyDescent="0.25">
      <c r="Q721" s="195"/>
      <c r="R721" s="195"/>
      <c r="S721" s="195"/>
      <c r="T721" s="195"/>
      <c r="U721" s="1"/>
      <c r="W721" s="195"/>
      <c r="X721" s="195"/>
    </row>
    <row r="722" spans="17:24" x14ac:dyDescent="0.25">
      <c r="Q722" s="195"/>
      <c r="R722" s="195"/>
      <c r="S722" s="195"/>
      <c r="T722" s="195"/>
      <c r="U722" s="1"/>
      <c r="W722" s="195"/>
      <c r="X722" s="195"/>
    </row>
    <row r="723" spans="17:24" x14ac:dyDescent="0.25">
      <c r="Q723" s="195"/>
      <c r="R723" s="195"/>
      <c r="S723" s="195"/>
      <c r="T723" s="195"/>
      <c r="U723" s="1"/>
      <c r="W723" s="195"/>
      <c r="X723" s="195"/>
    </row>
    <row r="724" spans="17:24" x14ac:dyDescent="0.25">
      <c r="Q724" s="195"/>
      <c r="R724" s="195"/>
      <c r="S724" s="195"/>
      <c r="T724" s="195"/>
      <c r="U724" s="1"/>
      <c r="W724" s="195"/>
      <c r="X724" s="195"/>
    </row>
    <row r="725" spans="17:24" x14ac:dyDescent="0.25">
      <c r="Q725" s="195"/>
      <c r="R725" s="195"/>
      <c r="S725" s="195"/>
      <c r="T725" s="195"/>
      <c r="U725" s="1"/>
      <c r="W725" s="195"/>
      <c r="X725" s="195"/>
    </row>
    <row r="726" spans="17:24" x14ac:dyDescent="0.25">
      <c r="Q726" s="195"/>
      <c r="R726" s="195"/>
      <c r="S726" s="195"/>
      <c r="T726" s="195"/>
      <c r="U726" s="1"/>
      <c r="W726" s="195"/>
      <c r="X726" s="195"/>
    </row>
    <row r="727" spans="17:24" x14ac:dyDescent="0.25">
      <c r="Q727" s="195"/>
      <c r="R727" s="195"/>
      <c r="S727" s="195"/>
      <c r="T727" s="195"/>
      <c r="U727" s="1"/>
      <c r="W727" s="195"/>
      <c r="X727" s="195"/>
    </row>
    <row r="728" spans="17:24" x14ac:dyDescent="0.25">
      <c r="Q728" s="195"/>
      <c r="R728" s="195"/>
      <c r="S728" s="195"/>
      <c r="T728" s="195"/>
      <c r="U728" s="1"/>
      <c r="W728" s="195"/>
      <c r="X728" s="195"/>
    </row>
    <row r="729" spans="17:24" x14ac:dyDescent="0.25">
      <c r="Q729" s="195"/>
      <c r="R729" s="195"/>
      <c r="S729" s="195"/>
      <c r="T729" s="195"/>
      <c r="U729" s="1"/>
      <c r="W729" s="195"/>
      <c r="X729" s="195"/>
    </row>
    <row r="730" spans="17:24" x14ac:dyDescent="0.25">
      <c r="Q730" s="195"/>
      <c r="R730" s="195"/>
      <c r="S730" s="195"/>
      <c r="T730" s="195"/>
      <c r="U730" s="1"/>
      <c r="W730" s="195"/>
      <c r="X730" s="195"/>
    </row>
    <row r="731" spans="17:24" x14ac:dyDescent="0.25">
      <c r="Q731" s="195"/>
      <c r="R731" s="195"/>
      <c r="S731" s="195"/>
      <c r="T731" s="195"/>
      <c r="U731" s="1"/>
      <c r="W731" s="195"/>
      <c r="X731" s="195"/>
    </row>
    <row r="732" spans="17:24" x14ac:dyDescent="0.25">
      <c r="Q732" s="195"/>
      <c r="R732" s="195"/>
      <c r="S732" s="195"/>
      <c r="T732" s="195"/>
      <c r="U732" s="1"/>
      <c r="W732" s="195"/>
      <c r="X732" s="195"/>
    </row>
    <row r="733" spans="17:24" x14ac:dyDescent="0.25">
      <c r="Q733" s="195"/>
      <c r="R733" s="195"/>
      <c r="S733" s="195"/>
      <c r="T733" s="195"/>
      <c r="U733" s="1"/>
      <c r="W733" s="195"/>
      <c r="X733" s="195"/>
    </row>
    <row r="734" spans="17:24" x14ac:dyDescent="0.25">
      <c r="Q734" s="195"/>
      <c r="R734" s="195"/>
      <c r="S734" s="195"/>
      <c r="T734" s="195"/>
      <c r="U734" s="1"/>
      <c r="W734" s="195"/>
      <c r="X734" s="195"/>
    </row>
    <row r="735" spans="17:24" x14ac:dyDescent="0.25">
      <c r="Q735" s="195"/>
      <c r="R735" s="195"/>
      <c r="S735" s="195"/>
      <c r="T735" s="195"/>
      <c r="U735" s="1"/>
      <c r="W735" s="195"/>
      <c r="X735" s="195"/>
    </row>
    <row r="736" spans="17:24" x14ac:dyDescent="0.25">
      <c r="Q736" s="195"/>
      <c r="R736" s="195"/>
      <c r="S736" s="195"/>
      <c r="T736" s="195"/>
      <c r="U736" s="1"/>
      <c r="W736" s="195"/>
      <c r="X736" s="195"/>
    </row>
    <row r="737" spans="17:24" x14ac:dyDescent="0.25">
      <c r="Q737" s="195"/>
      <c r="R737" s="195"/>
      <c r="S737" s="195"/>
      <c r="T737" s="195"/>
      <c r="U737" s="1"/>
      <c r="W737" s="195"/>
      <c r="X737" s="195"/>
    </row>
    <row r="738" spans="17:24" x14ac:dyDescent="0.25">
      <c r="Q738" s="195"/>
      <c r="R738" s="195"/>
      <c r="S738" s="195"/>
      <c r="T738" s="195"/>
      <c r="U738" s="1"/>
      <c r="W738" s="195"/>
      <c r="X738" s="195"/>
    </row>
    <row r="739" spans="17:24" x14ac:dyDescent="0.25">
      <c r="Q739" s="195"/>
      <c r="R739" s="195"/>
      <c r="S739" s="195"/>
      <c r="T739" s="195"/>
      <c r="U739" s="1"/>
      <c r="W739" s="195"/>
      <c r="X739" s="195"/>
    </row>
    <row r="740" spans="17:24" x14ac:dyDescent="0.25">
      <c r="Q740" s="195"/>
      <c r="R740" s="195"/>
      <c r="S740" s="195"/>
      <c r="T740" s="195"/>
      <c r="U740" s="1"/>
      <c r="W740" s="195"/>
      <c r="X740" s="195"/>
    </row>
    <row r="741" spans="17:24" x14ac:dyDescent="0.25">
      <c r="Q741" s="195"/>
      <c r="R741" s="195"/>
      <c r="S741" s="195"/>
      <c r="T741" s="195"/>
      <c r="U741" s="1"/>
      <c r="W741" s="195"/>
      <c r="X741" s="195"/>
    </row>
    <row r="742" spans="17:24" x14ac:dyDescent="0.25">
      <c r="Q742" s="195"/>
      <c r="R742" s="195"/>
      <c r="S742" s="195"/>
      <c r="T742" s="195"/>
      <c r="U742" s="1"/>
      <c r="W742" s="195"/>
      <c r="X742" s="195"/>
    </row>
    <row r="743" spans="17:24" x14ac:dyDescent="0.25">
      <c r="Q743" s="195"/>
      <c r="R743" s="195"/>
      <c r="S743" s="195"/>
      <c r="T743" s="195"/>
      <c r="U743" s="1"/>
      <c r="W743" s="195"/>
      <c r="X743" s="195"/>
    </row>
    <row r="744" spans="17:24" x14ac:dyDescent="0.25">
      <c r="Q744" s="195"/>
      <c r="R744" s="195"/>
      <c r="S744" s="195"/>
      <c r="T744" s="195"/>
      <c r="U744" s="1"/>
      <c r="W744" s="195"/>
      <c r="X744" s="195"/>
    </row>
    <row r="745" spans="17:24" x14ac:dyDescent="0.25">
      <c r="Q745" s="195"/>
      <c r="R745" s="195"/>
      <c r="S745" s="195"/>
      <c r="T745" s="195"/>
      <c r="U745" s="1"/>
      <c r="W745" s="195"/>
      <c r="X745" s="195"/>
    </row>
    <row r="746" spans="17:24" x14ac:dyDescent="0.25">
      <c r="Q746" s="195"/>
      <c r="R746" s="195"/>
      <c r="S746" s="195"/>
      <c r="T746" s="195"/>
      <c r="U746" s="1"/>
      <c r="W746" s="195"/>
      <c r="X746" s="195"/>
    </row>
    <row r="747" spans="17:24" x14ac:dyDescent="0.25">
      <c r="Q747" s="195"/>
      <c r="R747" s="195"/>
      <c r="S747" s="195"/>
      <c r="T747" s="195"/>
      <c r="U747" s="1"/>
      <c r="W747" s="195"/>
      <c r="X747" s="195"/>
    </row>
    <row r="748" spans="17:24" x14ac:dyDescent="0.25">
      <c r="Q748" s="195"/>
      <c r="R748" s="195"/>
      <c r="S748" s="195"/>
      <c r="T748" s="195"/>
      <c r="U748" s="1"/>
      <c r="W748" s="195"/>
      <c r="X748" s="195"/>
    </row>
    <row r="749" spans="17:24" x14ac:dyDescent="0.25">
      <c r="Q749" s="195"/>
      <c r="R749" s="195"/>
      <c r="S749" s="195"/>
      <c r="T749" s="195"/>
      <c r="U749" s="1"/>
      <c r="W749" s="195"/>
      <c r="X749" s="195"/>
    </row>
    <row r="750" spans="17:24" x14ac:dyDescent="0.25">
      <c r="Q750" s="195"/>
      <c r="R750" s="195"/>
      <c r="S750" s="195"/>
      <c r="T750" s="195"/>
      <c r="U750" s="1"/>
      <c r="W750" s="195"/>
      <c r="X750" s="195"/>
    </row>
    <row r="751" spans="17:24" x14ac:dyDescent="0.25">
      <c r="Q751" s="195"/>
      <c r="R751" s="195"/>
      <c r="S751" s="195"/>
      <c r="T751" s="195"/>
      <c r="U751" s="1"/>
      <c r="W751" s="195"/>
      <c r="X751" s="195"/>
    </row>
    <row r="752" spans="17:24" x14ac:dyDescent="0.25">
      <c r="Q752" s="195"/>
      <c r="R752" s="195"/>
      <c r="S752" s="195"/>
      <c r="T752" s="195"/>
      <c r="U752" s="1"/>
      <c r="W752" s="195"/>
      <c r="X752" s="195"/>
    </row>
    <row r="753" spans="17:24" x14ac:dyDescent="0.25">
      <c r="Q753" s="195"/>
      <c r="R753" s="195"/>
      <c r="S753" s="195"/>
      <c r="T753" s="195"/>
      <c r="U753" s="1"/>
      <c r="W753" s="195"/>
      <c r="X753" s="195"/>
    </row>
    <row r="754" spans="17:24" x14ac:dyDescent="0.25">
      <c r="Q754" s="195"/>
      <c r="R754" s="195"/>
      <c r="S754" s="195"/>
      <c r="T754" s="195"/>
      <c r="U754" s="1"/>
      <c r="W754" s="195"/>
      <c r="X754" s="195"/>
    </row>
    <row r="755" spans="17:24" x14ac:dyDescent="0.25">
      <c r="Q755" s="195"/>
      <c r="R755" s="195"/>
      <c r="S755" s="195"/>
      <c r="T755" s="195"/>
      <c r="U755" s="1"/>
      <c r="W755" s="195"/>
      <c r="X755" s="195"/>
    </row>
    <row r="756" spans="17:24" x14ac:dyDescent="0.25">
      <c r="Q756" s="195"/>
      <c r="R756" s="195"/>
      <c r="S756" s="195"/>
      <c r="T756" s="195"/>
      <c r="U756" s="1"/>
      <c r="W756" s="195"/>
      <c r="X756" s="195"/>
    </row>
    <row r="757" spans="17:24" x14ac:dyDescent="0.25">
      <c r="Q757" s="195"/>
      <c r="R757" s="195"/>
      <c r="S757" s="195"/>
      <c r="T757" s="195"/>
      <c r="U757" s="1"/>
      <c r="W757" s="195"/>
      <c r="X757" s="195"/>
    </row>
    <row r="758" spans="17:24" x14ac:dyDescent="0.25">
      <c r="Q758" s="195"/>
      <c r="R758" s="195"/>
      <c r="S758" s="195"/>
      <c r="T758" s="195"/>
      <c r="U758" s="1"/>
      <c r="W758" s="195"/>
      <c r="X758" s="195"/>
    </row>
    <row r="759" spans="17:24" x14ac:dyDescent="0.25">
      <c r="Q759" s="195"/>
      <c r="R759" s="195"/>
      <c r="S759" s="195"/>
      <c r="T759" s="195"/>
      <c r="U759" s="1"/>
      <c r="W759" s="195"/>
      <c r="X759" s="195"/>
    </row>
    <row r="760" spans="17:24" x14ac:dyDescent="0.25">
      <c r="Q760" s="195"/>
      <c r="R760" s="195"/>
      <c r="S760" s="195"/>
      <c r="T760" s="195"/>
      <c r="U760" s="1"/>
      <c r="W760" s="195"/>
      <c r="X760" s="195"/>
    </row>
    <row r="761" spans="17:24" x14ac:dyDescent="0.25">
      <c r="Q761" s="195"/>
      <c r="R761" s="195"/>
      <c r="S761" s="195"/>
      <c r="T761" s="195"/>
      <c r="U761" s="1"/>
      <c r="W761" s="195"/>
      <c r="X761" s="195"/>
    </row>
    <row r="762" spans="17:24" x14ac:dyDescent="0.25">
      <c r="Q762" s="195"/>
      <c r="R762" s="195"/>
      <c r="S762" s="195"/>
      <c r="T762" s="195"/>
      <c r="U762" s="1"/>
      <c r="W762" s="195"/>
      <c r="X762" s="195"/>
    </row>
    <row r="763" spans="17:24" x14ac:dyDescent="0.25">
      <c r="Q763" s="195"/>
      <c r="R763" s="195"/>
      <c r="S763" s="195"/>
      <c r="T763" s="195"/>
      <c r="U763" s="1"/>
      <c r="W763" s="195"/>
      <c r="X763" s="195"/>
    </row>
    <row r="764" spans="17:24" x14ac:dyDescent="0.25">
      <c r="Q764" s="195"/>
      <c r="R764" s="195"/>
      <c r="S764" s="195"/>
      <c r="T764" s="195"/>
      <c r="U764" s="1"/>
      <c r="W764" s="195"/>
      <c r="X764" s="195"/>
    </row>
    <row r="765" spans="17:24" x14ac:dyDescent="0.25">
      <c r="Q765" s="195"/>
      <c r="R765" s="195"/>
      <c r="S765" s="195"/>
      <c r="T765" s="195"/>
      <c r="U765" s="1"/>
      <c r="W765" s="195"/>
      <c r="X765" s="195"/>
    </row>
    <row r="766" spans="17:24" x14ac:dyDescent="0.25">
      <c r="Q766" s="195"/>
      <c r="R766" s="195"/>
      <c r="S766" s="195"/>
      <c r="T766" s="195"/>
      <c r="U766" s="1"/>
      <c r="W766" s="195"/>
      <c r="X766" s="195"/>
    </row>
    <row r="767" spans="17:24" x14ac:dyDescent="0.25">
      <c r="Q767" s="195"/>
      <c r="R767" s="195"/>
      <c r="S767" s="195"/>
      <c r="T767" s="195"/>
      <c r="U767" s="1"/>
      <c r="W767" s="195"/>
      <c r="X767" s="195"/>
    </row>
    <row r="768" spans="17:24" x14ac:dyDescent="0.25">
      <c r="Q768" s="195"/>
      <c r="R768" s="195"/>
      <c r="S768" s="195"/>
      <c r="T768" s="195"/>
      <c r="U768" s="1"/>
      <c r="W768" s="195"/>
      <c r="X768" s="195"/>
    </row>
    <row r="769" spans="17:24" x14ac:dyDescent="0.25">
      <c r="Q769" s="195"/>
      <c r="R769" s="195"/>
      <c r="S769" s="195"/>
      <c r="T769" s="195"/>
      <c r="U769" s="1"/>
      <c r="W769" s="195"/>
      <c r="X769" s="195"/>
    </row>
    <row r="770" spans="17:24" x14ac:dyDescent="0.25">
      <c r="Q770" s="195"/>
      <c r="R770" s="195"/>
      <c r="S770" s="195"/>
      <c r="T770" s="195"/>
      <c r="U770" s="1"/>
      <c r="W770" s="195"/>
      <c r="X770" s="195"/>
    </row>
    <row r="771" spans="17:24" x14ac:dyDescent="0.25">
      <c r="Q771" s="195"/>
      <c r="R771" s="195"/>
      <c r="S771" s="195"/>
      <c r="T771" s="195"/>
      <c r="U771" s="1"/>
      <c r="W771" s="195"/>
      <c r="X771" s="195"/>
    </row>
    <row r="772" spans="17:24" x14ac:dyDescent="0.25">
      <c r="Q772" s="195"/>
      <c r="R772" s="195"/>
      <c r="S772" s="195"/>
      <c r="T772" s="195"/>
      <c r="U772" s="1"/>
      <c r="W772" s="195"/>
      <c r="X772" s="195"/>
    </row>
    <row r="773" spans="17:24" x14ac:dyDescent="0.25">
      <c r="Q773" s="195"/>
      <c r="R773" s="195"/>
      <c r="S773" s="195"/>
      <c r="T773" s="195"/>
      <c r="U773" s="1"/>
      <c r="W773" s="195"/>
      <c r="X773" s="195"/>
    </row>
    <row r="774" spans="17:24" x14ac:dyDescent="0.25">
      <c r="Q774" s="195"/>
      <c r="R774" s="195"/>
      <c r="S774" s="195"/>
      <c r="T774" s="195"/>
      <c r="U774" s="1"/>
      <c r="W774" s="195"/>
      <c r="X774" s="195"/>
    </row>
    <row r="775" spans="17:24" x14ac:dyDescent="0.25">
      <c r="Q775" s="195"/>
      <c r="R775" s="195"/>
      <c r="S775" s="195"/>
      <c r="T775" s="195"/>
      <c r="U775" s="1"/>
      <c r="W775" s="195"/>
      <c r="X775" s="195"/>
    </row>
    <row r="776" spans="17:24" x14ac:dyDescent="0.25">
      <c r="Q776" s="195"/>
      <c r="R776" s="195"/>
      <c r="S776" s="195"/>
      <c r="T776" s="195"/>
      <c r="U776" s="1"/>
      <c r="W776" s="195"/>
      <c r="X776" s="195"/>
    </row>
    <row r="777" spans="17:24" x14ac:dyDescent="0.25">
      <c r="Q777" s="195"/>
      <c r="R777" s="195"/>
      <c r="S777" s="195"/>
      <c r="T777" s="195"/>
      <c r="U777" s="1"/>
      <c r="W777" s="195"/>
      <c r="X777" s="195"/>
    </row>
    <row r="778" spans="17:24" x14ac:dyDescent="0.25">
      <c r="Q778" s="195"/>
      <c r="R778" s="195"/>
      <c r="S778" s="195"/>
      <c r="T778" s="195"/>
      <c r="U778" s="1"/>
      <c r="W778" s="195"/>
      <c r="X778" s="195"/>
    </row>
    <row r="779" spans="17:24" x14ac:dyDescent="0.25">
      <c r="Q779" s="195"/>
      <c r="R779" s="195"/>
      <c r="S779" s="195"/>
      <c r="T779" s="195"/>
      <c r="U779" s="1"/>
      <c r="W779" s="195"/>
      <c r="X779" s="195"/>
    </row>
    <row r="780" spans="17:24" x14ac:dyDescent="0.25">
      <c r="Q780" s="195"/>
      <c r="R780" s="195"/>
      <c r="S780" s="195"/>
      <c r="T780" s="195"/>
      <c r="U780" s="1"/>
      <c r="W780" s="195"/>
      <c r="X780" s="195"/>
    </row>
    <row r="781" spans="17:24" x14ac:dyDescent="0.25">
      <c r="Q781" s="195"/>
      <c r="R781" s="195"/>
      <c r="S781" s="195"/>
      <c r="T781" s="195"/>
      <c r="U781" s="1"/>
      <c r="W781" s="195"/>
      <c r="X781" s="195"/>
    </row>
    <row r="782" spans="17:24" x14ac:dyDescent="0.25">
      <c r="Q782" s="195"/>
      <c r="R782" s="195"/>
      <c r="S782" s="195"/>
      <c r="T782" s="195"/>
      <c r="U782" s="1"/>
      <c r="W782" s="195"/>
      <c r="X782" s="195"/>
    </row>
    <row r="783" spans="17:24" x14ac:dyDescent="0.25">
      <c r="Q783" s="195"/>
      <c r="R783" s="195"/>
      <c r="S783" s="195"/>
      <c r="T783" s="195"/>
      <c r="U783" s="1"/>
      <c r="W783" s="195"/>
      <c r="X783" s="195"/>
    </row>
    <row r="784" spans="17:24" x14ac:dyDescent="0.25">
      <c r="Q784" s="195"/>
      <c r="R784" s="195"/>
      <c r="S784" s="195"/>
      <c r="T784" s="195"/>
      <c r="U784" s="1"/>
      <c r="W784" s="195"/>
      <c r="X784" s="195"/>
    </row>
    <row r="785" spans="17:24" x14ac:dyDescent="0.25">
      <c r="Q785" s="195"/>
      <c r="R785" s="195"/>
      <c r="S785" s="195"/>
      <c r="T785" s="195"/>
      <c r="U785" s="1"/>
      <c r="W785" s="195"/>
      <c r="X785" s="195"/>
    </row>
    <row r="786" spans="17:24" x14ac:dyDescent="0.25">
      <c r="Q786" s="195"/>
      <c r="R786" s="195"/>
      <c r="S786" s="195"/>
      <c r="T786" s="195"/>
      <c r="U786" s="1"/>
      <c r="W786" s="195"/>
      <c r="X786" s="195"/>
    </row>
    <row r="787" spans="17:24" x14ac:dyDescent="0.25">
      <c r="Q787" s="195"/>
      <c r="R787" s="195"/>
      <c r="S787" s="195"/>
      <c r="T787" s="195"/>
      <c r="U787" s="1"/>
      <c r="W787" s="195"/>
      <c r="X787" s="195"/>
    </row>
    <row r="788" spans="17:24" x14ac:dyDescent="0.25">
      <c r="Q788" s="195"/>
      <c r="R788" s="195"/>
      <c r="S788" s="195"/>
      <c r="T788" s="195"/>
      <c r="U788" s="1"/>
      <c r="W788" s="195"/>
      <c r="X788" s="195"/>
    </row>
    <row r="789" spans="17:24" x14ac:dyDescent="0.25">
      <c r="Q789" s="195"/>
      <c r="R789" s="195"/>
      <c r="S789" s="195"/>
      <c r="T789" s="195"/>
      <c r="U789" s="1"/>
      <c r="W789" s="195"/>
      <c r="X789" s="195"/>
    </row>
    <row r="790" spans="17:24" x14ac:dyDescent="0.25">
      <c r="Q790" s="195"/>
      <c r="R790" s="195"/>
      <c r="S790" s="195"/>
      <c r="T790" s="195"/>
      <c r="U790" s="1"/>
      <c r="W790" s="195"/>
      <c r="X790" s="195"/>
    </row>
    <row r="791" spans="17:24" x14ac:dyDescent="0.25">
      <c r="Q791" s="195"/>
      <c r="R791" s="195"/>
      <c r="S791" s="195"/>
      <c r="T791" s="195"/>
      <c r="U791" s="1"/>
      <c r="W791" s="195"/>
      <c r="X791" s="195"/>
    </row>
    <row r="792" spans="17:24" x14ac:dyDescent="0.25">
      <c r="Q792" s="195"/>
      <c r="R792" s="195"/>
      <c r="S792" s="195"/>
      <c r="T792" s="195"/>
      <c r="U792" s="1"/>
      <c r="W792" s="195"/>
      <c r="X792" s="195"/>
    </row>
    <row r="793" spans="17:24" x14ac:dyDescent="0.25">
      <c r="Q793" s="195"/>
      <c r="R793" s="195"/>
      <c r="S793" s="195"/>
      <c r="T793" s="195"/>
      <c r="U793" s="1"/>
      <c r="W793" s="195"/>
      <c r="X793" s="195"/>
    </row>
    <row r="794" spans="17:24" x14ac:dyDescent="0.25">
      <c r="Q794" s="195"/>
      <c r="R794" s="195"/>
      <c r="S794" s="195"/>
      <c r="T794" s="195"/>
      <c r="U794" s="1"/>
      <c r="W794" s="195"/>
      <c r="X794" s="195"/>
    </row>
    <row r="795" spans="17:24" x14ac:dyDescent="0.25">
      <c r="Q795" s="195"/>
      <c r="R795" s="195"/>
      <c r="S795" s="195"/>
      <c r="T795" s="195"/>
      <c r="U795" s="1"/>
      <c r="W795" s="195"/>
      <c r="X795" s="195"/>
    </row>
    <row r="796" spans="17:24" x14ac:dyDescent="0.25">
      <c r="Q796" s="195"/>
      <c r="R796" s="195"/>
      <c r="S796" s="195"/>
      <c r="T796" s="195"/>
      <c r="U796" s="1"/>
      <c r="W796" s="195"/>
      <c r="X796" s="195"/>
    </row>
    <row r="797" spans="17:24" x14ac:dyDescent="0.25">
      <c r="Q797" s="195"/>
      <c r="R797" s="195"/>
      <c r="S797" s="195"/>
      <c r="T797" s="195"/>
      <c r="U797" s="1"/>
      <c r="W797" s="195"/>
      <c r="X797" s="195"/>
    </row>
    <row r="798" spans="17:24" x14ac:dyDescent="0.25">
      <c r="Q798" s="195"/>
      <c r="R798" s="195"/>
      <c r="S798" s="195"/>
      <c r="T798" s="195"/>
      <c r="U798" s="1"/>
      <c r="W798" s="195"/>
      <c r="X798" s="195"/>
    </row>
    <row r="799" spans="17:24" x14ac:dyDescent="0.25">
      <c r="Q799" s="195"/>
      <c r="R799" s="195"/>
      <c r="S799" s="195"/>
      <c r="T799" s="195"/>
      <c r="U799" s="1"/>
      <c r="W799" s="195"/>
      <c r="X799" s="195"/>
    </row>
    <row r="800" spans="17:24" x14ac:dyDescent="0.25">
      <c r="Q800" s="195"/>
      <c r="R800" s="195"/>
      <c r="S800" s="195"/>
      <c r="T800" s="195"/>
      <c r="U800" s="1"/>
      <c r="W800" s="195"/>
      <c r="X800" s="195"/>
    </row>
    <row r="801" spans="17:24" x14ac:dyDescent="0.25">
      <c r="Q801" s="195"/>
      <c r="R801" s="195"/>
      <c r="S801" s="195"/>
      <c r="T801" s="195"/>
      <c r="U801" s="1"/>
      <c r="W801" s="195"/>
      <c r="X801" s="195"/>
    </row>
    <row r="802" spans="17:24" x14ac:dyDescent="0.25">
      <c r="Q802" s="195"/>
      <c r="R802" s="195"/>
      <c r="S802" s="195"/>
      <c r="T802" s="195"/>
      <c r="U802" s="1"/>
      <c r="W802" s="195"/>
      <c r="X802" s="195"/>
    </row>
    <row r="803" spans="17:24" x14ac:dyDescent="0.25">
      <c r="Q803" s="195"/>
      <c r="R803" s="195"/>
      <c r="S803" s="195"/>
      <c r="T803" s="195"/>
      <c r="U803" s="1"/>
      <c r="W803" s="195"/>
      <c r="X803" s="195"/>
    </row>
    <row r="804" spans="17:24" x14ac:dyDescent="0.25">
      <c r="Q804" s="195"/>
      <c r="R804" s="195"/>
      <c r="S804" s="195"/>
      <c r="T804" s="195"/>
      <c r="U804" s="1"/>
      <c r="W804" s="195"/>
      <c r="X804" s="195"/>
    </row>
    <row r="805" spans="17:24" x14ac:dyDescent="0.25">
      <c r="Q805" s="195"/>
      <c r="R805" s="195"/>
      <c r="S805" s="195"/>
      <c r="T805" s="195"/>
      <c r="U805" s="1"/>
      <c r="W805" s="195"/>
      <c r="X805" s="195"/>
    </row>
    <row r="806" spans="17:24" x14ac:dyDescent="0.25">
      <c r="Q806" s="195"/>
      <c r="R806" s="195"/>
      <c r="S806" s="195"/>
      <c r="T806" s="195"/>
      <c r="U806" s="1"/>
      <c r="W806" s="195"/>
      <c r="X806" s="195"/>
    </row>
    <row r="807" spans="17:24" x14ac:dyDescent="0.25">
      <c r="Q807" s="195"/>
      <c r="R807" s="195"/>
      <c r="S807" s="195"/>
      <c r="T807" s="195"/>
      <c r="U807" s="1"/>
      <c r="W807" s="195"/>
      <c r="X807" s="195"/>
    </row>
    <row r="808" spans="17:24" x14ac:dyDescent="0.25">
      <c r="Q808" s="195"/>
      <c r="R808" s="195"/>
      <c r="S808" s="195"/>
      <c r="T808" s="195"/>
      <c r="U808" s="1"/>
      <c r="W808" s="195"/>
      <c r="X808" s="195"/>
    </row>
    <row r="809" spans="17:24" x14ac:dyDescent="0.25">
      <c r="Q809" s="195"/>
      <c r="R809" s="195"/>
      <c r="S809" s="195"/>
      <c r="T809" s="195"/>
      <c r="U809" s="1"/>
      <c r="W809" s="195"/>
      <c r="X809" s="195"/>
    </row>
    <row r="810" spans="17:24" x14ac:dyDescent="0.25">
      <c r="Q810" s="195"/>
      <c r="R810" s="195"/>
      <c r="S810" s="195"/>
      <c r="T810" s="195"/>
      <c r="U810" s="1"/>
      <c r="W810" s="195"/>
      <c r="X810" s="195"/>
    </row>
    <row r="811" spans="17:24" x14ac:dyDescent="0.25">
      <c r="Q811" s="195"/>
      <c r="R811" s="195"/>
      <c r="S811" s="195"/>
      <c r="T811" s="195"/>
      <c r="U811" s="1"/>
      <c r="W811" s="195"/>
      <c r="X811" s="195"/>
    </row>
    <row r="812" spans="17:24" x14ac:dyDescent="0.25">
      <c r="Q812" s="195"/>
      <c r="R812" s="195"/>
      <c r="S812" s="195"/>
      <c r="T812" s="195"/>
      <c r="U812" s="1"/>
      <c r="W812" s="195"/>
      <c r="X812" s="195"/>
    </row>
    <row r="813" spans="17:24" x14ac:dyDescent="0.25">
      <c r="Q813" s="195"/>
      <c r="R813" s="195"/>
      <c r="S813" s="195"/>
      <c r="T813" s="195"/>
      <c r="U813" s="1"/>
      <c r="W813" s="195"/>
      <c r="X813" s="195"/>
    </row>
    <row r="814" spans="17:24" x14ac:dyDescent="0.25">
      <c r="Q814" s="195"/>
      <c r="R814" s="195"/>
      <c r="S814" s="195"/>
      <c r="T814" s="195"/>
      <c r="U814" s="1"/>
      <c r="W814" s="195"/>
      <c r="X814" s="195"/>
    </row>
    <row r="815" spans="17:24" x14ac:dyDescent="0.25">
      <c r="Q815" s="195"/>
      <c r="R815" s="195"/>
      <c r="S815" s="195"/>
      <c r="T815" s="195"/>
      <c r="U815" s="1"/>
      <c r="W815" s="195"/>
      <c r="X815" s="195"/>
    </row>
    <row r="816" spans="17:24" x14ac:dyDescent="0.25">
      <c r="Q816" s="195"/>
      <c r="R816" s="195"/>
      <c r="S816" s="195"/>
      <c r="T816" s="195"/>
      <c r="U816" s="1"/>
      <c r="W816" s="195"/>
      <c r="X816" s="195"/>
    </row>
    <row r="817" spans="17:24" x14ac:dyDescent="0.25">
      <c r="Q817" s="195"/>
      <c r="R817" s="195"/>
      <c r="S817" s="195"/>
      <c r="T817" s="195"/>
      <c r="U817" s="1"/>
      <c r="W817" s="195"/>
      <c r="X817" s="195"/>
    </row>
    <row r="818" spans="17:24" x14ac:dyDescent="0.25">
      <c r="Q818" s="195"/>
      <c r="R818" s="195"/>
      <c r="S818" s="195"/>
      <c r="T818" s="195"/>
      <c r="U818" s="1"/>
      <c r="W818" s="195"/>
      <c r="X818" s="195"/>
    </row>
    <row r="819" spans="17:24" x14ac:dyDescent="0.25">
      <c r="Q819" s="195"/>
      <c r="R819" s="195"/>
      <c r="S819" s="195"/>
      <c r="T819" s="195"/>
      <c r="U819" s="1"/>
      <c r="W819" s="195"/>
      <c r="X819" s="195"/>
    </row>
    <row r="820" spans="17:24" x14ac:dyDescent="0.25">
      <c r="Q820" s="195"/>
      <c r="R820" s="195"/>
      <c r="S820" s="195"/>
      <c r="T820" s="195"/>
      <c r="U820" s="1"/>
      <c r="W820" s="195"/>
      <c r="X820" s="195"/>
    </row>
    <row r="821" spans="17:24" x14ac:dyDescent="0.25">
      <c r="Q821" s="195"/>
      <c r="R821" s="195"/>
      <c r="S821" s="195"/>
      <c r="T821" s="195"/>
      <c r="U821" s="1"/>
      <c r="W821" s="195"/>
      <c r="X821" s="195"/>
    </row>
    <row r="822" spans="17:24" x14ac:dyDescent="0.25">
      <c r="Q822" s="195"/>
      <c r="R822" s="195"/>
      <c r="S822" s="195"/>
      <c r="T822" s="195"/>
      <c r="U822" s="1"/>
      <c r="W822" s="195"/>
      <c r="X822" s="195"/>
    </row>
    <row r="823" spans="17:24" x14ac:dyDescent="0.25">
      <c r="Q823" s="195"/>
      <c r="R823" s="195"/>
      <c r="S823" s="195"/>
      <c r="T823" s="195"/>
      <c r="U823" s="1"/>
      <c r="W823" s="195"/>
      <c r="X823" s="195"/>
    </row>
    <row r="824" spans="17:24" x14ac:dyDescent="0.25">
      <c r="Q824" s="195"/>
      <c r="R824" s="195"/>
      <c r="S824" s="195"/>
      <c r="T824" s="195"/>
      <c r="U824" s="1"/>
      <c r="W824" s="195"/>
      <c r="X824" s="195"/>
    </row>
    <row r="825" spans="17:24" x14ac:dyDescent="0.25">
      <c r="Q825" s="195"/>
      <c r="R825" s="195"/>
      <c r="S825" s="195"/>
      <c r="T825" s="195"/>
      <c r="U825" s="1"/>
      <c r="W825" s="195"/>
      <c r="X825" s="195"/>
    </row>
    <row r="826" spans="17:24" x14ac:dyDescent="0.25">
      <c r="Q826" s="195"/>
      <c r="R826" s="195"/>
      <c r="S826" s="195"/>
      <c r="T826" s="195"/>
      <c r="U826" s="1"/>
      <c r="W826" s="195"/>
      <c r="X826" s="195"/>
    </row>
    <row r="827" spans="17:24" x14ac:dyDescent="0.25">
      <c r="Q827" s="195"/>
      <c r="R827" s="195"/>
      <c r="S827" s="195"/>
      <c r="T827" s="195"/>
      <c r="U827" s="1"/>
      <c r="W827" s="195"/>
      <c r="X827" s="195"/>
    </row>
    <row r="828" spans="17:24" x14ac:dyDescent="0.25">
      <c r="Q828" s="195"/>
      <c r="R828" s="195"/>
      <c r="S828" s="195"/>
      <c r="T828" s="195"/>
      <c r="U828" s="1"/>
      <c r="W828" s="195"/>
      <c r="X828" s="195"/>
    </row>
    <row r="829" spans="17:24" x14ac:dyDescent="0.25">
      <c r="Q829" s="195"/>
      <c r="R829" s="195"/>
      <c r="S829" s="195"/>
      <c r="T829" s="195"/>
      <c r="U829" s="1"/>
      <c r="W829" s="195"/>
      <c r="X829" s="195"/>
    </row>
    <row r="830" spans="17:24" x14ac:dyDescent="0.25">
      <c r="Q830" s="195"/>
      <c r="R830" s="195"/>
      <c r="S830" s="195"/>
      <c r="T830" s="195"/>
      <c r="U830" s="1"/>
      <c r="W830" s="195"/>
      <c r="X830" s="195"/>
    </row>
    <row r="831" spans="17:24" x14ac:dyDescent="0.25">
      <c r="Q831" s="195"/>
      <c r="R831" s="195"/>
      <c r="S831" s="195"/>
      <c r="T831" s="195"/>
      <c r="U831" s="1"/>
      <c r="W831" s="195"/>
      <c r="X831" s="195"/>
    </row>
    <row r="832" spans="17:24" x14ac:dyDescent="0.25">
      <c r="Q832" s="195"/>
      <c r="R832" s="195"/>
      <c r="S832" s="195"/>
      <c r="T832" s="195"/>
      <c r="U832" s="1"/>
      <c r="W832" s="195"/>
      <c r="X832" s="195"/>
    </row>
    <row r="833" spans="17:24" x14ac:dyDescent="0.25">
      <c r="Q833" s="195"/>
      <c r="R833" s="195"/>
      <c r="S833" s="195"/>
      <c r="T833" s="195"/>
      <c r="U833" s="1"/>
      <c r="W833" s="195"/>
      <c r="X833" s="195"/>
    </row>
    <row r="834" spans="17:24" x14ac:dyDescent="0.25">
      <c r="Q834" s="195"/>
      <c r="R834" s="195"/>
      <c r="S834" s="195"/>
      <c r="T834" s="195"/>
      <c r="U834" s="1"/>
      <c r="W834" s="195"/>
      <c r="X834" s="195"/>
    </row>
    <row r="835" spans="17:24" x14ac:dyDescent="0.25">
      <c r="Q835" s="195"/>
      <c r="R835" s="195"/>
      <c r="S835" s="195"/>
      <c r="T835" s="195"/>
      <c r="U835" s="1"/>
      <c r="W835" s="195"/>
      <c r="X835" s="195"/>
    </row>
    <row r="836" spans="17:24" x14ac:dyDescent="0.25">
      <c r="Q836" s="195"/>
      <c r="R836" s="195"/>
      <c r="S836" s="195"/>
      <c r="T836" s="195"/>
      <c r="U836" s="1"/>
      <c r="W836" s="195"/>
      <c r="X836" s="195"/>
    </row>
    <row r="837" spans="17:24" x14ac:dyDescent="0.25">
      <c r="Q837" s="195"/>
      <c r="R837" s="195"/>
      <c r="S837" s="195"/>
      <c r="T837" s="195"/>
      <c r="U837" s="1"/>
      <c r="W837" s="195"/>
      <c r="X837" s="195"/>
    </row>
    <row r="838" spans="17:24" x14ac:dyDescent="0.25">
      <c r="Q838" s="195"/>
      <c r="R838" s="195"/>
      <c r="S838" s="195"/>
      <c r="T838" s="195"/>
      <c r="U838" s="1"/>
      <c r="W838" s="195"/>
      <c r="X838" s="195"/>
    </row>
    <row r="839" spans="17:24" x14ac:dyDescent="0.25">
      <c r="Q839" s="195"/>
      <c r="R839" s="195"/>
      <c r="S839" s="195"/>
      <c r="T839" s="195"/>
      <c r="U839" s="1"/>
      <c r="W839" s="195"/>
      <c r="X839" s="195"/>
    </row>
    <row r="840" spans="17:24" x14ac:dyDescent="0.25">
      <c r="Q840" s="195"/>
      <c r="R840" s="195"/>
      <c r="S840" s="195"/>
      <c r="T840" s="195"/>
      <c r="U840" s="1"/>
      <c r="W840" s="195"/>
      <c r="X840" s="195"/>
    </row>
    <row r="841" spans="17:24" x14ac:dyDescent="0.25">
      <c r="Q841" s="195"/>
      <c r="R841" s="195"/>
      <c r="S841" s="195"/>
      <c r="T841" s="195"/>
      <c r="U841" s="1"/>
      <c r="W841" s="195"/>
      <c r="X841" s="195"/>
    </row>
    <row r="842" spans="17:24" x14ac:dyDescent="0.25">
      <c r="Q842" s="195"/>
      <c r="R842" s="195"/>
      <c r="S842" s="195"/>
      <c r="T842" s="195"/>
      <c r="U842" s="1"/>
      <c r="W842" s="195"/>
      <c r="X842" s="195"/>
    </row>
    <row r="843" spans="17:24" x14ac:dyDescent="0.25">
      <c r="Q843" s="195"/>
      <c r="R843" s="195"/>
      <c r="S843" s="195"/>
      <c r="T843" s="195"/>
      <c r="U843" s="1"/>
      <c r="W843" s="195"/>
      <c r="X843" s="195"/>
    </row>
    <row r="844" spans="17:24" x14ac:dyDescent="0.25">
      <c r="Q844" s="195"/>
      <c r="R844" s="195"/>
      <c r="S844" s="195"/>
      <c r="T844" s="195"/>
      <c r="U844" s="1"/>
      <c r="W844" s="195"/>
      <c r="X844" s="195"/>
    </row>
    <row r="845" spans="17:24" x14ac:dyDescent="0.25">
      <c r="Q845" s="195"/>
      <c r="R845" s="195"/>
      <c r="S845" s="195"/>
      <c r="T845" s="195"/>
      <c r="U845" s="1"/>
      <c r="W845" s="195"/>
      <c r="X845" s="195"/>
    </row>
    <row r="846" spans="17:24" x14ac:dyDescent="0.25">
      <c r="Q846" s="195"/>
      <c r="R846" s="195"/>
      <c r="S846" s="195"/>
      <c r="T846" s="195"/>
      <c r="U846" s="1"/>
      <c r="W846" s="195"/>
      <c r="X846" s="195"/>
    </row>
    <row r="847" spans="17:24" x14ac:dyDescent="0.25">
      <c r="Q847" s="195"/>
      <c r="R847" s="195"/>
      <c r="S847" s="195"/>
      <c r="T847" s="195"/>
      <c r="U847" s="1"/>
      <c r="W847" s="195"/>
      <c r="X847" s="195"/>
    </row>
    <row r="848" spans="17:24" x14ac:dyDescent="0.25">
      <c r="Q848" s="195"/>
      <c r="R848" s="195"/>
      <c r="S848" s="195"/>
      <c r="T848" s="195"/>
      <c r="U848" s="1"/>
      <c r="W848" s="195"/>
      <c r="X848" s="195"/>
    </row>
    <row r="849" spans="17:24" x14ac:dyDescent="0.25">
      <c r="Q849" s="195"/>
      <c r="R849" s="195"/>
      <c r="S849" s="195"/>
      <c r="T849" s="195"/>
      <c r="U849" s="1"/>
      <c r="W849" s="195"/>
      <c r="X849" s="195"/>
    </row>
    <row r="850" spans="17:24" x14ac:dyDescent="0.25">
      <c r="Q850" s="195"/>
      <c r="R850" s="195"/>
      <c r="S850" s="195"/>
      <c r="T850" s="195"/>
      <c r="U850" s="1"/>
      <c r="W850" s="195"/>
      <c r="X850" s="195"/>
    </row>
    <row r="851" spans="17:24" x14ac:dyDescent="0.25">
      <c r="Q851" s="195"/>
      <c r="R851" s="195"/>
      <c r="S851" s="195"/>
      <c r="T851" s="195"/>
      <c r="U851" s="1"/>
      <c r="W851" s="195"/>
      <c r="X851" s="195"/>
    </row>
    <row r="852" spans="17:24" x14ac:dyDescent="0.25">
      <c r="Q852" s="195"/>
      <c r="R852" s="195"/>
      <c r="S852" s="195"/>
      <c r="T852" s="195"/>
      <c r="U852" s="1"/>
      <c r="W852" s="195"/>
      <c r="X852" s="195"/>
    </row>
    <row r="853" spans="17:24" x14ac:dyDescent="0.25">
      <c r="Q853" s="195"/>
      <c r="R853" s="195"/>
      <c r="S853" s="195"/>
      <c r="T853" s="195"/>
      <c r="U853" s="1"/>
      <c r="W853" s="195"/>
      <c r="X853" s="195"/>
    </row>
    <row r="854" spans="17:24" x14ac:dyDescent="0.25">
      <c r="Q854" s="195"/>
      <c r="R854" s="195"/>
      <c r="S854" s="195"/>
      <c r="T854" s="195"/>
      <c r="U854" s="1"/>
      <c r="W854" s="195"/>
      <c r="X854" s="195"/>
    </row>
    <row r="855" spans="17:24" x14ac:dyDescent="0.25">
      <c r="Q855" s="195"/>
      <c r="R855" s="195"/>
      <c r="S855" s="195"/>
      <c r="T855" s="195"/>
      <c r="U855" s="1"/>
      <c r="W855" s="195"/>
      <c r="X855" s="195"/>
    </row>
    <row r="856" spans="17:24" x14ac:dyDescent="0.25">
      <c r="Q856" s="195"/>
      <c r="R856" s="195"/>
      <c r="S856" s="195"/>
      <c r="T856" s="195"/>
      <c r="U856" s="1"/>
      <c r="W856" s="195"/>
      <c r="X856" s="195"/>
    </row>
    <row r="857" spans="17:24" x14ac:dyDescent="0.25">
      <c r="Q857" s="195"/>
      <c r="R857" s="195"/>
      <c r="S857" s="195"/>
      <c r="T857" s="195"/>
      <c r="U857" s="1"/>
      <c r="W857" s="195"/>
      <c r="X857" s="195"/>
    </row>
    <row r="858" spans="17:24" x14ac:dyDescent="0.25">
      <c r="Q858" s="195"/>
      <c r="R858" s="195"/>
      <c r="S858" s="195"/>
      <c r="T858" s="195"/>
      <c r="U858" s="1"/>
      <c r="W858" s="195"/>
      <c r="X858" s="195"/>
    </row>
    <row r="859" spans="17:24" x14ac:dyDescent="0.25">
      <c r="Q859" s="195"/>
      <c r="R859" s="195"/>
      <c r="S859" s="195"/>
      <c r="T859" s="195"/>
      <c r="U859" s="1"/>
      <c r="W859" s="195"/>
      <c r="X859" s="195"/>
    </row>
    <row r="860" spans="17:24" x14ac:dyDescent="0.25">
      <c r="Q860" s="195"/>
      <c r="R860" s="195"/>
      <c r="S860" s="195"/>
      <c r="T860" s="195"/>
      <c r="U860" s="1"/>
      <c r="W860" s="195"/>
      <c r="X860" s="195"/>
    </row>
    <row r="861" spans="17:24" x14ac:dyDescent="0.25">
      <c r="Q861" s="195"/>
      <c r="R861" s="195"/>
      <c r="S861" s="195"/>
      <c r="T861" s="195"/>
      <c r="U861" s="1"/>
      <c r="W861" s="195"/>
      <c r="X861" s="195"/>
    </row>
    <row r="862" spans="17:24" x14ac:dyDescent="0.25">
      <c r="Q862" s="195"/>
      <c r="R862" s="195"/>
      <c r="S862" s="195"/>
      <c r="T862" s="195"/>
      <c r="U862" s="1"/>
      <c r="W862" s="195"/>
      <c r="X862" s="195"/>
    </row>
    <row r="863" spans="17:24" x14ac:dyDescent="0.25">
      <c r="Q863" s="195"/>
      <c r="R863" s="195"/>
      <c r="S863" s="195"/>
      <c r="T863" s="195"/>
      <c r="U863" s="1"/>
      <c r="W863" s="195"/>
      <c r="X863" s="195"/>
    </row>
    <row r="864" spans="17:24" x14ac:dyDescent="0.25">
      <c r="Q864" s="195"/>
      <c r="R864" s="195"/>
      <c r="S864" s="195"/>
      <c r="T864" s="195"/>
      <c r="U864" s="1"/>
      <c r="W864" s="195"/>
      <c r="X864" s="195"/>
    </row>
    <row r="865" spans="17:24" x14ac:dyDescent="0.25">
      <c r="Q865" s="195"/>
      <c r="R865" s="195"/>
      <c r="S865" s="195"/>
      <c r="T865" s="195"/>
      <c r="U865" s="1"/>
      <c r="W865" s="195"/>
      <c r="X865" s="195"/>
    </row>
    <row r="866" spans="17:24" x14ac:dyDescent="0.25">
      <c r="Q866" s="195"/>
      <c r="R866" s="195"/>
      <c r="S866" s="195"/>
      <c r="T866" s="195"/>
      <c r="U866" s="1"/>
      <c r="W866" s="195"/>
      <c r="X866" s="195"/>
    </row>
    <row r="867" spans="17:24" x14ac:dyDescent="0.25">
      <c r="Q867" s="195"/>
      <c r="R867" s="195"/>
      <c r="S867" s="195"/>
      <c r="T867" s="195"/>
      <c r="U867" s="1"/>
      <c r="W867" s="195"/>
      <c r="X867" s="195"/>
    </row>
    <row r="868" spans="17:24" x14ac:dyDescent="0.25">
      <c r="Q868" s="195"/>
      <c r="R868" s="195"/>
      <c r="S868" s="195"/>
      <c r="T868" s="195"/>
      <c r="U868" s="1"/>
      <c r="W868" s="195"/>
      <c r="X868" s="195"/>
    </row>
    <row r="869" spans="17:24" x14ac:dyDescent="0.25">
      <c r="Q869" s="195"/>
      <c r="R869" s="195"/>
      <c r="S869" s="195"/>
      <c r="T869" s="195"/>
      <c r="U869" s="1"/>
      <c r="W869" s="195"/>
      <c r="X869" s="195"/>
    </row>
    <row r="870" spans="17:24" x14ac:dyDescent="0.25">
      <c r="Q870" s="195"/>
      <c r="R870" s="195"/>
      <c r="S870" s="195"/>
      <c r="T870" s="195"/>
      <c r="U870" s="1"/>
      <c r="W870" s="195"/>
      <c r="X870" s="195"/>
    </row>
    <row r="871" spans="17:24" x14ac:dyDescent="0.25">
      <c r="Q871" s="195"/>
      <c r="R871" s="195"/>
      <c r="S871" s="195"/>
      <c r="T871" s="195"/>
      <c r="U871" s="1"/>
      <c r="W871" s="195"/>
      <c r="X871" s="195"/>
    </row>
    <row r="872" spans="17:24" x14ac:dyDescent="0.25">
      <c r="Q872" s="195"/>
      <c r="R872" s="195"/>
      <c r="S872" s="195"/>
      <c r="T872" s="195"/>
      <c r="U872" s="1"/>
      <c r="W872" s="195"/>
      <c r="X872" s="195"/>
    </row>
    <row r="873" spans="17:24" x14ac:dyDescent="0.25">
      <c r="Q873" s="195"/>
      <c r="R873" s="195"/>
      <c r="S873" s="195"/>
      <c r="T873" s="195"/>
      <c r="U873" s="1"/>
      <c r="W873" s="195"/>
      <c r="X873" s="195"/>
    </row>
    <row r="874" spans="17:24" x14ac:dyDescent="0.25">
      <c r="Q874" s="195"/>
      <c r="R874" s="195"/>
      <c r="S874" s="195"/>
      <c r="T874" s="195"/>
      <c r="U874" s="1"/>
      <c r="W874" s="195"/>
      <c r="X874" s="195"/>
    </row>
    <row r="875" spans="17:24" x14ac:dyDescent="0.25">
      <c r="Q875" s="195"/>
      <c r="R875" s="195"/>
      <c r="S875" s="195"/>
      <c r="T875" s="195"/>
      <c r="U875" s="1"/>
      <c r="W875" s="195"/>
      <c r="X875" s="195"/>
    </row>
    <row r="876" spans="17:24" x14ac:dyDescent="0.25">
      <c r="Q876" s="195"/>
      <c r="R876" s="195"/>
      <c r="S876" s="195"/>
      <c r="T876" s="195"/>
      <c r="U876" s="1"/>
      <c r="W876" s="195"/>
      <c r="X876" s="195"/>
    </row>
    <row r="877" spans="17:24" x14ac:dyDescent="0.25">
      <c r="Q877" s="195"/>
      <c r="R877" s="195"/>
      <c r="S877" s="195"/>
      <c r="T877" s="195"/>
      <c r="U877" s="1"/>
      <c r="W877" s="195"/>
      <c r="X877" s="195"/>
    </row>
    <row r="878" spans="17:24" x14ac:dyDescent="0.25">
      <c r="Q878" s="195"/>
      <c r="R878" s="195"/>
      <c r="S878" s="195"/>
      <c r="T878" s="195"/>
      <c r="U878" s="1"/>
      <c r="W878" s="195"/>
      <c r="X878" s="195"/>
    </row>
    <row r="879" spans="17:24" x14ac:dyDescent="0.25">
      <c r="Q879" s="195"/>
      <c r="R879" s="195"/>
      <c r="S879" s="195"/>
      <c r="T879" s="195"/>
      <c r="U879" s="1"/>
      <c r="W879" s="195"/>
      <c r="X879" s="195"/>
    </row>
    <row r="880" spans="17:24" x14ac:dyDescent="0.25">
      <c r="Q880" s="195"/>
      <c r="R880" s="195"/>
      <c r="S880" s="195"/>
      <c r="T880" s="195"/>
      <c r="U880" s="1"/>
      <c r="W880" s="195"/>
      <c r="X880" s="195"/>
    </row>
    <row r="881" spans="17:24" x14ac:dyDescent="0.25">
      <c r="Q881" s="195"/>
      <c r="R881" s="195"/>
      <c r="S881" s="195"/>
      <c r="T881" s="195"/>
      <c r="U881" s="1"/>
      <c r="W881" s="195"/>
      <c r="X881" s="195"/>
    </row>
    <row r="882" spans="17:24" x14ac:dyDescent="0.25">
      <c r="Q882" s="195"/>
      <c r="R882" s="195"/>
      <c r="S882" s="195"/>
      <c r="T882" s="195"/>
      <c r="U882" s="1"/>
      <c r="W882" s="195"/>
      <c r="X882" s="195"/>
    </row>
    <row r="883" spans="17:24" x14ac:dyDescent="0.25">
      <c r="Q883" s="195"/>
      <c r="R883" s="195"/>
      <c r="S883" s="195"/>
      <c r="T883" s="195"/>
      <c r="U883" s="1"/>
      <c r="W883" s="195"/>
      <c r="X883" s="195"/>
    </row>
    <row r="884" spans="17:24" x14ac:dyDescent="0.25">
      <c r="Q884" s="195"/>
      <c r="R884" s="195"/>
      <c r="S884" s="195"/>
      <c r="T884" s="195"/>
      <c r="U884" s="1"/>
      <c r="W884" s="195"/>
      <c r="X884" s="195"/>
    </row>
    <row r="885" spans="17:24" x14ac:dyDescent="0.25">
      <c r="Q885" s="195"/>
      <c r="R885" s="195"/>
      <c r="S885" s="195"/>
      <c r="T885" s="195"/>
      <c r="U885" s="1"/>
      <c r="W885" s="195"/>
      <c r="X885" s="195"/>
    </row>
    <row r="886" spans="17:24" x14ac:dyDescent="0.25">
      <c r="Q886" s="195"/>
      <c r="R886" s="195"/>
      <c r="S886" s="195"/>
      <c r="T886" s="195"/>
      <c r="U886" s="1"/>
      <c r="W886" s="195"/>
      <c r="X886" s="195"/>
    </row>
    <row r="887" spans="17:24" x14ac:dyDescent="0.25">
      <c r="Q887" s="195"/>
      <c r="R887" s="195"/>
      <c r="S887" s="195"/>
      <c r="T887" s="195"/>
      <c r="U887" s="1"/>
      <c r="W887" s="195"/>
      <c r="X887" s="195"/>
    </row>
    <row r="888" spans="17:24" x14ac:dyDescent="0.25">
      <c r="Q888" s="195"/>
      <c r="R888" s="195"/>
      <c r="S888" s="195"/>
      <c r="T888" s="195"/>
      <c r="U888" s="1"/>
      <c r="W888" s="195"/>
      <c r="X888" s="195"/>
    </row>
    <row r="889" spans="17:24" x14ac:dyDescent="0.25">
      <c r="Q889" s="195"/>
      <c r="R889" s="195"/>
      <c r="S889" s="195"/>
      <c r="T889" s="195"/>
      <c r="U889" s="1"/>
      <c r="W889" s="195"/>
      <c r="X889" s="195"/>
    </row>
    <row r="890" spans="17:24" x14ac:dyDescent="0.25">
      <c r="Q890" s="195"/>
      <c r="R890" s="195"/>
      <c r="S890" s="195"/>
      <c r="T890" s="195"/>
      <c r="U890" s="1"/>
      <c r="W890" s="195"/>
      <c r="X890" s="195"/>
    </row>
    <row r="891" spans="17:24" x14ac:dyDescent="0.25">
      <c r="Q891" s="195"/>
      <c r="R891" s="195"/>
      <c r="S891" s="195"/>
      <c r="T891" s="195"/>
      <c r="U891" s="1"/>
      <c r="W891" s="195"/>
      <c r="X891" s="195"/>
    </row>
    <row r="892" spans="17:24" x14ac:dyDescent="0.25">
      <c r="Q892" s="195"/>
      <c r="R892" s="195"/>
      <c r="S892" s="195"/>
      <c r="T892" s="195"/>
      <c r="U892" s="1"/>
      <c r="W892" s="195"/>
      <c r="X892" s="195"/>
    </row>
    <row r="893" spans="17:24" x14ac:dyDescent="0.25">
      <c r="Q893" s="195"/>
      <c r="R893" s="195"/>
      <c r="S893" s="195"/>
      <c r="T893" s="195"/>
      <c r="U893" s="1"/>
      <c r="W893" s="195"/>
      <c r="X893" s="195"/>
    </row>
    <row r="894" spans="17:24" x14ac:dyDescent="0.25">
      <c r="Q894" s="195"/>
      <c r="R894" s="195"/>
      <c r="S894" s="195"/>
      <c r="T894" s="195"/>
      <c r="U894" s="1"/>
      <c r="W894" s="195"/>
      <c r="X894" s="195"/>
    </row>
    <row r="895" spans="17:24" x14ac:dyDescent="0.25">
      <c r="Q895" s="195"/>
      <c r="R895" s="195"/>
      <c r="S895" s="195"/>
      <c r="T895" s="195"/>
      <c r="U895" s="1"/>
      <c r="W895" s="195"/>
      <c r="X895" s="195"/>
    </row>
    <row r="896" spans="17:24" x14ac:dyDescent="0.25">
      <c r="Q896" s="195"/>
      <c r="R896" s="195"/>
      <c r="S896" s="195"/>
      <c r="T896" s="195"/>
      <c r="U896" s="1"/>
      <c r="W896" s="195"/>
      <c r="X896" s="195"/>
    </row>
    <row r="897" spans="17:24" x14ac:dyDescent="0.25">
      <c r="Q897" s="195"/>
      <c r="R897" s="195"/>
      <c r="S897" s="195"/>
      <c r="T897" s="195"/>
      <c r="U897" s="1"/>
      <c r="W897" s="195"/>
      <c r="X897" s="195"/>
    </row>
    <row r="898" spans="17:24" x14ac:dyDescent="0.25">
      <c r="Q898" s="195"/>
      <c r="R898" s="195"/>
      <c r="S898" s="195"/>
      <c r="T898" s="195"/>
      <c r="U898" s="1"/>
      <c r="W898" s="195"/>
      <c r="X898" s="195"/>
    </row>
    <row r="899" spans="17:24" x14ac:dyDescent="0.25">
      <c r="Q899" s="195"/>
      <c r="R899" s="195"/>
      <c r="S899" s="195"/>
      <c r="T899" s="195"/>
      <c r="U899" s="1"/>
      <c r="W899" s="195"/>
      <c r="X899" s="195"/>
    </row>
    <row r="900" spans="17:24" x14ac:dyDescent="0.25">
      <c r="Q900" s="195"/>
      <c r="R900" s="195"/>
      <c r="S900" s="195"/>
      <c r="T900" s="195"/>
      <c r="U900" s="1"/>
      <c r="W900" s="195"/>
      <c r="X900" s="195"/>
    </row>
    <row r="901" spans="17:24" x14ac:dyDescent="0.25">
      <c r="Q901" s="195"/>
      <c r="R901" s="195"/>
      <c r="S901" s="195"/>
      <c r="T901" s="195"/>
      <c r="U901" s="1"/>
      <c r="W901" s="195"/>
      <c r="X901" s="195"/>
    </row>
    <row r="902" spans="17:24" x14ac:dyDescent="0.25">
      <c r="Q902" s="195"/>
      <c r="R902" s="195"/>
      <c r="S902" s="195"/>
      <c r="T902" s="195"/>
      <c r="U902" s="1"/>
      <c r="W902" s="195"/>
      <c r="X902" s="195"/>
    </row>
    <row r="903" spans="17:24" x14ac:dyDescent="0.25">
      <c r="Q903" s="195"/>
      <c r="R903" s="195"/>
      <c r="S903" s="195"/>
      <c r="T903" s="195"/>
      <c r="U903" s="1"/>
      <c r="W903" s="195"/>
      <c r="X903" s="195"/>
    </row>
    <row r="904" spans="17:24" x14ac:dyDescent="0.25">
      <c r="Q904" s="195"/>
      <c r="R904" s="195"/>
      <c r="S904" s="195"/>
      <c r="T904" s="195"/>
      <c r="U904" s="1"/>
      <c r="W904" s="195"/>
      <c r="X904" s="195"/>
    </row>
    <row r="905" spans="17:24" x14ac:dyDescent="0.25">
      <c r="Q905" s="195"/>
      <c r="R905" s="195"/>
      <c r="S905" s="195"/>
      <c r="T905" s="195"/>
      <c r="U905" s="1"/>
      <c r="W905" s="195"/>
      <c r="X905" s="195"/>
    </row>
    <row r="906" spans="17:24" x14ac:dyDescent="0.25">
      <c r="Q906" s="195"/>
      <c r="R906" s="195"/>
      <c r="S906" s="195"/>
      <c r="T906" s="195"/>
      <c r="U906" s="1"/>
      <c r="W906" s="195"/>
      <c r="X906" s="195"/>
    </row>
    <row r="907" spans="17:24" x14ac:dyDescent="0.25">
      <c r="Q907" s="195"/>
      <c r="R907" s="195"/>
      <c r="S907" s="195"/>
      <c r="T907" s="195"/>
      <c r="U907" s="1"/>
      <c r="W907" s="195"/>
      <c r="X907" s="195"/>
    </row>
    <row r="908" spans="17:24" x14ac:dyDescent="0.25">
      <c r="Q908" s="195"/>
      <c r="R908" s="195"/>
      <c r="S908" s="195"/>
      <c r="T908" s="195"/>
      <c r="U908" s="1"/>
      <c r="W908" s="195"/>
      <c r="X908" s="195"/>
    </row>
    <row r="909" spans="17:24" x14ac:dyDescent="0.25">
      <c r="Q909" s="195"/>
      <c r="R909" s="195"/>
      <c r="S909" s="195"/>
      <c r="T909" s="195"/>
      <c r="U909" s="1"/>
      <c r="W909" s="195"/>
      <c r="X909" s="195"/>
    </row>
    <row r="910" spans="17:24" x14ac:dyDescent="0.25">
      <c r="Q910" s="195"/>
      <c r="R910" s="195"/>
      <c r="S910" s="195"/>
      <c r="T910" s="195"/>
      <c r="U910" s="1"/>
      <c r="W910" s="195"/>
      <c r="X910" s="195"/>
    </row>
    <row r="911" spans="17:24" x14ac:dyDescent="0.25">
      <c r="Q911" s="195"/>
      <c r="R911" s="195"/>
      <c r="S911" s="195"/>
      <c r="T911" s="195"/>
      <c r="U911" s="1"/>
      <c r="W911" s="195"/>
      <c r="X911" s="195"/>
    </row>
    <row r="912" spans="17:24" x14ac:dyDescent="0.25">
      <c r="Q912" s="195"/>
      <c r="R912" s="195"/>
      <c r="S912" s="195"/>
      <c r="T912" s="195"/>
      <c r="U912" s="1"/>
      <c r="W912" s="195"/>
      <c r="X912" s="195"/>
    </row>
    <row r="913" spans="17:24" x14ac:dyDescent="0.25">
      <c r="Q913" s="195"/>
      <c r="R913" s="195"/>
      <c r="S913" s="195"/>
      <c r="T913" s="195"/>
      <c r="U913" s="1"/>
      <c r="W913" s="195"/>
      <c r="X913" s="195"/>
    </row>
    <row r="914" spans="17:24" x14ac:dyDescent="0.25">
      <c r="Q914" s="195"/>
      <c r="R914" s="195"/>
      <c r="S914" s="195"/>
      <c r="T914" s="195"/>
      <c r="U914" s="1"/>
      <c r="W914" s="195"/>
      <c r="X914" s="195"/>
    </row>
    <row r="915" spans="17:24" x14ac:dyDescent="0.25">
      <c r="Q915" s="195"/>
      <c r="R915" s="195"/>
      <c r="S915" s="195"/>
      <c r="T915" s="195"/>
      <c r="U915" s="1"/>
      <c r="W915" s="195"/>
      <c r="X915" s="195"/>
    </row>
    <row r="916" spans="17:24" x14ac:dyDescent="0.25">
      <c r="Q916" s="195"/>
      <c r="R916" s="195"/>
      <c r="S916" s="195"/>
      <c r="T916" s="195"/>
      <c r="U916" s="1"/>
      <c r="W916" s="195"/>
      <c r="X916" s="195"/>
    </row>
    <row r="917" spans="17:24" x14ac:dyDescent="0.25">
      <c r="Q917" s="195"/>
      <c r="R917" s="195"/>
      <c r="S917" s="195"/>
      <c r="T917" s="195"/>
      <c r="U917" s="1"/>
      <c r="W917" s="195"/>
      <c r="X917" s="195"/>
    </row>
    <row r="918" spans="17:24" x14ac:dyDescent="0.25">
      <c r="Q918" s="195"/>
      <c r="R918" s="195"/>
      <c r="S918" s="195"/>
      <c r="T918" s="195"/>
      <c r="U918" s="1"/>
      <c r="W918" s="195"/>
      <c r="X918" s="195"/>
    </row>
    <row r="919" spans="17:24" x14ac:dyDescent="0.25">
      <c r="Q919" s="195"/>
      <c r="R919" s="195"/>
      <c r="S919" s="195"/>
      <c r="T919" s="195"/>
      <c r="U919" s="1"/>
      <c r="W919" s="195"/>
      <c r="X919" s="195"/>
    </row>
    <row r="920" spans="17:24" x14ac:dyDescent="0.25">
      <c r="Q920" s="195"/>
      <c r="R920" s="195"/>
      <c r="S920" s="195"/>
      <c r="T920" s="195"/>
      <c r="U920" s="1"/>
      <c r="W920" s="195"/>
      <c r="X920" s="195"/>
    </row>
    <row r="921" spans="17:24" x14ac:dyDescent="0.25">
      <c r="Q921" s="195"/>
      <c r="R921" s="195"/>
      <c r="S921" s="195"/>
      <c r="T921" s="195"/>
      <c r="U921" s="1"/>
      <c r="W921" s="195"/>
      <c r="X921" s="195"/>
    </row>
    <row r="922" spans="17:24" x14ac:dyDescent="0.25">
      <c r="Q922" s="195"/>
      <c r="R922" s="195"/>
      <c r="S922" s="195"/>
      <c r="T922" s="195"/>
      <c r="U922" s="1"/>
      <c r="W922" s="195"/>
      <c r="X922" s="195"/>
    </row>
    <row r="923" spans="17:24" x14ac:dyDescent="0.25">
      <c r="Q923" s="195"/>
      <c r="R923" s="195"/>
      <c r="S923" s="195"/>
      <c r="T923" s="195"/>
      <c r="U923" s="1"/>
      <c r="W923" s="195"/>
      <c r="X923" s="195"/>
    </row>
    <row r="924" spans="17:24" x14ac:dyDescent="0.25">
      <c r="Q924" s="195"/>
      <c r="R924" s="195"/>
      <c r="S924" s="195"/>
      <c r="T924" s="195"/>
      <c r="U924" s="1"/>
      <c r="W924" s="195"/>
      <c r="X924" s="195"/>
    </row>
    <row r="925" spans="17:24" x14ac:dyDescent="0.25">
      <c r="Q925" s="195"/>
      <c r="R925" s="195"/>
      <c r="S925" s="195"/>
      <c r="T925" s="195"/>
      <c r="U925" s="1"/>
      <c r="W925" s="195"/>
      <c r="X925" s="195"/>
    </row>
    <row r="926" spans="17:24" x14ac:dyDescent="0.25">
      <c r="Q926" s="195"/>
      <c r="R926" s="195"/>
      <c r="S926" s="195"/>
      <c r="T926" s="195"/>
      <c r="U926" s="1"/>
      <c r="W926" s="195"/>
      <c r="X926" s="195"/>
    </row>
    <row r="927" spans="17:24" x14ac:dyDescent="0.25">
      <c r="Q927" s="195"/>
      <c r="R927" s="195"/>
      <c r="S927" s="195"/>
      <c r="T927" s="195"/>
      <c r="U927" s="1"/>
      <c r="W927" s="195"/>
      <c r="X927" s="195"/>
    </row>
    <row r="928" spans="17:24" x14ac:dyDescent="0.25">
      <c r="Q928" s="195"/>
      <c r="R928" s="195"/>
      <c r="S928" s="195"/>
      <c r="T928" s="195"/>
      <c r="U928" s="1"/>
      <c r="W928" s="195"/>
      <c r="X928" s="195"/>
    </row>
    <row r="929" spans="17:24" x14ac:dyDescent="0.25">
      <c r="Q929" s="195"/>
      <c r="R929" s="195"/>
      <c r="S929" s="195"/>
      <c r="T929" s="195"/>
      <c r="U929" s="1"/>
      <c r="W929" s="195"/>
      <c r="X929" s="195"/>
    </row>
    <row r="930" spans="17:24" x14ac:dyDescent="0.25">
      <c r="Q930" s="195"/>
      <c r="R930" s="195"/>
      <c r="S930" s="195"/>
      <c r="T930" s="195"/>
      <c r="U930" s="1"/>
      <c r="W930" s="195"/>
      <c r="X930" s="195"/>
    </row>
    <row r="931" spans="17:24" x14ac:dyDescent="0.25">
      <c r="Q931" s="195"/>
      <c r="R931" s="195"/>
      <c r="S931" s="195"/>
      <c r="T931" s="195"/>
      <c r="U931" s="1"/>
      <c r="W931" s="195"/>
      <c r="X931" s="195"/>
    </row>
    <row r="932" spans="17:24" x14ac:dyDescent="0.25">
      <c r="Q932" s="195"/>
      <c r="R932" s="195"/>
      <c r="S932" s="195"/>
      <c r="T932" s="195"/>
      <c r="U932" s="1"/>
      <c r="W932" s="195"/>
      <c r="X932" s="195"/>
    </row>
    <row r="933" spans="17:24" x14ac:dyDescent="0.25">
      <c r="Q933" s="195"/>
      <c r="R933" s="195"/>
      <c r="S933" s="195"/>
      <c r="T933" s="195"/>
      <c r="U933" s="1"/>
      <c r="W933" s="195"/>
      <c r="X933" s="195"/>
    </row>
    <row r="934" spans="17:24" x14ac:dyDescent="0.25">
      <c r="Q934" s="195"/>
      <c r="R934" s="195"/>
      <c r="S934" s="195"/>
      <c r="T934" s="195"/>
      <c r="U934" s="1"/>
      <c r="W934" s="195"/>
      <c r="X934" s="195"/>
    </row>
    <row r="935" spans="17:24" x14ac:dyDescent="0.25">
      <c r="Q935" s="195"/>
      <c r="R935" s="195"/>
      <c r="S935" s="195"/>
      <c r="T935" s="195"/>
      <c r="U935" s="1"/>
      <c r="W935" s="195"/>
      <c r="X935" s="195"/>
    </row>
    <row r="936" spans="17:24" x14ac:dyDescent="0.25">
      <c r="Q936" s="195"/>
      <c r="R936" s="195"/>
      <c r="S936" s="195"/>
      <c r="T936" s="195"/>
      <c r="U936" s="1"/>
      <c r="W936" s="195"/>
      <c r="X936" s="195"/>
    </row>
    <row r="937" spans="17:24" x14ac:dyDescent="0.25">
      <c r="Q937" s="195"/>
      <c r="R937" s="195"/>
      <c r="S937" s="195"/>
      <c r="T937" s="195"/>
      <c r="U937" s="1"/>
      <c r="W937" s="195"/>
      <c r="X937" s="195"/>
    </row>
    <row r="938" spans="17:24" x14ac:dyDescent="0.25">
      <c r="Q938" s="195"/>
      <c r="R938" s="195"/>
      <c r="S938" s="195"/>
      <c r="T938" s="195"/>
      <c r="U938" s="1"/>
      <c r="W938" s="195"/>
      <c r="X938" s="195"/>
    </row>
    <row r="939" spans="17:24" x14ac:dyDescent="0.25">
      <c r="Q939" s="195"/>
      <c r="R939" s="195"/>
      <c r="S939" s="195"/>
      <c r="T939" s="195"/>
      <c r="U939" s="1"/>
      <c r="W939" s="195"/>
      <c r="X939" s="195"/>
    </row>
    <row r="940" spans="17:24" x14ac:dyDescent="0.25">
      <c r="Q940" s="195"/>
      <c r="R940" s="195"/>
      <c r="S940" s="195"/>
      <c r="T940" s="195"/>
      <c r="U940" s="1"/>
      <c r="W940" s="195"/>
      <c r="X940" s="195"/>
    </row>
    <row r="941" spans="17:24" x14ac:dyDescent="0.25">
      <c r="Q941" s="195"/>
      <c r="R941" s="195"/>
      <c r="S941" s="195"/>
      <c r="T941" s="195"/>
      <c r="U941" s="1"/>
      <c r="W941" s="195"/>
      <c r="X941" s="195"/>
    </row>
    <row r="942" spans="17:24" x14ac:dyDescent="0.25">
      <c r="Q942" s="195"/>
      <c r="R942" s="195"/>
      <c r="S942" s="195"/>
      <c r="T942" s="195"/>
      <c r="U942" s="1"/>
      <c r="W942" s="195"/>
      <c r="X942" s="195"/>
    </row>
    <row r="943" spans="17:24" x14ac:dyDescent="0.25">
      <c r="Q943" s="195"/>
      <c r="R943" s="195"/>
      <c r="S943" s="195"/>
      <c r="T943" s="195"/>
      <c r="U943" s="1"/>
      <c r="W943" s="195"/>
      <c r="X943" s="195"/>
    </row>
    <row r="944" spans="17:24" x14ac:dyDescent="0.25">
      <c r="Q944" s="195"/>
      <c r="R944" s="195"/>
      <c r="S944" s="195"/>
      <c r="T944" s="195"/>
      <c r="U944" s="1"/>
      <c r="W944" s="195"/>
      <c r="X944" s="195"/>
    </row>
    <row r="945" spans="17:24" x14ac:dyDescent="0.25">
      <c r="Q945" s="195"/>
      <c r="R945" s="195"/>
      <c r="S945" s="195"/>
      <c r="T945" s="195"/>
      <c r="U945" s="1"/>
      <c r="W945" s="195"/>
      <c r="X945" s="195"/>
    </row>
    <row r="946" spans="17:24" x14ac:dyDescent="0.25">
      <c r="Q946" s="195"/>
      <c r="R946" s="195"/>
      <c r="S946" s="195"/>
      <c r="T946" s="195"/>
      <c r="U946" s="1"/>
      <c r="W946" s="195"/>
      <c r="X946" s="195"/>
    </row>
    <row r="947" spans="17:24" x14ac:dyDescent="0.25">
      <c r="Q947" s="195"/>
      <c r="R947" s="195"/>
      <c r="S947" s="195"/>
      <c r="T947" s="195"/>
      <c r="U947" s="1"/>
      <c r="W947" s="195"/>
      <c r="X947" s="195"/>
    </row>
    <row r="948" spans="17:24" x14ac:dyDescent="0.25">
      <c r="Q948" s="195"/>
      <c r="R948" s="195"/>
      <c r="S948" s="195"/>
      <c r="T948" s="195"/>
      <c r="U948" s="1"/>
      <c r="W948" s="195"/>
      <c r="X948" s="195"/>
    </row>
    <row r="949" spans="17:24" x14ac:dyDescent="0.25">
      <c r="Q949" s="195"/>
      <c r="R949" s="195"/>
      <c r="S949" s="195"/>
      <c r="T949" s="195"/>
      <c r="U949" s="1"/>
      <c r="W949" s="195"/>
      <c r="X949" s="195"/>
    </row>
    <row r="950" spans="17:24" x14ac:dyDescent="0.25">
      <c r="Q950" s="195"/>
      <c r="R950" s="195"/>
      <c r="S950" s="195"/>
      <c r="T950" s="195"/>
      <c r="U950" s="1"/>
      <c r="W950" s="195"/>
      <c r="X950" s="195"/>
    </row>
    <row r="951" spans="17:24" x14ac:dyDescent="0.25">
      <c r="Q951" s="195"/>
      <c r="R951" s="195"/>
      <c r="S951" s="195"/>
      <c r="T951" s="195"/>
      <c r="U951" s="1"/>
      <c r="W951" s="195"/>
      <c r="X951" s="195"/>
    </row>
    <row r="952" spans="17:24" x14ac:dyDescent="0.25">
      <c r="Q952" s="195"/>
      <c r="R952" s="195"/>
      <c r="S952" s="195"/>
      <c r="T952" s="195"/>
      <c r="U952" s="1"/>
      <c r="W952" s="195"/>
      <c r="X952" s="195"/>
    </row>
    <row r="953" spans="17:24" x14ac:dyDescent="0.25">
      <c r="Q953" s="195"/>
      <c r="R953" s="195"/>
      <c r="S953" s="195"/>
      <c r="T953" s="195"/>
      <c r="U953" s="1"/>
      <c r="W953" s="195"/>
      <c r="X953" s="195"/>
    </row>
    <row r="954" spans="17:24" x14ac:dyDescent="0.25">
      <c r="Q954" s="195"/>
      <c r="R954" s="195"/>
      <c r="S954" s="195"/>
      <c r="T954" s="195"/>
      <c r="U954" s="1"/>
      <c r="W954" s="195"/>
      <c r="X954" s="195"/>
    </row>
    <row r="955" spans="17:24" x14ac:dyDescent="0.25">
      <c r="Q955" s="195"/>
      <c r="R955" s="195"/>
      <c r="S955" s="195"/>
      <c r="T955" s="195"/>
      <c r="U955" s="1"/>
      <c r="W955" s="195"/>
      <c r="X955" s="195"/>
    </row>
    <row r="956" spans="17:24" x14ac:dyDescent="0.25">
      <c r="Q956" s="195"/>
      <c r="R956" s="195"/>
      <c r="S956" s="195"/>
      <c r="T956" s="195"/>
      <c r="U956" s="1"/>
      <c r="W956" s="195"/>
      <c r="X956" s="195"/>
    </row>
    <row r="957" spans="17:24" x14ac:dyDescent="0.25">
      <c r="Q957" s="195"/>
      <c r="R957" s="195"/>
      <c r="S957" s="195"/>
      <c r="T957" s="195"/>
      <c r="U957" s="1"/>
      <c r="W957" s="195"/>
      <c r="X957" s="195"/>
    </row>
    <row r="958" spans="17:24" x14ac:dyDescent="0.25">
      <c r="Q958" s="195"/>
      <c r="R958" s="195"/>
      <c r="S958" s="195"/>
      <c r="T958" s="195"/>
      <c r="U958" s="1"/>
      <c r="W958" s="195"/>
      <c r="X958" s="195"/>
    </row>
    <row r="959" spans="17:24" x14ac:dyDescent="0.25">
      <c r="Q959" s="195"/>
      <c r="R959" s="195"/>
      <c r="S959" s="195"/>
      <c r="T959" s="195"/>
      <c r="U959" s="1"/>
      <c r="W959" s="195"/>
      <c r="X959" s="195"/>
    </row>
    <row r="960" spans="17:24" x14ac:dyDescent="0.25">
      <c r="Q960" s="195"/>
      <c r="R960" s="195"/>
      <c r="S960" s="195"/>
      <c r="T960" s="195"/>
      <c r="U960" s="1"/>
      <c r="W960" s="195"/>
      <c r="X960" s="195"/>
    </row>
    <row r="961" spans="17:24" x14ac:dyDescent="0.25">
      <c r="Q961" s="195"/>
      <c r="R961" s="195"/>
      <c r="S961" s="195"/>
      <c r="T961" s="195"/>
      <c r="U961" s="1"/>
      <c r="W961" s="195"/>
      <c r="X961" s="195"/>
    </row>
    <row r="962" spans="17:24" x14ac:dyDescent="0.25">
      <c r="Q962" s="195"/>
      <c r="R962" s="195"/>
      <c r="S962" s="195"/>
      <c r="T962" s="195"/>
      <c r="U962" s="1"/>
      <c r="W962" s="195"/>
      <c r="X962" s="195"/>
    </row>
    <row r="963" spans="17:24" x14ac:dyDescent="0.25">
      <c r="Q963" s="195"/>
      <c r="R963" s="195"/>
      <c r="S963" s="195"/>
      <c r="T963" s="195"/>
      <c r="U963" s="1"/>
      <c r="W963" s="195"/>
      <c r="X963" s="195"/>
    </row>
    <row r="964" spans="17:24" x14ac:dyDescent="0.25">
      <c r="Q964" s="195"/>
      <c r="R964" s="195"/>
      <c r="S964" s="195"/>
      <c r="T964" s="195"/>
      <c r="U964" s="1"/>
      <c r="W964" s="195"/>
      <c r="X964" s="195"/>
    </row>
    <row r="965" spans="17:24" x14ac:dyDescent="0.25">
      <c r="Q965" s="195"/>
      <c r="R965" s="195"/>
      <c r="S965" s="195"/>
      <c r="T965" s="195"/>
      <c r="U965" s="1"/>
      <c r="W965" s="195"/>
      <c r="X965" s="195"/>
    </row>
    <row r="966" spans="17:24" x14ac:dyDescent="0.25">
      <c r="Q966" s="195"/>
      <c r="R966" s="195"/>
      <c r="S966" s="195"/>
      <c r="T966" s="195"/>
      <c r="U966" s="1"/>
      <c r="W966" s="195"/>
      <c r="X966" s="195"/>
    </row>
    <row r="967" spans="17:24" x14ac:dyDescent="0.25">
      <c r="Q967" s="195"/>
      <c r="R967" s="195"/>
      <c r="S967" s="195"/>
      <c r="T967" s="195"/>
      <c r="U967" s="1"/>
      <c r="W967" s="195"/>
      <c r="X967" s="195"/>
    </row>
    <row r="968" spans="17:24" x14ac:dyDescent="0.25">
      <c r="Q968" s="195"/>
      <c r="R968" s="195"/>
      <c r="S968" s="195"/>
      <c r="T968" s="195"/>
      <c r="U968" s="1"/>
      <c r="W968" s="195"/>
      <c r="X968" s="195"/>
    </row>
    <row r="969" spans="17:24" x14ac:dyDescent="0.25">
      <c r="Q969" s="195"/>
      <c r="R969" s="195"/>
      <c r="S969" s="195"/>
      <c r="T969" s="195"/>
      <c r="U969" s="1"/>
      <c r="W969" s="195"/>
      <c r="X969" s="195"/>
    </row>
    <row r="970" spans="17:24" x14ac:dyDescent="0.25">
      <c r="Q970" s="195"/>
      <c r="R970" s="195"/>
      <c r="S970" s="195"/>
      <c r="T970" s="195"/>
      <c r="U970" s="1"/>
      <c r="W970" s="195"/>
      <c r="X970" s="195"/>
    </row>
    <row r="971" spans="17:24" x14ac:dyDescent="0.25">
      <c r="Q971" s="195"/>
      <c r="R971" s="195"/>
      <c r="S971" s="195"/>
      <c r="T971" s="195"/>
      <c r="U971" s="1"/>
      <c r="W971" s="195"/>
      <c r="X971" s="195"/>
    </row>
    <row r="972" spans="17:24" x14ac:dyDescent="0.25">
      <c r="Q972" s="195"/>
      <c r="R972" s="195"/>
      <c r="S972" s="195"/>
      <c r="T972" s="195"/>
      <c r="U972" s="1"/>
      <c r="W972" s="195"/>
      <c r="X972" s="195"/>
    </row>
    <row r="973" spans="17:24" x14ac:dyDescent="0.25">
      <c r="Q973" s="195"/>
      <c r="R973" s="195"/>
      <c r="S973" s="195"/>
      <c r="T973" s="195"/>
      <c r="U973" s="1"/>
      <c r="W973" s="195"/>
      <c r="X973" s="195"/>
    </row>
    <row r="974" spans="17:24" x14ac:dyDescent="0.25">
      <c r="Q974" s="195"/>
      <c r="R974" s="195"/>
      <c r="S974" s="195"/>
      <c r="T974" s="195"/>
      <c r="U974" s="1"/>
      <c r="W974" s="195"/>
      <c r="X974" s="195"/>
    </row>
    <row r="975" spans="17:24" x14ac:dyDescent="0.25">
      <c r="Q975" s="195"/>
      <c r="R975" s="195"/>
      <c r="S975" s="195"/>
      <c r="T975" s="195"/>
      <c r="U975" s="1"/>
      <c r="W975" s="195"/>
      <c r="X975" s="195"/>
    </row>
    <row r="976" spans="17:24" x14ac:dyDescent="0.25">
      <c r="Q976" s="195"/>
      <c r="R976" s="195"/>
      <c r="S976" s="195"/>
      <c r="T976" s="195"/>
      <c r="U976" s="1"/>
      <c r="W976" s="195"/>
      <c r="X976" s="195"/>
    </row>
    <row r="977" spans="17:24" x14ac:dyDescent="0.25">
      <c r="Q977" s="195"/>
      <c r="R977" s="195"/>
      <c r="S977" s="195"/>
      <c r="T977" s="195"/>
      <c r="U977" s="1"/>
      <c r="W977" s="195"/>
      <c r="X977" s="195"/>
    </row>
    <row r="978" spans="17:24" x14ac:dyDescent="0.25">
      <c r="Q978" s="195"/>
      <c r="R978" s="195"/>
      <c r="S978" s="195"/>
      <c r="T978" s="195"/>
      <c r="U978" s="1"/>
      <c r="W978" s="195"/>
      <c r="X978" s="195"/>
    </row>
    <row r="979" spans="17:24" x14ac:dyDescent="0.25">
      <c r="Q979" s="195"/>
      <c r="R979" s="195"/>
      <c r="S979" s="195"/>
      <c r="T979" s="195"/>
      <c r="U979" s="1"/>
      <c r="W979" s="195"/>
      <c r="X979" s="195"/>
    </row>
    <row r="980" spans="17:24" x14ac:dyDescent="0.25">
      <c r="Q980" s="195"/>
      <c r="R980" s="195"/>
      <c r="S980" s="195"/>
      <c r="T980" s="195"/>
      <c r="U980" s="1"/>
      <c r="W980" s="195"/>
      <c r="X980" s="195"/>
    </row>
    <row r="981" spans="17:24" x14ac:dyDescent="0.25">
      <c r="Q981" s="195"/>
      <c r="R981" s="195"/>
      <c r="S981" s="195"/>
      <c r="T981" s="195"/>
      <c r="U981" s="1"/>
      <c r="W981" s="195"/>
      <c r="X981" s="195"/>
    </row>
    <row r="982" spans="17:24" x14ac:dyDescent="0.25">
      <c r="Q982" s="195"/>
      <c r="R982" s="195"/>
      <c r="S982" s="195"/>
      <c r="T982" s="195"/>
      <c r="U982" s="1"/>
      <c r="W982" s="195"/>
      <c r="X982" s="195"/>
    </row>
    <row r="983" spans="17:24" x14ac:dyDescent="0.25">
      <c r="Q983" s="195"/>
      <c r="R983" s="195"/>
      <c r="S983" s="195"/>
      <c r="T983" s="195"/>
      <c r="U983" s="1"/>
      <c r="W983" s="195"/>
      <c r="X983" s="195"/>
    </row>
    <row r="984" spans="17:24" x14ac:dyDescent="0.25">
      <c r="Q984" s="195"/>
      <c r="R984" s="195"/>
      <c r="S984" s="195"/>
      <c r="T984" s="195"/>
      <c r="U984" s="1"/>
      <c r="W984" s="195"/>
      <c r="X984" s="195"/>
    </row>
    <row r="985" spans="17:24" x14ac:dyDescent="0.25">
      <c r="Q985" s="195"/>
      <c r="R985" s="195"/>
      <c r="S985" s="195"/>
      <c r="T985" s="195"/>
      <c r="U985" s="1"/>
      <c r="W985" s="195"/>
      <c r="X985" s="195"/>
    </row>
    <row r="986" spans="17:24" x14ac:dyDescent="0.25">
      <c r="Q986" s="195"/>
      <c r="R986" s="195"/>
      <c r="S986" s="195"/>
      <c r="T986" s="195"/>
      <c r="U986" s="1"/>
      <c r="W986" s="195"/>
      <c r="X986" s="195"/>
    </row>
    <row r="987" spans="17:24" x14ac:dyDescent="0.25">
      <c r="Q987" s="195"/>
      <c r="R987" s="195"/>
      <c r="S987" s="195"/>
      <c r="T987" s="195"/>
      <c r="U987" s="1"/>
      <c r="W987" s="195"/>
      <c r="X987" s="195"/>
    </row>
    <row r="988" spans="17:24" x14ac:dyDescent="0.25">
      <c r="Q988" s="195"/>
      <c r="R988" s="195"/>
      <c r="S988" s="195"/>
      <c r="T988" s="195"/>
      <c r="U988" s="1"/>
      <c r="W988" s="195"/>
      <c r="X988" s="195"/>
    </row>
    <row r="989" spans="17:24" x14ac:dyDescent="0.25">
      <c r="Q989" s="195"/>
      <c r="R989" s="195"/>
      <c r="S989" s="195"/>
      <c r="T989" s="195"/>
      <c r="U989" s="1"/>
      <c r="W989" s="195"/>
      <c r="X989" s="195"/>
    </row>
    <row r="990" spans="17:24" x14ac:dyDescent="0.25">
      <c r="Q990" s="195"/>
      <c r="R990" s="195"/>
      <c r="S990" s="195"/>
      <c r="T990" s="195"/>
      <c r="U990" s="1"/>
      <c r="W990" s="195"/>
      <c r="X990" s="195"/>
    </row>
    <row r="991" spans="17:24" x14ac:dyDescent="0.25">
      <c r="Q991" s="195"/>
      <c r="R991" s="195"/>
      <c r="S991" s="195"/>
      <c r="T991" s="195"/>
      <c r="U991" s="1"/>
      <c r="W991" s="195"/>
      <c r="X991" s="195"/>
    </row>
    <row r="992" spans="17:24" x14ac:dyDescent="0.25">
      <c r="Q992" s="195"/>
      <c r="R992" s="195"/>
      <c r="S992" s="195"/>
      <c r="T992" s="195"/>
      <c r="U992" s="1"/>
      <c r="W992" s="195"/>
      <c r="X992" s="195"/>
    </row>
    <row r="993" spans="17:24" x14ac:dyDescent="0.25">
      <c r="Q993" s="195"/>
      <c r="R993" s="195"/>
      <c r="S993" s="195"/>
      <c r="T993" s="195"/>
      <c r="U993" s="1"/>
      <c r="W993" s="195"/>
      <c r="X993" s="195"/>
    </row>
    <row r="994" spans="17:24" x14ac:dyDescent="0.25">
      <c r="Q994" s="195"/>
      <c r="R994" s="195"/>
      <c r="S994" s="195"/>
      <c r="T994" s="195"/>
      <c r="U994" s="1"/>
      <c r="W994" s="195"/>
      <c r="X994" s="195"/>
    </row>
    <row r="995" spans="17:24" x14ac:dyDescent="0.25">
      <c r="Q995" s="195"/>
      <c r="R995" s="195"/>
      <c r="S995" s="195"/>
      <c r="T995" s="195"/>
      <c r="U995" s="1"/>
      <c r="W995" s="195"/>
      <c r="X995" s="195"/>
    </row>
    <row r="996" spans="17:24" x14ac:dyDescent="0.25">
      <c r="Q996" s="195"/>
      <c r="R996" s="195"/>
      <c r="S996" s="195"/>
      <c r="T996" s="195"/>
      <c r="U996" s="1"/>
      <c r="W996" s="195"/>
      <c r="X996" s="195"/>
    </row>
    <row r="997" spans="17:24" x14ac:dyDescent="0.25">
      <c r="Q997" s="195"/>
      <c r="R997" s="195"/>
      <c r="S997" s="195"/>
      <c r="T997" s="195"/>
      <c r="U997" s="1"/>
      <c r="W997" s="195"/>
      <c r="X997" s="195"/>
    </row>
    <row r="998" spans="17:24" x14ac:dyDescent="0.25">
      <c r="Q998" s="195"/>
      <c r="R998" s="195"/>
      <c r="S998" s="195"/>
      <c r="T998" s="195"/>
      <c r="U998" s="1"/>
      <c r="W998" s="195"/>
      <c r="X998" s="195"/>
    </row>
    <row r="999" spans="17:24" x14ac:dyDescent="0.25">
      <c r="Q999" s="195"/>
      <c r="R999" s="195"/>
      <c r="S999" s="195"/>
      <c r="T999" s="195"/>
      <c r="U999" s="1"/>
      <c r="W999" s="195"/>
      <c r="X999" s="195"/>
    </row>
    <row r="1000" spans="17:24" x14ac:dyDescent="0.25">
      <c r="Q1000" s="195"/>
      <c r="R1000" s="195"/>
      <c r="S1000" s="195"/>
      <c r="T1000" s="195"/>
      <c r="U1000" s="1"/>
      <c r="W1000" s="195"/>
      <c r="X1000" s="195"/>
    </row>
    <row r="1001" spans="17:24" x14ac:dyDescent="0.25">
      <c r="Q1001" s="195"/>
      <c r="R1001" s="195"/>
      <c r="S1001" s="195"/>
      <c r="T1001" s="195"/>
      <c r="U1001" s="1"/>
      <c r="W1001" s="195"/>
      <c r="X1001" s="195"/>
    </row>
    <row r="1002" spans="17:24" x14ac:dyDescent="0.25">
      <c r="Q1002" s="195"/>
      <c r="R1002" s="195"/>
      <c r="S1002" s="195"/>
      <c r="T1002" s="195"/>
      <c r="U1002" s="1"/>
      <c r="W1002" s="195"/>
      <c r="X1002" s="195"/>
    </row>
    <row r="1003" spans="17:24" x14ac:dyDescent="0.25">
      <c r="Q1003" s="195"/>
      <c r="R1003" s="195"/>
      <c r="S1003" s="195"/>
      <c r="T1003" s="195"/>
      <c r="U1003" s="1"/>
      <c r="W1003" s="195"/>
      <c r="X1003" s="195"/>
    </row>
    <row r="1004" spans="17:24" x14ac:dyDescent="0.25">
      <c r="Q1004" s="195"/>
      <c r="R1004" s="195"/>
      <c r="S1004" s="195"/>
      <c r="T1004" s="195"/>
      <c r="U1004" s="1"/>
      <c r="W1004" s="195"/>
      <c r="X1004" s="195"/>
    </row>
    <row r="1005" spans="17:24" x14ac:dyDescent="0.25">
      <c r="Q1005" s="195"/>
      <c r="R1005" s="195"/>
      <c r="S1005" s="195"/>
      <c r="T1005" s="195"/>
      <c r="U1005" s="1"/>
      <c r="W1005" s="195"/>
      <c r="X1005" s="195"/>
    </row>
    <row r="1006" spans="17:24" x14ac:dyDescent="0.25">
      <c r="Q1006" s="195"/>
      <c r="R1006" s="195"/>
      <c r="S1006" s="195"/>
      <c r="T1006" s="195"/>
      <c r="U1006" s="1"/>
      <c r="W1006" s="195"/>
      <c r="X1006" s="195"/>
    </row>
    <row r="1007" spans="17:24" x14ac:dyDescent="0.25">
      <c r="Q1007" s="195"/>
      <c r="R1007" s="195"/>
      <c r="S1007" s="195"/>
      <c r="T1007" s="195"/>
      <c r="U1007" s="1"/>
      <c r="W1007" s="195"/>
      <c r="X1007" s="195"/>
    </row>
    <row r="1008" spans="17:24" x14ac:dyDescent="0.25">
      <c r="Q1008" s="195"/>
      <c r="R1008" s="195"/>
      <c r="S1008" s="195"/>
      <c r="T1008" s="195"/>
      <c r="U1008" s="1"/>
      <c r="W1008" s="195"/>
      <c r="X1008" s="195"/>
    </row>
    <row r="1009" spans="17:24" x14ac:dyDescent="0.25">
      <c r="Q1009" s="195"/>
      <c r="R1009" s="195"/>
      <c r="S1009" s="195"/>
      <c r="T1009" s="195"/>
      <c r="U1009" s="1"/>
      <c r="W1009" s="195"/>
      <c r="X1009" s="195"/>
    </row>
    <row r="1010" spans="17:24" x14ac:dyDescent="0.25">
      <c r="Q1010" s="195"/>
      <c r="R1010" s="195"/>
      <c r="S1010" s="195"/>
      <c r="T1010" s="195"/>
      <c r="U1010" s="1"/>
      <c r="W1010" s="195"/>
      <c r="X1010" s="195"/>
    </row>
    <row r="1011" spans="17:24" x14ac:dyDescent="0.25">
      <c r="Q1011" s="195"/>
      <c r="R1011" s="195"/>
      <c r="S1011" s="195"/>
      <c r="T1011" s="195"/>
      <c r="U1011" s="1"/>
      <c r="W1011" s="195"/>
      <c r="X1011" s="195"/>
    </row>
    <row r="1012" spans="17:24" x14ac:dyDescent="0.25">
      <c r="Q1012" s="195"/>
      <c r="R1012" s="195"/>
      <c r="S1012" s="195"/>
      <c r="T1012" s="195"/>
      <c r="U1012" s="1"/>
      <c r="W1012" s="195"/>
      <c r="X1012" s="195"/>
    </row>
    <row r="1013" spans="17:24" x14ac:dyDescent="0.25">
      <c r="Q1013" s="195"/>
      <c r="R1013" s="195"/>
      <c r="S1013" s="195"/>
      <c r="T1013" s="195"/>
      <c r="U1013" s="1"/>
      <c r="W1013" s="195"/>
      <c r="X1013" s="195"/>
    </row>
    <row r="1014" spans="17:24" x14ac:dyDescent="0.25">
      <c r="Q1014" s="195"/>
      <c r="R1014" s="195"/>
      <c r="S1014" s="195"/>
      <c r="T1014" s="195"/>
      <c r="U1014" s="1"/>
      <c r="W1014" s="195"/>
      <c r="X1014" s="195"/>
    </row>
    <row r="1015" spans="17:24" x14ac:dyDescent="0.25">
      <c r="Q1015" s="195"/>
      <c r="R1015" s="195"/>
      <c r="S1015" s="195"/>
      <c r="T1015" s="195"/>
      <c r="U1015" s="1"/>
      <c r="W1015" s="195"/>
      <c r="X1015" s="195"/>
    </row>
    <row r="1016" spans="17:24" x14ac:dyDescent="0.25">
      <c r="Q1016" s="195"/>
      <c r="R1016" s="195"/>
      <c r="S1016" s="195"/>
      <c r="T1016" s="195"/>
      <c r="U1016" s="1"/>
      <c r="W1016" s="195"/>
      <c r="X1016" s="195"/>
    </row>
    <row r="1017" spans="17:24" x14ac:dyDescent="0.25">
      <c r="Q1017" s="195"/>
      <c r="R1017" s="195"/>
      <c r="S1017" s="195"/>
      <c r="T1017" s="195"/>
      <c r="U1017" s="1"/>
      <c r="W1017" s="195"/>
      <c r="X1017" s="195"/>
    </row>
    <row r="1018" spans="17:24" x14ac:dyDescent="0.25">
      <c r="Q1018" s="195"/>
      <c r="R1018" s="195"/>
      <c r="S1018" s="195"/>
      <c r="T1018" s="195"/>
      <c r="U1018" s="1"/>
      <c r="W1018" s="195"/>
      <c r="X1018" s="195"/>
    </row>
    <row r="1019" spans="17:24" x14ac:dyDescent="0.25">
      <c r="Q1019" s="195"/>
      <c r="R1019" s="195"/>
      <c r="S1019" s="195"/>
      <c r="T1019" s="195"/>
      <c r="U1019" s="1"/>
      <c r="W1019" s="195"/>
      <c r="X1019" s="195"/>
    </row>
    <row r="1020" spans="17:24" x14ac:dyDescent="0.25">
      <c r="Q1020" s="195"/>
      <c r="R1020" s="195"/>
      <c r="S1020" s="195"/>
      <c r="T1020" s="195"/>
      <c r="U1020" s="1"/>
      <c r="W1020" s="195"/>
      <c r="X1020" s="195"/>
    </row>
    <row r="1021" spans="17:24" x14ac:dyDescent="0.25">
      <c r="Q1021" s="195"/>
      <c r="R1021" s="195"/>
      <c r="S1021" s="195"/>
      <c r="T1021" s="195"/>
      <c r="U1021" s="1"/>
      <c r="W1021" s="195"/>
      <c r="X1021" s="195"/>
    </row>
    <row r="1022" spans="17:24" x14ac:dyDescent="0.25">
      <c r="Q1022" s="195"/>
      <c r="R1022" s="195"/>
      <c r="S1022" s="195"/>
      <c r="T1022" s="195"/>
      <c r="U1022" s="1"/>
      <c r="W1022" s="195"/>
      <c r="X1022" s="195"/>
    </row>
    <row r="1023" spans="17:24" x14ac:dyDescent="0.25">
      <c r="Q1023" s="195"/>
      <c r="R1023" s="195"/>
      <c r="S1023" s="195"/>
      <c r="T1023" s="195"/>
      <c r="U1023" s="1"/>
      <c r="W1023" s="195"/>
      <c r="X1023" s="195"/>
    </row>
    <row r="1024" spans="17:24" x14ac:dyDescent="0.25">
      <c r="Q1024" s="195"/>
      <c r="R1024" s="195"/>
      <c r="S1024" s="195"/>
      <c r="T1024" s="195"/>
      <c r="U1024" s="1"/>
      <c r="W1024" s="195"/>
      <c r="X1024" s="195"/>
    </row>
    <row r="1025" spans="17:24" x14ac:dyDescent="0.25">
      <c r="Q1025" s="195"/>
      <c r="R1025" s="195"/>
      <c r="S1025" s="195"/>
      <c r="T1025" s="195"/>
      <c r="U1025" s="1"/>
      <c r="W1025" s="195"/>
      <c r="X1025" s="195"/>
    </row>
    <row r="1026" spans="17:24" x14ac:dyDescent="0.25">
      <c r="Q1026" s="195"/>
      <c r="R1026" s="195"/>
      <c r="S1026" s="195"/>
      <c r="T1026" s="195"/>
      <c r="U1026" s="1"/>
      <c r="W1026" s="195"/>
      <c r="X1026" s="195"/>
    </row>
    <row r="1027" spans="17:24" x14ac:dyDescent="0.25">
      <c r="Q1027" s="195"/>
      <c r="R1027" s="195"/>
      <c r="S1027" s="195"/>
      <c r="T1027" s="195"/>
      <c r="U1027" s="1"/>
      <c r="W1027" s="195"/>
      <c r="X1027" s="195"/>
    </row>
    <row r="1028" spans="17:24" x14ac:dyDescent="0.25">
      <c r="Q1028" s="195"/>
      <c r="R1028" s="195"/>
      <c r="S1028" s="195"/>
      <c r="T1028" s="195"/>
      <c r="U1028" s="1"/>
      <c r="W1028" s="195"/>
      <c r="X1028" s="195"/>
    </row>
    <row r="1029" spans="17:24" x14ac:dyDescent="0.25">
      <c r="Q1029" s="195"/>
      <c r="R1029" s="195"/>
      <c r="S1029" s="195"/>
      <c r="T1029" s="195"/>
      <c r="U1029" s="1"/>
      <c r="W1029" s="195"/>
      <c r="X1029" s="195"/>
    </row>
    <row r="1030" spans="17:24" x14ac:dyDescent="0.25">
      <c r="Q1030" s="195"/>
      <c r="R1030" s="195"/>
      <c r="S1030" s="195"/>
      <c r="T1030" s="195"/>
      <c r="U1030" s="1"/>
      <c r="W1030" s="195"/>
      <c r="X1030" s="195"/>
    </row>
    <row r="1031" spans="17:24" x14ac:dyDescent="0.25">
      <c r="Q1031" s="195"/>
      <c r="R1031" s="195"/>
      <c r="S1031" s="195"/>
      <c r="T1031" s="195"/>
      <c r="U1031" s="1"/>
      <c r="W1031" s="195"/>
      <c r="X1031" s="195"/>
    </row>
    <row r="1032" spans="17:24" x14ac:dyDescent="0.25">
      <c r="Q1032" s="195"/>
      <c r="R1032" s="195"/>
      <c r="S1032" s="195"/>
      <c r="T1032" s="195"/>
      <c r="U1032" s="1"/>
      <c r="W1032" s="195"/>
      <c r="X1032" s="195"/>
    </row>
    <row r="1033" spans="17:24" x14ac:dyDescent="0.25">
      <c r="Q1033" s="195"/>
      <c r="R1033" s="195"/>
      <c r="S1033" s="195"/>
      <c r="T1033" s="195"/>
      <c r="U1033" s="1"/>
      <c r="W1033" s="195"/>
      <c r="X1033" s="195"/>
    </row>
    <row r="1034" spans="17:24" x14ac:dyDescent="0.25">
      <c r="Q1034" s="195"/>
      <c r="R1034" s="195"/>
      <c r="S1034" s="195"/>
      <c r="T1034" s="195"/>
      <c r="U1034" s="1"/>
      <c r="W1034" s="195"/>
      <c r="X1034" s="195"/>
    </row>
    <row r="1035" spans="17:24" x14ac:dyDescent="0.25">
      <c r="Q1035" s="195"/>
      <c r="R1035" s="195"/>
      <c r="S1035" s="195"/>
      <c r="T1035" s="195"/>
      <c r="U1035" s="1"/>
      <c r="W1035" s="195"/>
      <c r="X1035" s="195"/>
    </row>
    <row r="1036" spans="17:24" x14ac:dyDescent="0.25">
      <c r="Q1036" s="195"/>
      <c r="R1036" s="195"/>
      <c r="S1036" s="195"/>
      <c r="T1036" s="195"/>
      <c r="U1036" s="1"/>
      <c r="W1036" s="195"/>
      <c r="X1036" s="195"/>
    </row>
    <row r="1037" spans="17:24" x14ac:dyDescent="0.25">
      <c r="Q1037" s="195"/>
      <c r="R1037" s="195"/>
      <c r="S1037" s="195"/>
      <c r="T1037" s="195"/>
      <c r="U1037" s="1"/>
      <c r="W1037" s="195"/>
      <c r="X1037" s="195"/>
    </row>
    <row r="1038" spans="17:24" x14ac:dyDescent="0.25">
      <c r="Q1038" s="195"/>
      <c r="R1038" s="195"/>
      <c r="S1038" s="195"/>
      <c r="T1038" s="195"/>
      <c r="U1038" s="1"/>
      <c r="W1038" s="195"/>
      <c r="X1038" s="195"/>
    </row>
    <row r="1039" spans="17:24" x14ac:dyDescent="0.25">
      <c r="Q1039" s="195"/>
      <c r="R1039" s="195"/>
      <c r="S1039" s="195"/>
      <c r="T1039" s="195"/>
      <c r="U1039" s="1"/>
      <c r="W1039" s="195"/>
      <c r="X1039" s="195"/>
    </row>
    <row r="1040" spans="17:24" x14ac:dyDescent="0.25">
      <c r="Q1040" s="195"/>
      <c r="R1040" s="195"/>
      <c r="S1040" s="195"/>
      <c r="T1040" s="195"/>
      <c r="U1040" s="1"/>
      <c r="W1040" s="195"/>
      <c r="X1040" s="195"/>
    </row>
    <row r="1041" spans="17:24" x14ac:dyDescent="0.25">
      <c r="Q1041" s="195"/>
      <c r="R1041" s="195"/>
      <c r="S1041" s="195"/>
      <c r="T1041" s="195"/>
      <c r="U1041" s="1"/>
      <c r="W1041" s="195"/>
      <c r="X1041" s="195"/>
    </row>
    <row r="1042" spans="17:24" x14ac:dyDescent="0.25">
      <c r="Q1042" s="195"/>
      <c r="R1042" s="195"/>
      <c r="S1042" s="195"/>
      <c r="T1042" s="195"/>
      <c r="U1042" s="1"/>
      <c r="W1042" s="195"/>
      <c r="X1042" s="195"/>
    </row>
    <row r="1043" spans="17:24" x14ac:dyDescent="0.25">
      <c r="Q1043" s="195"/>
      <c r="R1043" s="195"/>
      <c r="S1043" s="195"/>
      <c r="T1043" s="195"/>
      <c r="U1043" s="1"/>
      <c r="W1043" s="195"/>
      <c r="X1043" s="195"/>
    </row>
    <row r="1044" spans="17:24" x14ac:dyDescent="0.25">
      <c r="Q1044" s="195"/>
      <c r="R1044" s="195"/>
      <c r="S1044" s="195"/>
      <c r="T1044" s="195"/>
      <c r="U1044" s="1"/>
      <c r="W1044" s="195"/>
      <c r="X1044" s="195"/>
    </row>
    <row r="1045" spans="17:24" x14ac:dyDescent="0.25">
      <c r="Q1045" s="195"/>
      <c r="R1045" s="195"/>
      <c r="S1045" s="195"/>
      <c r="T1045" s="195"/>
      <c r="U1045" s="1"/>
      <c r="W1045" s="195"/>
      <c r="X1045" s="195"/>
    </row>
    <row r="1046" spans="17:24" x14ac:dyDescent="0.25">
      <c r="Q1046" s="195"/>
      <c r="R1046" s="195"/>
      <c r="S1046" s="195"/>
      <c r="T1046" s="195"/>
      <c r="U1046" s="1"/>
      <c r="W1046" s="195"/>
      <c r="X1046" s="195"/>
    </row>
    <row r="1047" spans="17:24" x14ac:dyDescent="0.25">
      <c r="Q1047" s="195"/>
      <c r="R1047" s="195"/>
      <c r="S1047" s="195"/>
      <c r="T1047" s="195"/>
      <c r="U1047" s="1"/>
      <c r="W1047" s="195"/>
      <c r="X1047" s="195"/>
    </row>
    <row r="1048" spans="17:24" x14ac:dyDescent="0.25">
      <c r="Q1048" s="195"/>
      <c r="R1048" s="195"/>
      <c r="S1048" s="195"/>
      <c r="T1048" s="195"/>
      <c r="U1048" s="1"/>
      <c r="W1048" s="195"/>
      <c r="X1048" s="195"/>
    </row>
    <row r="1049" spans="17:24" x14ac:dyDescent="0.25">
      <c r="Q1049" s="195"/>
      <c r="R1049" s="195"/>
      <c r="S1049" s="195"/>
      <c r="T1049" s="195"/>
      <c r="U1049" s="1"/>
      <c r="W1049" s="195"/>
      <c r="X1049" s="195"/>
    </row>
    <row r="1050" spans="17:24" x14ac:dyDescent="0.25">
      <c r="Q1050" s="195"/>
      <c r="R1050" s="195"/>
      <c r="S1050" s="195"/>
      <c r="T1050" s="195"/>
      <c r="U1050" s="1"/>
      <c r="W1050" s="195"/>
      <c r="X1050" s="195"/>
    </row>
    <row r="1051" spans="17:24" x14ac:dyDescent="0.25">
      <c r="Q1051" s="195"/>
      <c r="R1051" s="195"/>
      <c r="S1051" s="195"/>
      <c r="T1051" s="195"/>
      <c r="U1051" s="1"/>
      <c r="W1051" s="195"/>
      <c r="X1051" s="195"/>
    </row>
    <row r="1052" spans="17:24" x14ac:dyDescent="0.25">
      <c r="Q1052" s="195"/>
      <c r="R1052" s="195"/>
      <c r="S1052" s="195"/>
      <c r="T1052" s="195"/>
      <c r="U1052" s="1"/>
      <c r="W1052" s="195"/>
      <c r="X1052" s="195"/>
    </row>
    <row r="1053" spans="17:24" x14ac:dyDescent="0.25">
      <c r="Q1053" s="195"/>
      <c r="R1053" s="195"/>
      <c r="S1053" s="195"/>
      <c r="T1053" s="195"/>
      <c r="U1053" s="1"/>
      <c r="W1053" s="195"/>
      <c r="X1053" s="195"/>
    </row>
    <row r="1054" spans="17:24" x14ac:dyDescent="0.25">
      <c r="Q1054" s="195"/>
      <c r="R1054" s="195"/>
      <c r="S1054" s="195"/>
      <c r="T1054" s="195"/>
      <c r="U1054" s="1"/>
      <c r="W1054" s="195"/>
      <c r="X1054" s="195"/>
    </row>
    <row r="1055" spans="17:24" x14ac:dyDescent="0.25">
      <c r="Q1055" s="195"/>
      <c r="R1055" s="195"/>
      <c r="S1055" s="195"/>
      <c r="T1055" s="195"/>
      <c r="U1055" s="1"/>
      <c r="W1055" s="195"/>
      <c r="X1055" s="195"/>
    </row>
    <row r="1056" spans="17:24" x14ac:dyDescent="0.25">
      <c r="Q1056" s="195"/>
      <c r="R1056" s="195"/>
      <c r="S1056" s="195"/>
      <c r="T1056" s="195"/>
      <c r="U1056" s="1"/>
      <c r="W1056" s="195"/>
      <c r="X1056" s="195"/>
    </row>
    <row r="1057" spans="17:24" x14ac:dyDescent="0.25">
      <c r="Q1057" s="195"/>
      <c r="R1057" s="195"/>
      <c r="S1057" s="195"/>
      <c r="T1057" s="195"/>
      <c r="U1057" s="1"/>
      <c r="W1057" s="195"/>
      <c r="X1057" s="195"/>
    </row>
    <row r="1058" spans="17:24" x14ac:dyDescent="0.25">
      <c r="Q1058" s="195"/>
      <c r="R1058" s="195"/>
      <c r="S1058" s="195"/>
      <c r="T1058" s="195"/>
      <c r="U1058" s="1"/>
      <c r="W1058" s="195"/>
      <c r="X1058" s="195"/>
    </row>
    <row r="1059" spans="17:24" x14ac:dyDescent="0.25">
      <c r="Q1059" s="195"/>
      <c r="R1059" s="195"/>
      <c r="S1059" s="195"/>
      <c r="T1059" s="195"/>
      <c r="U1059" s="1"/>
      <c r="W1059" s="195"/>
      <c r="X1059" s="195"/>
    </row>
    <row r="1060" spans="17:24" x14ac:dyDescent="0.25">
      <c r="Q1060" s="195"/>
      <c r="R1060" s="195"/>
      <c r="S1060" s="195"/>
      <c r="T1060" s="195"/>
      <c r="U1060" s="1"/>
      <c r="W1060" s="195"/>
      <c r="X1060" s="195"/>
    </row>
    <row r="1061" spans="17:24" x14ac:dyDescent="0.25">
      <c r="Q1061" s="195"/>
      <c r="R1061" s="195"/>
      <c r="S1061" s="195"/>
      <c r="T1061" s="195"/>
      <c r="U1061" s="1"/>
      <c r="W1061" s="195"/>
      <c r="X1061" s="195"/>
    </row>
    <row r="1062" spans="17:24" x14ac:dyDescent="0.25">
      <c r="Q1062" s="195"/>
      <c r="R1062" s="195"/>
      <c r="S1062" s="195"/>
      <c r="T1062" s="195"/>
      <c r="U1062" s="1"/>
      <c r="W1062" s="195"/>
      <c r="X1062" s="195"/>
    </row>
    <row r="1063" spans="17:24" x14ac:dyDescent="0.25">
      <c r="Q1063" s="195"/>
      <c r="R1063" s="195"/>
      <c r="S1063" s="195"/>
      <c r="T1063" s="195"/>
      <c r="U1063" s="1"/>
      <c r="W1063" s="195"/>
      <c r="X1063" s="195"/>
    </row>
    <row r="1064" spans="17:24" x14ac:dyDescent="0.25">
      <c r="Q1064" s="195"/>
      <c r="R1064" s="195"/>
      <c r="S1064" s="195"/>
      <c r="T1064" s="195"/>
      <c r="U1064" s="1"/>
      <c r="W1064" s="195"/>
      <c r="X1064" s="195"/>
    </row>
    <row r="1065" spans="17:24" x14ac:dyDescent="0.25">
      <c r="Q1065" s="195"/>
      <c r="R1065" s="195"/>
      <c r="S1065" s="195"/>
      <c r="T1065" s="195"/>
      <c r="U1065" s="1"/>
      <c r="W1065" s="195"/>
      <c r="X1065" s="195"/>
    </row>
    <row r="1066" spans="17:24" x14ac:dyDescent="0.25">
      <c r="Q1066" s="195"/>
      <c r="R1066" s="195"/>
      <c r="S1066" s="195"/>
      <c r="T1066" s="195"/>
      <c r="U1066" s="1"/>
      <c r="W1066" s="195"/>
      <c r="X1066" s="195"/>
    </row>
    <row r="1067" spans="17:24" x14ac:dyDescent="0.25">
      <c r="Q1067" s="195"/>
      <c r="R1067" s="195"/>
      <c r="S1067" s="195"/>
      <c r="T1067" s="195"/>
      <c r="U1067" s="1"/>
      <c r="W1067" s="195"/>
      <c r="X1067" s="195"/>
    </row>
    <row r="1068" spans="17:24" x14ac:dyDescent="0.25">
      <c r="Q1068" s="195"/>
      <c r="R1068" s="195"/>
      <c r="S1068" s="195"/>
      <c r="T1068" s="195"/>
      <c r="U1068" s="1"/>
      <c r="W1068" s="195"/>
      <c r="X1068" s="195"/>
    </row>
    <row r="1069" spans="17:24" x14ac:dyDescent="0.25">
      <c r="Q1069" s="195"/>
      <c r="R1069" s="195"/>
      <c r="S1069" s="195"/>
      <c r="T1069" s="195"/>
      <c r="U1069" s="1"/>
      <c r="W1069" s="195"/>
      <c r="X1069" s="195"/>
    </row>
    <row r="1070" spans="17:24" x14ac:dyDescent="0.25">
      <c r="Q1070" s="195"/>
      <c r="R1070" s="195"/>
      <c r="S1070" s="195"/>
      <c r="T1070" s="195"/>
      <c r="U1070" s="1"/>
      <c r="W1070" s="195"/>
      <c r="X1070" s="195"/>
    </row>
    <row r="1071" spans="17:24" x14ac:dyDescent="0.25">
      <c r="Q1071" s="195"/>
      <c r="R1071" s="195"/>
      <c r="S1071" s="195"/>
      <c r="T1071" s="195"/>
      <c r="U1071" s="1"/>
      <c r="W1071" s="195"/>
      <c r="X1071" s="195"/>
    </row>
    <row r="1072" spans="17:24" x14ac:dyDescent="0.25">
      <c r="Q1072" s="195"/>
      <c r="R1072" s="195"/>
      <c r="S1072" s="195"/>
      <c r="T1072" s="195"/>
      <c r="U1072" s="1"/>
      <c r="W1072" s="195"/>
      <c r="X1072" s="195"/>
    </row>
    <row r="1073" spans="17:24" x14ac:dyDescent="0.25">
      <c r="Q1073" s="195"/>
      <c r="R1073" s="195"/>
      <c r="S1073" s="195"/>
      <c r="T1073" s="195"/>
      <c r="U1073" s="1"/>
      <c r="W1073" s="195"/>
      <c r="X1073" s="195"/>
    </row>
    <row r="1074" spans="17:24" x14ac:dyDescent="0.25">
      <c r="Q1074" s="195"/>
      <c r="R1074" s="195"/>
      <c r="S1074" s="195"/>
      <c r="T1074" s="195"/>
      <c r="U1074" s="1"/>
      <c r="W1074" s="195"/>
      <c r="X1074" s="195"/>
    </row>
    <row r="1075" spans="17:24" x14ac:dyDescent="0.25">
      <c r="Q1075" s="195"/>
      <c r="R1075" s="195"/>
      <c r="S1075" s="195"/>
      <c r="T1075" s="195"/>
      <c r="U1075" s="1"/>
      <c r="W1075" s="195"/>
      <c r="X1075" s="195"/>
    </row>
    <row r="1076" spans="17:24" x14ac:dyDescent="0.25">
      <c r="Q1076" s="195"/>
      <c r="R1076" s="195"/>
      <c r="S1076" s="195"/>
      <c r="T1076" s="195"/>
      <c r="U1076" s="1"/>
      <c r="W1076" s="195"/>
      <c r="X1076" s="195"/>
    </row>
    <row r="1077" spans="17:24" x14ac:dyDescent="0.25">
      <c r="Q1077" s="195"/>
      <c r="R1077" s="195"/>
      <c r="S1077" s="195"/>
      <c r="T1077" s="195"/>
      <c r="U1077" s="1"/>
      <c r="W1077" s="195"/>
      <c r="X1077" s="195"/>
    </row>
    <row r="1078" spans="17:24" x14ac:dyDescent="0.25">
      <c r="Q1078" s="195"/>
      <c r="R1078" s="195"/>
      <c r="S1078" s="195"/>
      <c r="T1078" s="195"/>
      <c r="U1078" s="1"/>
      <c r="W1078" s="195"/>
      <c r="X1078" s="195"/>
    </row>
    <row r="1079" spans="17:24" x14ac:dyDescent="0.25">
      <c r="Q1079" s="195"/>
      <c r="R1079" s="195"/>
      <c r="S1079" s="195"/>
      <c r="T1079" s="195"/>
      <c r="U1079" s="1"/>
      <c r="W1079" s="195"/>
      <c r="X1079" s="195"/>
    </row>
    <row r="1080" spans="17:24" x14ac:dyDescent="0.25">
      <c r="Q1080" s="195"/>
      <c r="R1080" s="195"/>
      <c r="S1080" s="195"/>
      <c r="T1080" s="195"/>
      <c r="U1080" s="1"/>
      <c r="W1080" s="195"/>
      <c r="X1080" s="195"/>
    </row>
    <row r="1081" spans="17:24" x14ac:dyDescent="0.25">
      <c r="Q1081" s="195"/>
      <c r="R1081" s="195"/>
      <c r="S1081" s="195"/>
      <c r="T1081" s="195"/>
      <c r="U1081" s="1"/>
      <c r="W1081" s="195"/>
      <c r="X1081" s="195"/>
    </row>
    <row r="1082" spans="17:24" x14ac:dyDescent="0.25">
      <c r="Q1082" s="195"/>
      <c r="R1082" s="195"/>
      <c r="S1082" s="195"/>
      <c r="T1082" s="195"/>
      <c r="U1082" s="1"/>
      <c r="W1082" s="195"/>
      <c r="X1082" s="195"/>
    </row>
    <row r="1083" spans="17:24" x14ac:dyDescent="0.25">
      <c r="Q1083" s="195"/>
      <c r="R1083" s="195"/>
      <c r="S1083" s="195"/>
      <c r="T1083" s="195"/>
      <c r="U1083" s="1"/>
      <c r="W1083" s="195"/>
      <c r="X1083" s="195"/>
    </row>
    <row r="1084" spans="17:24" x14ac:dyDescent="0.25">
      <c r="Q1084" s="195"/>
      <c r="R1084" s="195"/>
      <c r="S1084" s="195"/>
      <c r="T1084" s="195"/>
      <c r="U1084" s="1"/>
      <c r="W1084" s="195"/>
      <c r="X1084" s="195"/>
    </row>
    <row r="1085" spans="17:24" x14ac:dyDescent="0.25">
      <c r="Q1085" s="195"/>
      <c r="R1085" s="195"/>
      <c r="S1085" s="195"/>
      <c r="T1085" s="195"/>
      <c r="U1085" s="1"/>
      <c r="W1085" s="195"/>
      <c r="X1085" s="195"/>
    </row>
    <row r="1086" spans="17:24" x14ac:dyDescent="0.25">
      <c r="Q1086" s="195"/>
      <c r="R1086" s="195"/>
      <c r="S1086" s="195"/>
      <c r="T1086" s="195"/>
      <c r="U1086" s="1"/>
      <c r="W1086" s="195"/>
      <c r="X1086" s="195"/>
    </row>
    <row r="1087" spans="17:24" x14ac:dyDescent="0.25">
      <c r="Q1087" s="195"/>
      <c r="R1087" s="195"/>
      <c r="S1087" s="195"/>
      <c r="T1087" s="195"/>
      <c r="U1087" s="1"/>
      <c r="W1087" s="195"/>
      <c r="X1087" s="195"/>
    </row>
    <row r="1088" spans="17:24" x14ac:dyDescent="0.25">
      <c r="Q1088" s="195"/>
      <c r="R1088" s="195"/>
      <c r="S1088" s="195"/>
      <c r="T1088" s="195"/>
      <c r="U1088" s="1"/>
      <c r="W1088" s="195"/>
      <c r="X1088" s="195"/>
    </row>
    <row r="1089" spans="17:24" x14ac:dyDescent="0.25">
      <c r="Q1089" s="195"/>
      <c r="R1089" s="195"/>
      <c r="S1089" s="195"/>
      <c r="T1089" s="195"/>
      <c r="U1089" s="1"/>
      <c r="W1089" s="195"/>
      <c r="X1089" s="195"/>
    </row>
    <row r="1090" spans="17:24" x14ac:dyDescent="0.25">
      <c r="Q1090" s="195"/>
      <c r="R1090" s="195"/>
      <c r="S1090" s="195"/>
      <c r="T1090" s="195"/>
      <c r="U1090" s="1"/>
      <c r="W1090" s="195"/>
      <c r="X1090" s="195"/>
    </row>
    <row r="1091" spans="17:24" x14ac:dyDescent="0.25">
      <c r="Q1091" s="195"/>
      <c r="R1091" s="195"/>
      <c r="S1091" s="195"/>
      <c r="T1091" s="195"/>
      <c r="U1091" s="1"/>
      <c r="W1091" s="195"/>
      <c r="X1091" s="195"/>
    </row>
    <row r="1092" spans="17:24" x14ac:dyDescent="0.25">
      <c r="Q1092" s="195"/>
      <c r="R1092" s="195"/>
      <c r="S1092" s="195"/>
      <c r="T1092" s="195"/>
      <c r="U1092" s="1"/>
      <c r="W1092" s="195"/>
      <c r="X1092" s="195"/>
    </row>
    <row r="1093" spans="17:24" x14ac:dyDescent="0.25">
      <c r="Q1093" s="195"/>
      <c r="R1093" s="195"/>
      <c r="S1093" s="195"/>
      <c r="T1093" s="195"/>
      <c r="U1093" s="1"/>
      <c r="W1093" s="195"/>
      <c r="X1093" s="195"/>
    </row>
    <row r="1094" spans="17:24" x14ac:dyDescent="0.25">
      <c r="Q1094" s="195"/>
      <c r="R1094" s="195"/>
      <c r="S1094" s="195"/>
      <c r="T1094" s="195"/>
      <c r="U1094" s="1"/>
      <c r="W1094" s="195"/>
      <c r="X1094" s="195"/>
    </row>
    <row r="1095" spans="17:24" x14ac:dyDescent="0.25">
      <c r="Q1095" s="195"/>
      <c r="R1095" s="195"/>
      <c r="S1095" s="195"/>
      <c r="T1095" s="195"/>
      <c r="U1095" s="1"/>
      <c r="W1095" s="195"/>
      <c r="X1095" s="195"/>
    </row>
    <row r="1096" spans="17:24" x14ac:dyDescent="0.25">
      <c r="Q1096" s="195"/>
      <c r="R1096" s="195"/>
      <c r="S1096" s="195"/>
      <c r="T1096" s="195"/>
      <c r="U1096" s="1"/>
      <c r="W1096" s="195"/>
      <c r="X1096" s="195"/>
    </row>
    <row r="1097" spans="17:24" x14ac:dyDescent="0.25">
      <c r="Q1097" s="195"/>
      <c r="R1097" s="195"/>
      <c r="S1097" s="195"/>
      <c r="T1097" s="195"/>
      <c r="U1097" s="1"/>
      <c r="W1097" s="195"/>
      <c r="X1097" s="195"/>
    </row>
    <row r="1098" spans="17:24" x14ac:dyDescent="0.25">
      <c r="Q1098" s="195"/>
      <c r="R1098" s="195"/>
      <c r="S1098" s="195"/>
      <c r="T1098" s="195"/>
      <c r="U1098" s="1"/>
      <c r="W1098" s="195"/>
      <c r="X1098" s="195"/>
    </row>
    <row r="1099" spans="17:24" x14ac:dyDescent="0.25">
      <c r="Q1099" s="195"/>
      <c r="R1099" s="195"/>
      <c r="S1099" s="195"/>
      <c r="T1099" s="195"/>
      <c r="U1099" s="1"/>
      <c r="W1099" s="195"/>
      <c r="X1099" s="195"/>
    </row>
    <row r="1100" spans="17:24" x14ac:dyDescent="0.25">
      <c r="Q1100" s="195"/>
      <c r="R1100" s="195"/>
      <c r="S1100" s="195"/>
      <c r="T1100" s="195"/>
      <c r="U1100" s="1"/>
      <c r="W1100" s="195"/>
      <c r="X1100" s="195"/>
    </row>
    <row r="1101" spans="17:24" x14ac:dyDescent="0.25">
      <c r="Q1101" s="195"/>
      <c r="R1101" s="195"/>
      <c r="S1101" s="195"/>
      <c r="T1101" s="195"/>
      <c r="U1101" s="1"/>
      <c r="W1101" s="195"/>
      <c r="X1101" s="195"/>
    </row>
    <row r="1102" spans="17:24" x14ac:dyDescent="0.25">
      <c r="Q1102" s="195"/>
      <c r="R1102" s="195"/>
      <c r="S1102" s="195"/>
      <c r="T1102" s="195"/>
      <c r="U1102" s="1"/>
      <c r="W1102" s="195"/>
      <c r="X1102" s="195"/>
    </row>
    <row r="1103" spans="17:24" x14ac:dyDescent="0.25">
      <c r="Q1103" s="195"/>
      <c r="R1103" s="195"/>
      <c r="S1103" s="195"/>
      <c r="T1103" s="195"/>
      <c r="U1103" s="1"/>
      <c r="W1103" s="195"/>
      <c r="X1103" s="195"/>
    </row>
    <row r="1104" spans="17:24" x14ac:dyDescent="0.25">
      <c r="Q1104" s="195"/>
      <c r="R1104" s="195"/>
      <c r="S1104" s="195"/>
      <c r="T1104" s="195"/>
      <c r="U1104" s="1"/>
      <c r="W1104" s="195"/>
      <c r="X1104" s="195"/>
    </row>
    <row r="1105" spans="17:24" x14ac:dyDescent="0.25">
      <c r="Q1105" s="195"/>
      <c r="R1105" s="195"/>
      <c r="S1105" s="195"/>
      <c r="T1105" s="195"/>
      <c r="U1105" s="1"/>
      <c r="W1105" s="195"/>
      <c r="X1105" s="195"/>
    </row>
    <row r="1106" spans="17:24" x14ac:dyDescent="0.25">
      <c r="Q1106" s="195"/>
      <c r="R1106" s="195"/>
      <c r="S1106" s="195"/>
      <c r="T1106" s="195"/>
      <c r="U1106" s="1"/>
      <c r="W1106" s="195"/>
      <c r="X1106" s="195"/>
    </row>
    <row r="1107" spans="17:24" x14ac:dyDescent="0.25">
      <c r="Q1107" s="195"/>
      <c r="R1107" s="195"/>
      <c r="S1107" s="195"/>
      <c r="T1107" s="195"/>
      <c r="U1107" s="1"/>
      <c r="W1107" s="195"/>
      <c r="X1107" s="195"/>
    </row>
    <row r="1108" spans="17:24" x14ac:dyDescent="0.25">
      <c r="Q1108" s="195"/>
      <c r="R1108" s="195"/>
      <c r="S1108" s="195"/>
      <c r="T1108" s="195"/>
      <c r="U1108" s="1"/>
      <c r="W1108" s="195"/>
      <c r="X1108" s="195"/>
    </row>
    <row r="1109" spans="17:24" x14ac:dyDescent="0.25">
      <c r="Q1109" s="195"/>
      <c r="R1109" s="195"/>
      <c r="S1109" s="195"/>
      <c r="T1109" s="195"/>
      <c r="U1109" s="1"/>
      <c r="W1109" s="195"/>
      <c r="X1109" s="195"/>
    </row>
    <row r="1110" spans="17:24" x14ac:dyDescent="0.25">
      <c r="Q1110" s="195"/>
      <c r="R1110" s="195"/>
      <c r="S1110" s="195"/>
      <c r="T1110" s="195"/>
      <c r="U1110" s="1"/>
      <c r="W1110" s="195"/>
      <c r="X1110" s="195"/>
    </row>
    <row r="1111" spans="17:24" x14ac:dyDescent="0.25">
      <c r="Q1111" s="195"/>
      <c r="R1111" s="195"/>
      <c r="S1111" s="195"/>
      <c r="T1111" s="195"/>
      <c r="U1111" s="1"/>
      <c r="W1111" s="195"/>
      <c r="X1111" s="195"/>
    </row>
    <row r="1112" spans="17:24" x14ac:dyDescent="0.25">
      <c r="Q1112" s="195"/>
      <c r="R1112" s="195"/>
      <c r="S1112" s="195"/>
      <c r="T1112" s="195"/>
      <c r="U1112" s="1"/>
      <c r="W1112" s="195"/>
      <c r="X1112" s="195"/>
    </row>
    <row r="1113" spans="17:24" x14ac:dyDescent="0.25">
      <c r="Q1113" s="195"/>
      <c r="R1113" s="195"/>
      <c r="S1113" s="195"/>
      <c r="T1113" s="195"/>
      <c r="U1113" s="1"/>
      <c r="W1113" s="195"/>
      <c r="X1113" s="195"/>
    </row>
    <row r="1114" spans="17:24" x14ac:dyDescent="0.25">
      <c r="Q1114" s="195"/>
      <c r="R1114" s="195"/>
      <c r="S1114" s="195"/>
      <c r="T1114" s="195"/>
      <c r="U1114" s="1"/>
      <c r="W1114" s="195"/>
      <c r="X1114" s="195"/>
    </row>
    <row r="1115" spans="17:24" x14ac:dyDescent="0.25">
      <c r="Q1115" s="195"/>
      <c r="R1115" s="195"/>
      <c r="S1115" s="195"/>
      <c r="T1115" s="195"/>
      <c r="U1115" s="1"/>
      <c r="W1115" s="195"/>
      <c r="X1115" s="195"/>
    </row>
    <row r="1116" spans="17:24" x14ac:dyDescent="0.25">
      <c r="Q1116" s="195"/>
      <c r="R1116" s="195"/>
      <c r="S1116" s="195"/>
      <c r="T1116" s="195"/>
      <c r="U1116" s="1"/>
      <c r="W1116" s="195"/>
      <c r="X1116" s="195"/>
    </row>
    <row r="1117" spans="17:24" x14ac:dyDescent="0.25">
      <c r="Q1117" s="195"/>
      <c r="R1117" s="195"/>
      <c r="S1117" s="195"/>
      <c r="T1117" s="195"/>
      <c r="U1117" s="1"/>
      <c r="W1117" s="195"/>
      <c r="X1117" s="195"/>
    </row>
    <row r="1118" spans="17:24" x14ac:dyDescent="0.25">
      <c r="Q1118" s="195"/>
      <c r="R1118" s="195"/>
      <c r="S1118" s="195"/>
      <c r="T1118" s="195"/>
      <c r="U1118" s="1"/>
      <c r="W1118" s="195"/>
      <c r="X1118" s="195"/>
    </row>
    <row r="1119" spans="17:24" x14ac:dyDescent="0.25">
      <c r="Q1119" s="195"/>
      <c r="R1119" s="195"/>
      <c r="S1119" s="195"/>
      <c r="T1119" s="195"/>
      <c r="U1119" s="1"/>
      <c r="W1119" s="195"/>
      <c r="X1119" s="195"/>
    </row>
    <row r="1120" spans="17:24" x14ac:dyDescent="0.25">
      <c r="Q1120" s="195"/>
      <c r="R1120" s="195"/>
      <c r="S1120" s="195"/>
      <c r="T1120" s="195"/>
      <c r="U1120" s="1"/>
      <c r="W1120" s="195"/>
      <c r="X1120" s="195"/>
    </row>
    <row r="1121" spans="17:24" x14ac:dyDescent="0.25">
      <c r="Q1121" s="195"/>
      <c r="R1121" s="195"/>
      <c r="S1121" s="195"/>
      <c r="T1121" s="195"/>
      <c r="U1121" s="1"/>
      <c r="W1121" s="195"/>
      <c r="X1121" s="195"/>
    </row>
    <row r="1122" spans="17:24" x14ac:dyDescent="0.25">
      <c r="Q1122" s="195"/>
      <c r="R1122" s="195"/>
      <c r="S1122" s="195"/>
      <c r="T1122" s="195"/>
      <c r="U1122" s="1"/>
      <c r="W1122" s="195"/>
      <c r="X1122" s="195"/>
    </row>
    <row r="1123" spans="17:24" x14ac:dyDescent="0.25">
      <c r="Q1123" s="195"/>
      <c r="R1123" s="195"/>
      <c r="S1123" s="195"/>
      <c r="T1123" s="195"/>
      <c r="U1123" s="1"/>
      <c r="W1123" s="195"/>
      <c r="X1123" s="195"/>
    </row>
    <row r="1124" spans="17:24" x14ac:dyDescent="0.25">
      <c r="Q1124" s="195"/>
      <c r="R1124" s="195"/>
      <c r="S1124" s="195"/>
      <c r="T1124" s="195"/>
      <c r="U1124" s="1"/>
      <c r="W1124" s="195"/>
      <c r="X1124" s="195"/>
    </row>
    <row r="1125" spans="17:24" x14ac:dyDescent="0.25">
      <c r="Q1125" s="195"/>
      <c r="R1125" s="195"/>
      <c r="S1125" s="195"/>
      <c r="T1125" s="195"/>
      <c r="U1125" s="1"/>
      <c r="W1125" s="195"/>
      <c r="X1125" s="195"/>
    </row>
    <row r="1126" spans="17:24" x14ac:dyDescent="0.25">
      <c r="Q1126" s="195"/>
      <c r="R1126" s="195"/>
      <c r="S1126" s="195"/>
      <c r="T1126" s="195"/>
      <c r="U1126" s="1"/>
      <c r="W1126" s="195"/>
      <c r="X1126" s="195"/>
    </row>
    <row r="1127" spans="17:24" x14ac:dyDescent="0.25">
      <c r="Q1127" s="195"/>
      <c r="R1127" s="195"/>
      <c r="S1127" s="195"/>
      <c r="T1127" s="195"/>
      <c r="U1127" s="1"/>
      <c r="W1127" s="195"/>
      <c r="X1127" s="195"/>
    </row>
    <row r="1128" spans="17:24" x14ac:dyDescent="0.25">
      <c r="Q1128" s="195"/>
      <c r="R1128" s="195"/>
      <c r="S1128" s="195"/>
      <c r="T1128" s="195"/>
      <c r="U1128" s="1"/>
      <c r="W1128" s="195"/>
      <c r="X1128" s="195"/>
    </row>
    <row r="1129" spans="17:24" x14ac:dyDescent="0.25">
      <c r="Q1129" s="195"/>
      <c r="R1129" s="195"/>
      <c r="S1129" s="195"/>
      <c r="T1129" s="195"/>
      <c r="U1129" s="1"/>
      <c r="W1129" s="195"/>
      <c r="X1129" s="195"/>
    </row>
    <row r="1130" spans="17:24" x14ac:dyDescent="0.25">
      <c r="Q1130" s="195"/>
      <c r="R1130" s="195"/>
      <c r="S1130" s="195"/>
      <c r="T1130" s="195"/>
      <c r="U1130" s="1"/>
      <c r="W1130" s="195"/>
      <c r="X1130" s="195"/>
    </row>
    <row r="1131" spans="17:24" x14ac:dyDescent="0.25">
      <c r="Q1131" s="195"/>
      <c r="R1131" s="195"/>
      <c r="S1131" s="195"/>
      <c r="T1131" s="195"/>
      <c r="U1131" s="1"/>
      <c r="W1131" s="195"/>
      <c r="X1131" s="195"/>
    </row>
    <row r="1132" spans="17:24" x14ac:dyDescent="0.25">
      <c r="Q1132" s="195"/>
      <c r="R1132" s="195"/>
      <c r="S1132" s="195"/>
      <c r="T1132" s="195"/>
      <c r="U1132" s="1"/>
      <c r="W1132" s="195"/>
      <c r="X1132" s="195"/>
    </row>
    <row r="1133" spans="17:24" x14ac:dyDescent="0.25">
      <c r="Q1133" s="195"/>
      <c r="R1133" s="195"/>
      <c r="S1133" s="195"/>
      <c r="T1133" s="195"/>
      <c r="U1133" s="1"/>
      <c r="W1133" s="195"/>
      <c r="X1133" s="195"/>
    </row>
    <row r="1134" spans="17:24" x14ac:dyDescent="0.25">
      <c r="Q1134" s="195"/>
      <c r="R1134" s="195"/>
      <c r="S1134" s="195"/>
      <c r="T1134" s="195"/>
      <c r="U1134" s="1"/>
      <c r="W1134" s="195"/>
      <c r="X1134" s="195"/>
    </row>
    <row r="1135" spans="17:24" x14ac:dyDescent="0.25">
      <c r="Q1135" s="195"/>
      <c r="R1135" s="195"/>
      <c r="S1135" s="195"/>
      <c r="T1135" s="195"/>
      <c r="U1135" s="1"/>
      <c r="W1135" s="195"/>
      <c r="X1135" s="195"/>
    </row>
    <row r="1136" spans="17:24" x14ac:dyDescent="0.25">
      <c r="Q1136" s="195"/>
      <c r="R1136" s="195"/>
      <c r="S1136" s="195"/>
      <c r="T1136" s="195"/>
      <c r="U1136" s="1"/>
      <c r="W1136" s="195"/>
      <c r="X1136" s="195"/>
    </row>
    <row r="1137" spans="17:24" x14ac:dyDescent="0.25">
      <c r="Q1137" s="195"/>
      <c r="R1137" s="195"/>
      <c r="S1137" s="195"/>
      <c r="T1137" s="195"/>
      <c r="U1137" s="1"/>
      <c r="W1137" s="195"/>
      <c r="X1137" s="195"/>
    </row>
    <row r="1138" spans="17:24" x14ac:dyDescent="0.25">
      <c r="Q1138" s="195"/>
      <c r="R1138" s="195"/>
      <c r="S1138" s="195"/>
      <c r="T1138" s="195"/>
      <c r="U1138" s="1"/>
      <c r="W1138" s="195"/>
      <c r="X1138" s="195"/>
    </row>
    <row r="1139" spans="17:24" x14ac:dyDescent="0.25">
      <c r="Q1139" s="195"/>
      <c r="R1139" s="195"/>
      <c r="S1139" s="195"/>
      <c r="T1139" s="195"/>
      <c r="U1139" s="1"/>
      <c r="W1139" s="195"/>
      <c r="X1139" s="195"/>
    </row>
    <row r="1140" spans="17:24" x14ac:dyDescent="0.25">
      <c r="Q1140" s="195"/>
      <c r="R1140" s="195"/>
      <c r="S1140" s="195"/>
      <c r="T1140" s="195"/>
      <c r="U1140" s="1"/>
      <c r="W1140" s="195"/>
      <c r="X1140" s="195"/>
    </row>
    <row r="1141" spans="17:24" x14ac:dyDescent="0.25">
      <c r="Q1141" s="195"/>
      <c r="R1141" s="195"/>
      <c r="S1141" s="195"/>
      <c r="T1141" s="195"/>
      <c r="U1141" s="1"/>
      <c r="W1141" s="195"/>
      <c r="X1141" s="195"/>
    </row>
    <row r="1142" spans="17:24" x14ac:dyDescent="0.25">
      <c r="Q1142" s="195"/>
      <c r="R1142" s="195"/>
      <c r="S1142" s="195"/>
      <c r="T1142" s="195"/>
      <c r="U1142" s="1"/>
      <c r="W1142" s="195"/>
      <c r="X1142" s="195"/>
    </row>
    <row r="1143" spans="17:24" x14ac:dyDescent="0.25">
      <c r="Q1143" s="195"/>
      <c r="R1143" s="195"/>
      <c r="S1143" s="195"/>
      <c r="T1143" s="195"/>
      <c r="U1143" s="1"/>
      <c r="W1143" s="195"/>
      <c r="X1143" s="195"/>
    </row>
    <row r="1144" spans="17:24" x14ac:dyDescent="0.25">
      <c r="Q1144" s="195"/>
      <c r="R1144" s="195"/>
      <c r="S1144" s="195"/>
      <c r="T1144" s="195"/>
      <c r="U1144" s="1"/>
      <c r="W1144" s="195"/>
      <c r="X1144" s="195"/>
    </row>
    <row r="1145" spans="17:24" x14ac:dyDescent="0.25">
      <c r="Q1145" s="195"/>
      <c r="R1145" s="195"/>
      <c r="S1145" s="195"/>
      <c r="T1145" s="195"/>
      <c r="U1145" s="1"/>
      <c r="W1145" s="195"/>
      <c r="X1145" s="195"/>
    </row>
    <row r="1146" spans="17:24" x14ac:dyDescent="0.25">
      <c r="Q1146" s="195"/>
      <c r="R1146" s="195"/>
      <c r="S1146" s="195"/>
      <c r="T1146" s="195"/>
      <c r="U1146" s="1"/>
      <c r="W1146" s="195"/>
      <c r="X1146" s="195"/>
    </row>
    <row r="1147" spans="17:24" x14ac:dyDescent="0.25">
      <c r="Q1147" s="195"/>
      <c r="R1147" s="195"/>
      <c r="S1147" s="195"/>
      <c r="T1147" s="195"/>
      <c r="U1147" s="1"/>
      <c r="W1147" s="195"/>
      <c r="X1147" s="195"/>
    </row>
    <row r="1148" spans="17:24" x14ac:dyDescent="0.25">
      <c r="Q1148" s="195"/>
      <c r="R1148" s="195"/>
      <c r="S1148" s="195"/>
      <c r="T1148" s="195"/>
      <c r="U1148" s="1"/>
      <c r="W1148" s="195"/>
      <c r="X1148" s="195"/>
    </row>
    <row r="1149" spans="17:24" x14ac:dyDescent="0.25">
      <c r="Q1149" s="195"/>
      <c r="R1149" s="195"/>
      <c r="S1149" s="195"/>
      <c r="T1149" s="195"/>
      <c r="U1149" s="1"/>
      <c r="W1149" s="195"/>
      <c r="X1149" s="195"/>
    </row>
    <row r="1150" spans="17:24" x14ac:dyDescent="0.25">
      <c r="Q1150" s="195"/>
      <c r="R1150" s="195"/>
      <c r="S1150" s="195"/>
      <c r="T1150" s="195"/>
      <c r="U1150" s="1"/>
      <c r="W1150" s="195"/>
      <c r="X1150" s="195"/>
    </row>
    <row r="1151" spans="17:24" x14ac:dyDescent="0.25">
      <c r="Q1151" s="195"/>
      <c r="R1151" s="195"/>
      <c r="S1151" s="195"/>
      <c r="T1151" s="195"/>
      <c r="U1151" s="1"/>
      <c r="W1151" s="195"/>
      <c r="X1151" s="195"/>
    </row>
    <row r="1152" spans="17:24" x14ac:dyDescent="0.25">
      <c r="Q1152" s="195"/>
      <c r="R1152" s="195"/>
      <c r="S1152" s="195"/>
      <c r="T1152" s="195"/>
      <c r="U1152" s="1"/>
      <c r="W1152" s="195"/>
      <c r="X1152" s="195"/>
    </row>
    <row r="1153" spans="17:24" x14ac:dyDescent="0.25">
      <c r="Q1153" s="195"/>
      <c r="R1153" s="195"/>
      <c r="S1153" s="195"/>
      <c r="T1153" s="195"/>
      <c r="U1153" s="1"/>
      <c r="W1153" s="195"/>
      <c r="X1153" s="195"/>
    </row>
    <row r="1154" spans="17:24" x14ac:dyDescent="0.25">
      <c r="Q1154" s="195"/>
      <c r="R1154" s="195"/>
      <c r="S1154" s="195"/>
      <c r="T1154" s="195"/>
      <c r="U1154" s="1"/>
      <c r="W1154" s="195"/>
      <c r="X1154" s="195"/>
    </row>
    <row r="1155" spans="17:24" x14ac:dyDescent="0.25">
      <c r="Q1155" s="195"/>
      <c r="R1155" s="195"/>
      <c r="S1155" s="195"/>
      <c r="T1155" s="195"/>
      <c r="U1155" s="1"/>
      <c r="W1155" s="195"/>
      <c r="X1155" s="195"/>
    </row>
    <row r="1156" spans="17:24" x14ac:dyDescent="0.25">
      <c r="Q1156" s="195"/>
      <c r="R1156" s="195"/>
      <c r="S1156" s="195"/>
      <c r="T1156" s="195"/>
      <c r="U1156" s="1"/>
      <c r="W1156" s="195"/>
      <c r="X1156" s="195"/>
    </row>
    <row r="1157" spans="17:24" x14ac:dyDescent="0.25">
      <c r="Q1157" s="195"/>
      <c r="R1157" s="195"/>
      <c r="S1157" s="195"/>
      <c r="T1157" s="195"/>
      <c r="U1157" s="1"/>
      <c r="W1157" s="195"/>
      <c r="X1157" s="195"/>
    </row>
    <row r="1158" spans="17:24" x14ac:dyDescent="0.25">
      <c r="Q1158" s="195"/>
      <c r="R1158" s="195"/>
      <c r="S1158" s="195"/>
      <c r="T1158" s="195"/>
      <c r="U1158" s="1"/>
      <c r="W1158" s="195"/>
      <c r="X1158" s="195"/>
    </row>
    <row r="1159" spans="17:24" x14ac:dyDescent="0.25">
      <c r="Q1159" s="195"/>
      <c r="R1159" s="195"/>
      <c r="S1159" s="195"/>
      <c r="T1159" s="195"/>
      <c r="U1159" s="1"/>
      <c r="W1159" s="195"/>
      <c r="X1159" s="195"/>
    </row>
    <row r="1160" spans="17:24" x14ac:dyDescent="0.25">
      <c r="Q1160" s="195"/>
      <c r="R1160" s="195"/>
      <c r="S1160" s="195"/>
      <c r="T1160" s="195"/>
      <c r="U1160" s="1"/>
      <c r="W1160" s="195"/>
      <c r="X1160" s="195"/>
    </row>
    <row r="1161" spans="17:24" x14ac:dyDescent="0.25">
      <c r="Q1161" s="195"/>
      <c r="R1161" s="195"/>
      <c r="S1161" s="195"/>
      <c r="T1161" s="195"/>
      <c r="U1161" s="1"/>
      <c r="W1161" s="195"/>
      <c r="X1161" s="195"/>
    </row>
    <row r="1162" spans="17:24" x14ac:dyDescent="0.25">
      <c r="Q1162" s="195"/>
      <c r="R1162" s="195"/>
      <c r="S1162" s="195"/>
      <c r="T1162" s="195"/>
      <c r="U1162" s="1"/>
      <c r="W1162" s="195"/>
      <c r="X1162" s="195"/>
    </row>
    <row r="1163" spans="17:24" x14ac:dyDescent="0.25">
      <c r="Q1163" s="195"/>
      <c r="R1163" s="195"/>
      <c r="S1163" s="195"/>
      <c r="T1163" s="195"/>
      <c r="U1163" s="1"/>
      <c r="W1163" s="195"/>
      <c r="X1163" s="195"/>
    </row>
    <row r="1164" spans="17:24" x14ac:dyDescent="0.25">
      <c r="Q1164" s="195"/>
      <c r="R1164" s="195"/>
      <c r="S1164" s="195"/>
      <c r="T1164" s="195"/>
      <c r="U1164" s="1"/>
      <c r="W1164" s="195"/>
      <c r="X1164" s="195"/>
    </row>
    <row r="1165" spans="17:24" x14ac:dyDescent="0.25">
      <c r="Q1165" s="195"/>
      <c r="R1165" s="195"/>
      <c r="S1165" s="195"/>
      <c r="T1165" s="195"/>
      <c r="U1165" s="1"/>
      <c r="W1165" s="195"/>
      <c r="X1165" s="195"/>
    </row>
    <row r="1166" spans="17:24" x14ac:dyDescent="0.25">
      <c r="Q1166" s="195"/>
      <c r="R1166" s="195"/>
      <c r="S1166" s="195"/>
      <c r="T1166" s="195"/>
      <c r="U1166" s="1"/>
      <c r="W1166" s="195"/>
      <c r="X1166" s="195"/>
    </row>
    <row r="1167" spans="17:24" x14ac:dyDescent="0.25">
      <c r="Q1167" s="195"/>
      <c r="R1167" s="195"/>
      <c r="S1167" s="195"/>
      <c r="T1167" s="195"/>
      <c r="U1167" s="1"/>
      <c r="W1167" s="195"/>
      <c r="X1167" s="195"/>
    </row>
    <row r="1168" spans="17:24" x14ac:dyDescent="0.25">
      <c r="Q1168" s="195"/>
      <c r="R1168" s="195"/>
      <c r="S1168" s="195"/>
      <c r="T1168" s="195"/>
      <c r="U1168" s="1"/>
      <c r="W1168" s="195"/>
      <c r="X1168" s="195"/>
    </row>
    <row r="1169" spans="17:24" x14ac:dyDescent="0.25">
      <c r="Q1169" s="195"/>
      <c r="R1169" s="195"/>
      <c r="S1169" s="195"/>
      <c r="T1169" s="195"/>
      <c r="U1169" s="1"/>
      <c r="W1169" s="195"/>
      <c r="X1169" s="195"/>
    </row>
    <row r="1170" spans="17:24" x14ac:dyDescent="0.25">
      <c r="Q1170" s="195"/>
      <c r="R1170" s="195"/>
      <c r="S1170" s="195"/>
      <c r="T1170" s="195"/>
      <c r="U1170" s="1"/>
      <c r="W1170" s="195"/>
      <c r="X1170" s="195"/>
    </row>
    <row r="1171" spans="17:24" x14ac:dyDescent="0.25">
      <c r="Q1171" s="195"/>
      <c r="R1171" s="195"/>
      <c r="S1171" s="195"/>
      <c r="T1171" s="195"/>
      <c r="U1171" s="1"/>
      <c r="W1171" s="195"/>
      <c r="X1171" s="195"/>
    </row>
    <row r="1172" spans="17:24" x14ac:dyDescent="0.25">
      <c r="Q1172" s="195"/>
      <c r="R1172" s="195"/>
      <c r="S1172" s="195"/>
      <c r="T1172" s="195"/>
      <c r="U1172" s="1"/>
      <c r="W1172" s="195"/>
      <c r="X1172" s="195"/>
    </row>
    <row r="1173" spans="17:24" x14ac:dyDescent="0.25">
      <c r="Q1173" s="195"/>
      <c r="R1173" s="195"/>
      <c r="S1173" s="195"/>
      <c r="T1173" s="195"/>
      <c r="U1173" s="1"/>
      <c r="W1173" s="195"/>
      <c r="X1173" s="195"/>
    </row>
    <row r="1174" spans="17:24" x14ac:dyDescent="0.25">
      <c r="Q1174" s="195"/>
      <c r="R1174" s="195"/>
      <c r="S1174" s="195"/>
      <c r="T1174" s="195"/>
      <c r="U1174" s="1"/>
      <c r="W1174" s="195"/>
      <c r="X1174" s="195"/>
    </row>
    <row r="1175" spans="17:24" x14ac:dyDescent="0.25">
      <c r="Q1175" s="195"/>
      <c r="R1175" s="195"/>
      <c r="S1175" s="195"/>
      <c r="T1175" s="195"/>
      <c r="U1175" s="1"/>
      <c r="W1175" s="195"/>
      <c r="X1175" s="195"/>
    </row>
    <row r="1176" spans="17:24" x14ac:dyDescent="0.25">
      <c r="Q1176" s="195"/>
      <c r="R1176" s="195"/>
      <c r="S1176" s="195"/>
      <c r="T1176" s="195"/>
      <c r="U1176" s="1"/>
      <c r="W1176" s="195"/>
      <c r="X1176" s="195"/>
    </row>
    <row r="1177" spans="17:24" x14ac:dyDescent="0.25">
      <c r="Q1177" s="195"/>
      <c r="R1177" s="195"/>
      <c r="S1177" s="195"/>
      <c r="T1177" s="195"/>
      <c r="U1177" s="1"/>
      <c r="W1177" s="195"/>
      <c r="X1177" s="195"/>
    </row>
    <row r="1178" spans="17:24" x14ac:dyDescent="0.25">
      <c r="Q1178" s="195"/>
      <c r="R1178" s="195"/>
      <c r="S1178" s="195"/>
      <c r="T1178" s="195"/>
      <c r="U1178" s="1"/>
      <c r="W1178" s="195"/>
      <c r="X1178" s="195"/>
    </row>
    <row r="1179" spans="17:24" x14ac:dyDescent="0.25">
      <c r="Q1179" s="195"/>
      <c r="R1179" s="195"/>
      <c r="S1179" s="195"/>
      <c r="T1179" s="195"/>
      <c r="U1179" s="1"/>
      <c r="W1179" s="195"/>
      <c r="X1179" s="195"/>
    </row>
    <row r="1180" spans="17:24" x14ac:dyDescent="0.25">
      <c r="Q1180" s="195"/>
      <c r="R1180" s="195"/>
      <c r="S1180" s="195"/>
      <c r="T1180" s="195"/>
      <c r="U1180" s="1"/>
      <c r="W1180" s="195"/>
      <c r="X1180" s="195"/>
    </row>
    <row r="1181" spans="17:24" x14ac:dyDescent="0.25">
      <c r="Q1181" s="195"/>
      <c r="R1181" s="195"/>
      <c r="S1181" s="195"/>
      <c r="T1181" s="195"/>
      <c r="U1181" s="1"/>
      <c r="W1181" s="195"/>
      <c r="X1181" s="195"/>
    </row>
    <row r="1182" spans="17:24" x14ac:dyDescent="0.25">
      <c r="Q1182" s="195"/>
      <c r="R1182" s="195"/>
      <c r="S1182" s="195"/>
      <c r="T1182" s="195"/>
      <c r="U1182" s="1"/>
      <c r="W1182" s="195"/>
      <c r="X1182" s="195"/>
    </row>
    <row r="1183" spans="17:24" x14ac:dyDescent="0.25">
      <c r="Q1183" s="195"/>
      <c r="R1183" s="195"/>
      <c r="S1183" s="195"/>
      <c r="T1183" s="195"/>
      <c r="U1183" s="1"/>
      <c r="W1183" s="195"/>
      <c r="X1183" s="195"/>
    </row>
    <row r="1184" spans="17:24" x14ac:dyDescent="0.25">
      <c r="Q1184" s="195"/>
      <c r="R1184" s="195"/>
      <c r="S1184" s="195"/>
      <c r="T1184" s="195"/>
      <c r="U1184" s="1"/>
      <c r="W1184" s="195"/>
      <c r="X1184" s="195"/>
    </row>
    <row r="1185" spans="17:24" x14ac:dyDescent="0.25">
      <c r="Q1185" s="195"/>
      <c r="R1185" s="195"/>
      <c r="S1185" s="195"/>
      <c r="T1185" s="195"/>
      <c r="U1185" s="1"/>
      <c r="W1185" s="195"/>
      <c r="X1185" s="195"/>
    </row>
    <row r="1186" spans="17:24" x14ac:dyDescent="0.25">
      <c r="Q1186" s="195"/>
      <c r="R1186" s="195"/>
      <c r="S1186" s="195"/>
      <c r="T1186" s="195"/>
      <c r="U1186" s="1"/>
      <c r="W1186" s="195"/>
      <c r="X1186" s="195"/>
    </row>
    <row r="1187" spans="17:24" x14ac:dyDescent="0.25">
      <c r="Q1187" s="195"/>
      <c r="R1187" s="195"/>
      <c r="S1187" s="195"/>
      <c r="T1187" s="195"/>
      <c r="U1187" s="1"/>
      <c r="W1187" s="195"/>
      <c r="X1187" s="195"/>
    </row>
    <row r="1188" spans="17:24" x14ac:dyDescent="0.25">
      <c r="Q1188" s="195"/>
      <c r="R1188" s="195"/>
      <c r="S1188" s="195"/>
      <c r="T1188" s="195"/>
      <c r="U1188" s="1"/>
      <c r="W1188" s="195"/>
      <c r="X1188" s="195"/>
    </row>
    <row r="1189" spans="17:24" x14ac:dyDescent="0.25">
      <c r="Q1189" s="195"/>
      <c r="R1189" s="195"/>
      <c r="S1189" s="195"/>
      <c r="T1189" s="195"/>
      <c r="U1189" s="1"/>
      <c r="W1189" s="195"/>
      <c r="X1189" s="195"/>
    </row>
    <row r="1190" spans="17:24" x14ac:dyDescent="0.25">
      <c r="Q1190" s="195"/>
      <c r="R1190" s="195"/>
      <c r="S1190" s="195"/>
      <c r="T1190" s="195"/>
      <c r="U1190" s="1"/>
      <c r="W1190" s="195"/>
      <c r="X1190" s="195"/>
    </row>
    <row r="1191" spans="17:24" x14ac:dyDescent="0.25">
      <c r="Q1191" s="195"/>
      <c r="R1191" s="195"/>
      <c r="S1191" s="195"/>
      <c r="T1191" s="195"/>
      <c r="U1191" s="1"/>
      <c r="W1191" s="195"/>
      <c r="X1191" s="195"/>
    </row>
    <row r="1192" spans="17:24" x14ac:dyDescent="0.25">
      <c r="Q1192" s="195"/>
      <c r="R1192" s="195"/>
      <c r="S1192" s="195"/>
      <c r="T1192" s="195"/>
      <c r="U1192" s="1"/>
      <c r="W1192" s="195"/>
      <c r="X1192" s="195"/>
    </row>
    <row r="1193" spans="17:24" x14ac:dyDescent="0.25">
      <c r="Q1193" s="195"/>
      <c r="R1193" s="195"/>
      <c r="S1193" s="195"/>
      <c r="T1193" s="195"/>
      <c r="U1193" s="1"/>
      <c r="W1193" s="195"/>
      <c r="X1193" s="195"/>
    </row>
    <row r="1194" spans="17:24" x14ac:dyDescent="0.25">
      <c r="Q1194" s="195"/>
      <c r="R1194" s="195"/>
      <c r="S1194" s="195"/>
      <c r="T1194" s="195"/>
      <c r="U1194" s="1"/>
      <c r="W1194" s="195"/>
      <c r="X1194" s="195"/>
    </row>
    <row r="1195" spans="17:24" x14ac:dyDescent="0.25">
      <c r="Q1195" s="195"/>
      <c r="R1195" s="195"/>
      <c r="S1195" s="195"/>
      <c r="T1195" s="195"/>
      <c r="U1195" s="1"/>
      <c r="W1195" s="195"/>
      <c r="X1195" s="195"/>
    </row>
    <row r="1196" spans="17:24" x14ac:dyDescent="0.25">
      <c r="Q1196" s="195"/>
      <c r="R1196" s="195"/>
      <c r="S1196" s="195"/>
      <c r="T1196" s="195"/>
      <c r="U1196" s="1"/>
      <c r="W1196" s="195"/>
      <c r="X1196" s="195"/>
    </row>
    <row r="1197" spans="17:24" x14ac:dyDescent="0.25">
      <c r="Q1197" s="195"/>
      <c r="R1197" s="195"/>
      <c r="S1197" s="195"/>
      <c r="T1197" s="195"/>
      <c r="U1197" s="1"/>
      <c r="W1197" s="195"/>
      <c r="X1197" s="195"/>
    </row>
    <row r="1198" spans="17:24" x14ac:dyDescent="0.25">
      <c r="Q1198" s="195"/>
      <c r="R1198" s="195"/>
      <c r="S1198" s="195"/>
      <c r="T1198" s="195"/>
      <c r="U1198" s="1"/>
      <c r="W1198" s="195"/>
      <c r="X1198" s="195"/>
    </row>
    <row r="1199" spans="17:24" x14ac:dyDescent="0.25">
      <c r="Q1199" s="195"/>
      <c r="R1199" s="195"/>
      <c r="S1199" s="195"/>
      <c r="T1199" s="195"/>
      <c r="U1199" s="1"/>
      <c r="W1199" s="195"/>
      <c r="X1199" s="195"/>
    </row>
    <row r="1200" spans="17:24" x14ac:dyDescent="0.25">
      <c r="Q1200" s="195"/>
      <c r="R1200" s="195"/>
      <c r="S1200" s="195"/>
      <c r="T1200" s="195"/>
      <c r="U1200" s="1"/>
      <c r="W1200" s="195"/>
      <c r="X1200" s="195"/>
    </row>
    <row r="1201" spans="17:24" x14ac:dyDescent="0.25">
      <c r="Q1201" s="195"/>
      <c r="R1201" s="195"/>
      <c r="S1201" s="195"/>
      <c r="T1201" s="195"/>
      <c r="U1201" s="1"/>
      <c r="W1201" s="195"/>
      <c r="X1201" s="195"/>
    </row>
    <row r="1202" spans="17:24" x14ac:dyDescent="0.25">
      <c r="Q1202" s="195"/>
      <c r="R1202" s="195"/>
      <c r="S1202" s="195"/>
      <c r="T1202" s="195"/>
      <c r="U1202" s="1"/>
      <c r="W1202" s="195"/>
      <c r="X1202" s="195"/>
    </row>
    <row r="1203" spans="17:24" x14ac:dyDescent="0.25">
      <c r="Q1203" s="195"/>
      <c r="R1203" s="195"/>
      <c r="S1203" s="195"/>
      <c r="T1203" s="195"/>
      <c r="U1203" s="1"/>
      <c r="W1203" s="195"/>
      <c r="X1203" s="195"/>
    </row>
    <row r="1204" spans="17:24" x14ac:dyDescent="0.25">
      <c r="Q1204" s="195"/>
      <c r="R1204" s="195"/>
      <c r="S1204" s="195"/>
      <c r="T1204" s="195"/>
      <c r="U1204" s="1"/>
      <c r="W1204" s="195"/>
      <c r="X1204" s="195"/>
    </row>
    <row r="1205" spans="17:24" x14ac:dyDescent="0.25">
      <c r="Q1205" s="195"/>
      <c r="R1205" s="195"/>
      <c r="S1205" s="195"/>
      <c r="T1205" s="195"/>
      <c r="U1205" s="1"/>
      <c r="W1205" s="195"/>
      <c r="X1205" s="195"/>
    </row>
    <row r="1206" spans="17:24" x14ac:dyDescent="0.25">
      <c r="Q1206" s="195"/>
      <c r="R1206" s="195"/>
      <c r="S1206" s="195"/>
      <c r="T1206" s="195"/>
      <c r="U1206" s="1"/>
      <c r="W1206" s="195"/>
      <c r="X1206" s="195"/>
    </row>
    <row r="1207" spans="17:24" x14ac:dyDescent="0.25">
      <c r="Q1207" s="195"/>
      <c r="R1207" s="195"/>
      <c r="S1207" s="195"/>
      <c r="T1207" s="195"/>
      <c r="U1207" s="1"/>
      <c r="W1207" s="195"/>
      <c r="X1207" s="195"/>
    </row>
    <row r="1208" spans="17:24" x14ac:dyDescent="0.25">
      <c r="Q1208" s="195"/>
      <c r="R1208" s="195"/>
      <c r="S1208" s="195"/>
      <c r="T1208" s="195"/>
      <c r="U1208" s="1"/>
      <c r="W1208" s="195"/>
      <c r="X1208" s="195"/>
    </row>
    <row r="1209" spans="17:24" x14ac:dyDescent="0.25">
      <c r="Q1209" s="195"/>
      <c r="R1209" s="195"/>
      <c r="S1209" s="195"/>
      <c r="T1209" s="195"/>
      <c r="U1209" s="1"/>
      <c r="W1209" s="195"/>
      <c r="X1209" s="195"/>
    </row>
    <row r="1210" spans="17:24" x14ac:dyDescent="0.25">
      <c r="Q1210" s="195"/>
      <c r="R1210" s="195"/>
      <c r="S1210" s="195"/>
      <c r="T1210" s="195"/>
      <c r="U1210" s="1"/>
      <c r="W1210" s="195"/>
      <c r="X1210" s="195"/>
    </row>
    <row r="1211" spans="17:24" x14ac:dyDescent="0.25">
      <c r="Q1211" s="195"/>
      <c r="R1211" s="195"/>
      <c r="S1211" s="195"/>
      <c r="T1211" s="195"/>
      <c r="U1211" s="1"/>
      <c r="W1211" s="195"/>
      <c r="X1211" s="195"/>
    </row>
    <row r="1212" spans="17:24" x14ac:dyDescent="0.25">
      <c r="Q1212" s="195"/>
      <c r="R1212" s="195"/>
      <c r="S1212" s="195"/>
      <c r="T1212" s="195"/>
      <c r="U1212" s="1"/>
      <c r="W1212" s="195"/>
      <c r="X1212" s="195"/>
    </row>
    <row r="1213" spans="17:24" x14ac:dyDescent="0.25">
      <c r="Q1213" s="195"/>
      <c r="R1213" s="195"/>
      <c r="S1213" s="195"/>
      <c r="T1213" s="195"/>
      <c r="U1213" s="1"/>
      <c r="W1213" s="195"/>
      <c r="X1213" s="195"/>
    </row>
    <row r="1214" spans="17:24" x14ac:dyDescent="0.25">
      <c r="Q1214" s="195"/>
      <c r="R1214" s="195"/>
      <c r="S1214" s="195"/>
      <c r="T1214" s="195"/>
      <c r="U1214" s="1"/>
      <c r="W1214" s="195"/>
      <c r="X1214" s="195"/>
    </row>
    <row r="1215" spans="17:24" x14ac:dyDescent="0.25">
      <c r="Q1215" s="195"/>
      <c r="R1215" s="195"/>
      <c r="S1215" s="195"/>
      <c r="T1215" s="195"/>
      <c r="U1215" s="1"/>
      <c r="W1215" s="195"/>
      <c r="X1215" s="195"/>
    </row>
    <row r="1216" spans="17:24" x14ac:dyDescent="0.25">
      <c r="Q1216" s="195"/>
      <c r="R1216" s="195"/>
      <c r="S1216" s="195"/>
      <c r="T1216" s="195"/>
      <c r="U1216" s="1"/>
      <c r="W1216" s="195"/>
      <c r="X1216" s="195"/>
    </row>
    <row r="1217" spans="17:24" x14ac:dyDescent="0.25">
      <c r="Q1217" s="195"/>
      <c r="R1217" s="195"/>
      <c r="S1217" s="195"/>
      <c r="T1217" s="195"/>
      <c r="U1217" s="1"/>
      <c r="W1217" s="195"/>
      <c r="X1217" s="195"/>
    </row>
    <row r="1218" spans="17:24" x14ac:dyDescent="0.25">
      <c r="Q1218" s="195"/>
      <c r="R1218" s="195"/>
      <c r="S1218" s="195"/>
      <c r="T1218" s="195"/>
      <c r="U1218" s="1"/>
      <c r="W1218" s="195"/>
      <c r="X1218" s="195"/>
    </row>
    <row r="1219" spans="17:24" x14ac:dyDescent="0.25">
      <c r="Q1219" s="195"/>
      <c r="R1219" s="195"/>
      <c r="S1219" s="195"/>
      <c r="T1219" s="195"/>
      <c r="U1219" s="1"/>
      <c r="W1219" s="195"/>
      <c r="X1219" s="195"/>
    </row>
    <row r="1220" spans="17:24" x14ac:dyDescent="0.25">
      <c r="Q1220" s="195"/>
      <c r="R1220" s="195"/>
      <c r="S1220" s="195"/>
      <c r="T1220" s="195"/>
      <c r="U1220" s="1"/>
      <c r="W1220" s="195"/>
      <c r="X1220" s="195"/>
    </row>
    <row r="1221" spans="17:24" x14ac:dyDescent="0.25">
      <c r="Q1221" s="195"/>
      <c r="R1221" s="195"/>
      <c r="S1221" s="195"/>
      <c r="T1221" s="195"/>
      <c r="U1221" s="1"/>
      <c r="W1221" s="195"/>
      <c r="X1221" s="195"/>
    </row>
    <row r="1222" spans="17:24" x14ac:dyDescent="0.25">
      <c r="Q1222" s="195"/>
      <c r="R1222" s="195"/>
      <c r="S1222" s="195"/>
      <c r="T1222" s="195"/>
      <c r="U1222" s="1"/>
      <c r="W1222" s="195"/>
      <c r="X1222" s="195"/>
    </row>
    <row r="1223" spans="17:24" x14ac:dyDescent="0.25">
      <c r="Q1223" s="195"/>
      <c r="R1223" s="195"/>
      <c r="S1223" s="195"/>
      <c r="T1223" s="195"/>
      <c r="U1223" s="1"/>
      <c r="W1223" s="195"/>
      <c r="X1223" s="195"/>
    </row>
    <row r="1224" spans="17:24" x14ac:dyDescent="0.25">
      <c r="Q1224" s="195"/>
      <c r="R1224" s="195"/>
      <c r="S1224" s="195"/>
      <c r="T1224" s="195"/>
      <c r="U1224" s="1"/>
      <c r="W1224" s="195"/>
      <c r="X1224" s="195"/>
    </row>
    <row r="1225" spans="17:24" x14ac:dyDescent="0.25">
      <c r="Q1225" s="195"/>
      <c r="R1225" s="195"/>
      <c r="S1225" s="195"/>
      <c r="T1225" s="195"/>
      <c r="U1225" s="1"/>
      <c r="W1225" s="195"/>
      <c r="X1225" s="195"/>
    </row>
    <row r="1226" spans="17:24" x14ac:dyDescent="0.25">
      <c r="Q1226" s="195"/>
      <c r="R1226" s="195"/>
      <c r="S1226" s="195"/>
      <c r="T1226" s="195"/>
      <c r="U1226" s="1"/>
      <c r="W1226" s="195"/>
      <c r="X1226" s="195"/>
    </row>
    <row r="1227" spans="17:24" x14ac:dyDescent="0.25">
      <c r="Q1227" s="195"/>
      <c r="R1227" s="195"/>
      <c r="S1227" s="195"/>
      <c r="T1227" s="195"/>
      <c r="U1227" s="1"/>
      <c r="W1227" s="195"/>
      <c r="X1227" s="195"/>
    </row>
    <row r="1228" spans="17:24" x14ac:dyDescent="0.25">
      <c r="Q1228" s="195"/>
      <c r="R1228" s="195"/>
      <c r="S1228" s="195"/>
      <c r="T1228" s="195"/>
      <c r="U1228" s="1"/>
      <c r="W1228" s="195"/>
      <c r="X1228" s="195"/>
    </row>
    <row r="1229" spans="17:24" x14ac:dyDescent="0.25">
      <c r="Q1229" s="195"/>
      <c r="R1229" s="195"/>
      <c r="S1229" s="195"/>
      <c r="T1229" s="195"/>
      <c r="U1229" s="1"/>
      <c r="W1229" s="195"/>
      <c r="X1229" s="195"/>
    </row>
    <row r="1230" spans="17:24" x14ac:dyDescent="0.25">
      <c r="Q1230" s="195"/>
      <c r="R1230" s="195"/>
      <c r="S1230" s="195"/>
      <c r="T1230" s="195"/>
      <c r="U1230" s="1"/>
      <c r="W1230" s="195"/>
      <c r="X1230" s="195"/>
    </row>
    <row r="1231" spans="17:24" x14ac:dyDescent="0.25">
      <c r="Q1231" s="195"/>
      <c r="R1231" s="195"/>
      <c r="S1231" s="195"/>
      <c r="T1231" s="195"/>
      <c r="U1231" s="1"/>
      <c r="W1231" s="195"/>
      <c r="X1231" s="195"/>
    </row>
    <row r="1232" spans="17:24" x14ac:dyDescent="0.25">
      <c r="Q1232" s="195"/>
      <c r="R1232" s="195"/>
      <c r="S1232" s="195"/>
      <c r="T1232" s="195"/>
      <c r="U1232" s="1"/>
      <c r="W1232" s="195"/>
      <c r="X1232" s="195"/>
    </row>
    <row r="1233" spans="17:24" x14ac:dyDescent="0.25">
      <c r="Q1233" s="195"/>
      <c r="R1233" s="195"/>
      <c r="S1233" s="195"/>
      <c r="T1233" s="195"/>
      <c r="U1233" s="1"/>
      <c r="W1233" s="195"/>
      <c r="X1233" s="195"/>
    </row>
    <row r="1234" spans="17:24" x14ac:dyDescent="0.25">
      <c r="Q1234" s="195"/>
      <c r="R1234" s="195"/>
      <c r="S1234" s="195"/>
      <c r="T1234" s="195"/>
      <c r="U1234" s="1"/>
      <c r="W1234" s="195"/>
      <c r="X1234" s="195"/>
    </row>
    <row r="1235" spans="17:24" x14ac:dyDescent="0.25">
      <c r="Q1235" s="195"/>
      <c r="R1235" s="195"/>
      <c r="S1235" s="195"/>
      <c r="T1235" s="195"/>
      <c r="U1235" s="1"/>
      <c r="W1235" s="195"/>
      <c r="X1235" s="195"/>
    </row>
    <row r="1236" spans="17:24" x14ac:dyDescent="0.25">
      <c r="Q1236" s="195"/>
      <c r="R1236" s="195"/>
      <c r="S1236" s="195"/>
      <c r="T1236" s="195"/>
      <c r="U1236" s="1"/>
      <c r="W1236" s="195"/>
      <c r="X1236" s="195"/>
    </row>
    <row r="1237" spans="17:24" x14ac:dyDescent="0.25">
      <c r="Q1237" s="195"/>
      <c r="R1237" s="195"/>
      <c r="S1237" s="195"/>
      <c r="T1237" s="195"/>
      <c r="U1237" s="1"/>
      <c r="W1237" s="195"/>
      <c r="X1237" s="195"/>
    </row>
    <row r="1238" spans="17:24" x14ac:dyDescent="0.25">
      <c r="Q1238" s="195"/>
      <c r="R1238" s="195"/>
      <c r="S1238" s="195"/>
      <c r="T1238" s="195"/>
      <c r="U1238" s="1"/>
      <c r="W1238" s="195"/>
      <c r="X1238" s="195"/>
    </row>
    <row r="1239" spans="17:24" x14ac:dyDescent="0.25">
      <c r="Q1239" s="195"/>
      <c r="R1239" s="195"/>
      <c r="S1239" s="195"/>
      <c r="T1239" s="195"/>
      <c r="U1239" s="1"/>
      <c r="W1239" s="195"/>
      <c r="X1239" s="195"/>
    </row>
    <row r="1240" spans="17:24" x14ac:dyDescent="0.25">
      <c r="Q1240" s="195"/>
      <c r="R1240" s="195"/>
      <c r="S1240" s="195"/>
      <c r="T1240" s="195"/>
      <c r="U1240" s="1"/>
      <c r="W1240" s="195"/>
      <c r="X1240" s="195"/>
    </row>
    <row r="1241" spans="17:24" x14ac:dyDescent="0.25">
      <c r="Q1241" s="195"/>
      <c r="R1241" s="195"/>
      <c r="S1241" s="195"/>
      <c r="T1241" s="195"/>
      <c r="U1241" s="1"/>
      <c r="W1241" s="195"/>
      <c r="X1241" s="195"/>
    </row>
    <row r="1242" spans="17:24" x14ac:dyDescent="0.25">
      <c r="Q1242" s="195"/>
      <c r="R1242" s="195"/>
      <c r="S1242" s="195"/>
      <c r="T1242" s="195"/>
      <c r="U1242" s="1"/>
      <c r="W1242" s="195"/>
      <c r="X1242" s="195"/>
    </row>
    <row r="1243" spans="17:24" x14ac:dyDescent="0.25">
      <c r="Q1243" s="195"/>
      <c r="R1243" s="195"/>
      <c r="S1243" s="195"/>
      <c r="T1243" s="195"/>
      <c r="U1243" s="1"/>
      <c r="W1243" s="195"/>
      <c r="X1243" s="195"/>
    </row>
    <row r="1244" spans="17:24" x14ac:dyDescent="0.25">
      <c r="Q1244" s="195"/>
      <c r="R1244" s="195"/>
      <c r="S1244" s="195"/>
      <c r="T1244" s="195"/>
      <c r="U1244" s="1"/>
      <c r="W1244" s="195"/>
      <c r="X1244" s="195"/>
    </row>
    <row r="1245" spans="17:24" x14ac:dyDescent="0.25">
      <c r="Q1245" s="195"/>
      <c r="R1245" s="195"/>
      <c r="S1245" s="195"/>
      <c r="T1245" s="195"/>
      <c r="U1245" s="1"/>
      <c r="W1245" s="195"/>
      <c r="X1245" s="195"/>
    </row>
    <row r="1246" spans="17:24" x14ac:dyDescent="0.25">
      <c r="Q1246" s="195"/>
      <c r="R1246" s="195"/>
      <c r="S1246" s="195"/>
      <c r="T1246" s="195"/>
      <c r="U1246" s="1"/>
      <c r="W1246" s="195"/>
      <c r="X1246" s="195"/>
    </row>
    <row r="1247" spans="17:24" x14ac:dyDescent="0.25">
      <c r="Q1247" s="195"/>
      <c r="R1247" s="195"/>
      <c r="S1247" s="195"/>
      <c r="T1247" s="195"/>
      <c r="U1247" s="1"/>
      <c r="W1247" s="195"/>
      <c r="X1247" s="195"/>
    </row>
    <row r="1248" spans="17:24" x14ac:dyDescent="0.25">
      <c r="Q1248" s="195"/>
      <c r="R1248" s="195"/>
      <c r="S1248" s="195"/>
      <c r="T1248" s="195"/>
      <c r="U1248" s="1"/>
      <c r="W1248" s="195"/>
      <c r="X1248" s="195"/>
    </row>
    <row r="1249" spans="17:24" x14ac:dyDescent="0.25">
      <c r="Q1249" s="195"/>
      <c r="R1249" s="195"/>
      <c r="S1249" s="195"/>
      <c r="T1249" s="195"/>
      <c r="U1249" s="1"/>
      <c r="W1249" s="195"/>
      <c r="X1249" s="195"/>
    </row>
    <row r="1250" spans="17:24" x14ac:dyDescent="0.25">
      <c r="Q1250" s="195"/>
      <c r="R1250" s="195"/>
      <c r="S1250" s="195"/>
      <c r="T1250" s="195"/>
      <c r="U1250" s="1"/>
      <c r="W1250" s="195"/>
      <c r="X1250" s="195"/>
    </row>
    <row r="1251" spans="17:24" x14ac:dyDescent="0.25">
      <c r="Q1251" s="195"/>
      <c r="R1251" s="195"/>
      <c r="S1251" s="195"/>
      <c r="T1251" s="195"/>
      <c r="U1251" s="1"/>
      <c r="W1251" s="195"/>
      <c r="X1251" s="195"/>
    </row>
    <row r="1252" spans="17:24" x14ac:dyDescent="0.25">
      <c r="Q1252" s="195"/>
      <c r="R1252" s="195"/>
      <c r="S1252" s="195"/>
      <c r="T1252" s="195"/>
      <c r="U1252" s="1"/>
      <c r="W1252" s="195"/>
      <c r="X1252" s="195"/>
    </row>
    <row r="1253" spans="17:24" x14ac:dyDescent="0.25">
      <c r="Q1253" s="195"/>
      <c r="R1253" s="195"/>
      <c r="S1253" s="195"/>
      <c r="T1253" s="195"/>
      <c r="U1253" s="1"/>
      <c r="W1253" s="195"/>
      <c r="X1253" s="195"/>
    </row>
    <row r="1254" spans="17:24" x14ac:dyDescent="0.25">
      <c r="Q1254" s="195"/>
      <c r="R1254" s="195"/>
      <c r="S1254" s="195"/>
      <c r="T1254" s="195"/>
      <c r="U1254" s="1"/>
      <c r="W1254" s="195"/>
      <c r="X1254" s="195"/>
    </row>
    <row r="1255" spans="17:24" x14ac:dyDescent="0.25">
      <c r="Q1255" s="195"/>
      <c r="R1255" s="195"/>
      <c r="S1255" s="195"/>
      <c r="T1255" s="195"/>
      <c r="U1255" s="1"/>
      <c r="W1255" s="195"/>
      <c r="X1255" s="195"/>
    </row>
    <row r="1256" spans="17:24" x14ac:dyDescent="0.25">
      <c r="Q1256" s="195"/>
      <c r="R1256" s="195"/>
      <c r="S1256" s="195"/>
      <c r="T1256" s="195"/>
      <c r="U1256" s="1"/>
      <c r="W1256" s="195"/>
      <c r="X1256" s="195"/>
    </row>
    <row r="1257" spans="17:24" x14ac:dyDescent="0.25">
      <c r="Q1257" s="195"/>
      <c r="R1257" s="195"/>
      <c r="S1257" s="195"/>
      <c r="T1257" s="195"/>
      <c r="U1257" s="1"/>
      <c r="W1257" s="195"/>
      <c r="X1257" s="195"/>
    </row>
    <row r="1258" spans="17:24" x14ac:dyDescent="0.25">
      <c r="Q1258" s="195"/>
      <c r="R1258" s="195"/>
      <c r="S1258" s="195"/>
      <c r="T1258" s="195"/>
      <c r="U1258" s="1"/>
      <c r="W1258" s="195"/>
      <c r="X1258" s="195"/>
    </row>
    <row r="1259" spans="17:24" x14ac:dyDescent="0.25">
      <c r="Q1259" s="195"/>
      <c r="R1259" s="195"/>
      <c r="S1259" s="195"/>
      <c r="T1259" s="195"/>
      <c r="U1259" s="1"/>
      <c r="W1259" s="195"/>
      <c r="X1259" s="195"/>
    </row>
    <row r="1260" spans="17:24" x14ac:dyDescent="0.25">
      <c r="Q1260" s="195"/>
      <c r="R1260" s="195"/>
      <c r="S1260" s="195"/>
      <c r="T1260" s="195"/>
      <c r="U1260" s="1"/>
      <c r="W1260" s="195"/>
      <c r="X1260" s="195"/>
    </row>
    <row r="1261" spans="17:24" x14ac:dyDescent="0.25">
      <c r="Q1261" s="195"/>
      <c r="R1261" s="195"/>
      <c r="S1261" s="195"/>
      <c r="T1261" s="195"/>
      <c r="U1261" s="1"/>
      <c r="W1261" s="195"/>
      <c r="X1261" s="195"/>
    </row>
    <row r="1262" spans="17:24" x14ac:dyDescent="0.25">
      <c r="Q1262" s="195"/>
      <c r="R1262" s="195"/>
      <c r="S1262" s="195"/>
      <c r="T1262" s="195"/>
      <c r="U1262" s="1"/>
      <c r="W1262" s="195"/>
      <c r="X1262" s="195"/>
    </row>
    <row r="1263" spans="17:24" x14ac:dyDescent="0.25">
      <c r="Q1263" s="195"/>
      <c r="R1263" s="195"/>
      <c r="S1263" s="195"/>
      <c r="T1263" s="195"/>
      <c r="U1263" s="1"/>
      <c r="W1263" s="195"/>
      <c r="X1263" s="195"/>
    </row>
    <row r="1264" spans="17:24" x14ac:dyDescent="0.25">
      <c r="Q1264" s="195"/>
      <c r="R1264" s="195"/>
      <c r="S1264" s="195"/>
      <c r="T1264" s="195"/>
      <c r="U1264" s="1"/>
      <c r="W1264" s="195"/>
      <c r="X1264" s="195"/>
    </row>
    <row r="1265" spans="17:24" x14ac:dyDescent="0.25">
      <c r="Q1265" s="195"/>
      <c r="R1265" s="195"/>
      <c r="S1265" s="195"/>
      <c r="T1265" s="195"/>
      <c r="U1265" s="1"/>
      <c r="W1265" s="195"/>
      <c r="X1265" s="195"/>
    </row>
    <row r="1266" spans="17:24" x14ac:dyDescent="0.25">
      <c r="Q1266" s="195"/>
      <c r="R1266" s="195"/>
      <c r="S1266" s="195"/>
      <c r="T1266" s="195"/>
      <c r="U1266" s="1"/>
      <c r="W1266" s="195"/>
      <c r="X1266" s="195"/>
    </row>
    <row r="1267" spans="17:24" x14ac:dyDescent="0.25">
      <c r="Q1267" s="195"/>
      <c r="R1267" s="195"/>
      <c r="S1267" s="195"/>
      <c r="T1267" s="195"/>
      <c r="U1267" s="1"/>
      <c r="W1267" s="195"/>
      <c r="X1267" s="195"/>
    </row>
    <row r="1268" spans="17:24" x14ac:dyDescent="0.25">
      <c r="Q1268" s="195"/>
      <c r="R1268" s="195"/>
      <c r="S1268" s="195"/>
      <c r="T1268" s="195"/>
      <c r="U1268" s="1"/>
      <c r="W1268" s="195"/>
      <c r="X1268" s="195"/>
    </row>
    <row r="1269" spans="17:24" x14ac:dyDescent="0.25">
      <c r="Q1269" s="195"/>
      <c r="R1269" s="195"/>
      <c r="S1269" s="195"/>
      <c r="T1269" s="195"/>
      <c r="U1269" s="1"/>
      <c r="W1269" s="195"/>
      <c r="X1269" s="195"/>
    </row>
    <row r="1270" spans="17:24" x14ac:dyDescent="0.25">
      <c r="Q1270" s="195"/>
      <c r="R1270" s="195"/>
      <c r="S1270" s="195"/>
      <c r="T1270" s="195"/>
      <c r="U1270" s="1"/>
      <c r="W1270" s="195"/>
      <c r="X1270" s="195"/>
    </row>
    <row r="1271" spans="17:24" x14ac:dyDescent="0.25">
      <c r="Q1271" s="195"/>
      <c r="R1271" s="195"/>
      <c r="S1271" s="195"/>
      <c r="T1271" s="195"/>
      <c r="U1271" s="1"/>
      <c r="W1271" s="195"/>
      <c r="X1271" s="195"/>
    </row>
    <row r="1272" spans="17:24" x14ac:dyDescent="0.25">
      <c r="Q1272" s="195"/>
      <c r="R1272" s="195"/>
      <c r="S1272" s="195"/>
      <c r="T1272" s="195"/>
      <c r="U1272" s="1"/>
      <c r="W1272" s="195"/>
      <c r="X1272" s="195"/>
    </row>
    <row r="1273" spans="17:24" x14ac:dyDescent="0.25">
      <c r="Q1273" s="195"/>
      <c r="R1273" s="195"/>
      <c r="S1273" s="195"/>
      <c r="T1273" s="195"/>
      <c r="U1273" s="1"/>
      <c r="W1273" s="195"/>
      <c r="X1273" s="195"/>
    </row>
    <row r="1274" spans="17:24" x14ac:dyDescent="0.25">
      <c r="Q1274" s="195"/>
      <c r="R1274" s="195"/>
      <c r="S1274" s="195"/>
      <c r="T1274" s="195"/>
      <c r="U1274" s="1"/>
      <c r="W1274" s="195"/>
      <c r="X1274" s="195"/>
    </row>
    <row r="1275" spans="17:24" x14ac:dyDescent="0.25">
      <c r="Q1275" s="195"/>
      <c r="R1275" s="195"/>
      <c r="S1275" s="195"/>
      <c r="T1275" s="195"/>
      <c r="U1275" s="1"/>
      <c r="W1275" s="195"/>
      <c r="X1275" s="195"/>
    </row>
    <row r="1276" spans="17:24" x14ac:dyDescent="0.25">
      <c r="Q1276" s="195"/>
      <c r="R1276" s="195"/>
      <c r="S1276" s="195"/>
      <c r="T1276" s="195"/>
      <c r="U1276" s="1"/>
      <c r="W1276" s="195"/>
      <c r="X1276" s="195"/>
    </row>
    <row r="1277" spans="17:24" x14ac:dyDescent="0.25">
      <c r="Q1277" s="195"/>
      <c r="R1277" s="195"/>
      <c r="S1277" s="195"/>
      <c r="T1277" s="195"/>
      <c r="U1277" s="1"/>
      <c r="W1277" s="195"/>
      <c r="X1277" s="195"/>
    </row>
    <row r="1278" spans="17:24" x14ac:dyDescent="0.25">
      <c r="Q1278" s="195"/>
      <c r="R1278" s="195"/>
      <c r="S1278" s="195"/>
      <c r="T1278" s="195"/>
      <c r="U1278" s="1"/>
      <c r="W1278" s="195"/>
      <c r="X1278" s="195"/>
    </row>
    <row r="1279" spans="17:24" x14ac:dyDescent="0.25">
      <c r="Q1279" s="195"/>
      <c r="R1279" s="195"/>
      <c r="S1279" s="195"/>
      <c r="T1279" s="195"/>
      <c r="U1279" s="1"/>
      <c r="W1279" s="195"/>
      <c r="X1279" s="195"/>
    </row>
    <row r="1280" spans="17:24" x14ac:dyDescent="0.25">
      <c r="Q1280" s="195"/>
      <c r="R1280" s="195"/>
      <c r="S1280" s="195"/>
      <c r="T1280" s="195"/>
      <c r="U1280" s="1"/>
      <c r="W1280" s="195"/>
      <c r="X1280" s="195"/>
    </row>
    <row r="1281" spans="17:24" x14ac:dyDescent="0.25">
      <c r="Q1281" s="195"/>
      <c r="R1281" s="195"/>
      <c r="S1281" s="195"/>
      <c r="T1281" s="195"/>
      <c r="U1281" s="1"/>
      <c r="W1281" s="195"/>
      <c r="X1281" s="195"/>
    </row>
    <row r="1282" spans="17:24" x14ac:dyDescent="0.25">
      <c r="Q1282" s="195"/>
      <c r="R1282" s="195"/>
      <c r="S1282" s="195"/>
      <c r="T1282" s="195"/>
      <c r="U1282" s="1"/>
      <c r="W1282" s="195"/>
      <c r="X1282" s="195"/>
    </row>
    <row r="1283" spans="17:24" x14ac:dyDescent="0.25">
      <c r="Q1283" s="195"/>
      <c r="R1283" s="195"/>
      <c r="S1283" s="195"/>
      <c r="T1283" s="195"/>
      <c r="U1283" s="1"/>
      <c r="W1283" s="195"/>
      <c r="X1283" s="195"/>
    </row>
    <row r="1284" spans="17:24" x14ac:dyDescent="0.25">
      <c r="Q1284" s="195"/>
      <c r="R1284" s="195"/>
      <c r="S1284" s="195"/>
      <c r="T1284" s="195"/>
      <c r="U1284" s="1"/>
      <c r="W1284" s="195"/>
      <c r="X1284" s="195"/>
    </row>
    <row r="1285" spans="17:24" x14ac:dyDescent="0.25">
      <c r="Q1285" s="195"/>
      <c r="R1285" s="195"/>
      <c r="S1285" s="195"/>
      <c r="T1285" s="195"/>
      <c r="U1285" s="1"/>
      <c r="W1285" s="195"/>
      <c r="X1285" s="195"/>
    </row>
    <row r="1286" spans="17:24" x14ac:dyDescent="0.25">
      <c r="Q1286" s="195"/>
      <c r="R1286" s="195"/>
      <c r="S1286" s="195"/>
      <c r="T1286" s="195"/>
      <c r="U1286" s="1"/>
      <c r="W1286" s="195"/>
      <c r="X1286" s="195"/>
    </row>
    <row r="1287" spans="17:24" x14ac:dyDescent="0.25">
      <c r="Q1287" s="195"/>
      <c r="R1287" s="195"/>
      <c r="S1287" s="195"/>
      <c r="T1287" s="195"/>
      <c r="U1287" s="1"/>
      <c r="W1287" s="195"/>
      <c r="X1287" s="195"/>
    </row>
    <row r="1288" spans="17:24" x14ac:dyDescent="0.25">
      <c r="Q1288" s="195"/>
      <c r="R1288" s="195"/>
      <c r="S1288" s="195"/>
      <c r="T1288" s="195"/>
      <c r="U1288" s="1"/>
      <c r="W1288" s="195"/>
      <c r="X1288" s="195"/>
    </row>
    <row r="1289" spans="17:24" x14ac:dyDescent="0.25">
      <c r="Q1289" s="195"/>
      <c r="R1289" s="195"/>
      <c r="S1289" s="195"/>
      <c r="T1289" s="195"/>
      <c r="U1289" s="1"/>
      <c r="W1289" s="195"/>
      <c r="X1289" s="195"/>
    </row>
    <row r="1290" spans="17:24" x14ac:dyDescent="0.25">
      <c r="Q1290" s="195"/>
      <c r="R1290" s="195"/>
      <c r="S1290" s="195"/>
      <c r="T1290" s="195"/>
      <c r="U1290" s="1"/>
      <c r="W1290" s="195"/>
      <c r="X1290" s="195"/>
    </row>
    <row r="1291" spans="17:24" x14ac:dyDescent="0.25">
      <c r="Q1291" s="195"/>
      <c r="R1291" s="195"/>
      <c r="S1291" s="195"/>
      <c r="T1291" s="195"/>
      <c r="U1291" s="1"/>
      <c r="W1291" s="195"/>
      <c r="X1291" s="195"/>
    </row>
    <row r="1292" spans="17:24" x14ac:dyDescent="0.25">
      <c r="Q1292" s="195"/>
      <c r="R1292" s="195"/>
      <c r="S1292" s="195"/>
      <c r="T1292" s="195"/>
      <c r="U1292" s="1"/>
      <c r="W1292" s="195"/>
      <c r="X1292" s="195"/>
    </row>
    <row r="1293" spans="17:24" x14ac:dyDescent="0.25">
      <c r="Q1293" s="195"/>
      <c r="R1293" s="195"/>
      <c r="S1293" s="195"/>
      <c r="T1293" s="195"/>
      <c r="U1293" s="1"/>
      <c r="W1293" s="195"/>
      <c r="X1293" s="195"/>
    </row>
    <row r="1294" spans="17:24" x14ac:dyDescent="0.25">
      <c r="Q1294" s="195"/>
      <c r="R1294" s="195"/>
      <c r="S1294" s="195"/>
      <c r="T1294" s="195"/>
      <c r="U1294" s="1"/>
      <c r="W1294" s="195"/>
      <c r="X1294" s="195"/>
    </row>
    <row r="1295" spans="17:24" x14ac:dyDescent="0.25">
      <c r="Q1295" s="195"/>
      <c r="R1295" s="195"/>
      <c r="S1295" s="195"/>
      <c r="T1295" s="195"/>
      <c r="U1295" s="1"/>
      <c r="W1295" s="195"/>
      <c r="X1295" s="195"/>
    </row>
    <row r="1296" spans="17:24" x14ac:dyDescent="0.25">
      <c r="Q1296" s="195"/>
      <c r="R1296" s="195"/>
      <c r="S1296" s="195"/>
      <c r="T1296" s="195"/>
      <c r="U1296" s="1"/>
      <c r="W1296" s="195"/>
      <c r="X1296" s="195"/>
    </row>
    <row r="1297" spans="17:24" x14ac:dyDescent="0.25">
      <c r="Q1297" s="195"/>
      <c r="R1297" s="195"/>
      <c r="S1297" s="195"/>
      <c r="T1297" s="195"/>
      <c r="U1297" s="1"/>
      <c r="W1297" s="195"/>
      <c r="X1297" s="195"/>
    </row>
    <row r="1298" spans="17:24" x14ac:dyDescent="0.25">
      <c r="Q1298" s="195"/>
      <c r="R1298" s="195"/>
      <c r="S1298" s="195"/>
      <c r="T1298" s="195"/>
      <c r="U1298" s="1"/>
      <c r="W1298" s="195"/>
      <c r="X1298" s="195"/>
    </row>
    <row r="1299" spans="17:24" x14ac:dyDescent="0.25">
      <c r="Q1299" s="195"/>
      <c r="R1299" s="195"/>
      <c r="S1299" s="195"/>
      <c r="T1299" s="195"/>
      <c r="U1299" s="1"/>
      <c r="W1299" s="195"/>
      <c r="X1299" s="195"/>
    </row>
    <row r="1300" spans="17:24" x14ac:dyDescent="0.25">
      <c r="Q1300" s="195"/>
      <c r="R1300" s="195"/>
      <c r="S1300" s="195"/>
      <c r="T1300" s="195"/>
      <c r="U1300" s="1"/>
      <c r="W1300" s="195"/>
      <c r="X1300" s="195"/>
    </row>
    <row r="1301" spans="17:24" x14ac:dyDescent="0.25">
      <c r="Q1301" s="195"/>
      <c r="R1301" s="195"/>
      <c r="S1301" s="195"/>
      <c r="T1301" s="195"/>
      <c r="U1301" s="1"/>
      <c r="W1301" s="195"/>
      <c r="X1301" s="195"/>
    </row>
    <row r="1302" spans="17:24" x14ac:dyDescent="0.25">
      <c r="Q1302" s="195"/>
      <c r="R1302" s="195"/>
      <c r="S1302" s="195"/>
      <c r="T1302" s="195"/>
      <c r="U1302" s="1"/>
      <c r="W1302" s="195"/>
      <c r="X1302" s="195"/>
    </row>
    <row r="1303" spans="17:24" x14ac:dyDescent="0.25">
      <c r="Q1303" s="195"/>
      <c r="R1303" s="195"/>
      <c r="S1303" s="195"/>
      <c r="T1303" s="195"/>
      <c r="U1303" s="1"/>
      <c r="W1303" s="195"/>
      <c r="X1303" s="195"/>
    </row>
    <row r="1304" spans="17:24" x14ac:dyDescent="0.25">
      <c r="Q1304" s="195"/>
      <c r="R1304" s="195"/>
      <c r="S1304" s="195"/>
      <c r="T1304" s="195"/>
      <c r="U1304" s="1"/>
      <c r="W1304" s="195"/>
      <c r="X1304" s="195"/>
    </row>
    <row r="1305" spans="17:24" x14ac:dyDescent="0.25">
      <c r="Q1305" s="195"/>
      <c r="R1305" s="195"/>
      <c r="S1305" s="195"/>
      <c r="T1305" s="195"/>
      <c r="U1305" s="1"/>
      <c r="W1305" s="195"/>
      <c r="X1305" s="195"/>
    </row>
    <row r="1306" spans="17:24" x14ac:dyDescent="0.25">
      <c r="Q1306" s="195"/>
      <c r="R1306" s="195"/>
      <c r="S1306" s="195"/>
      <c r="T1306" s="195"/>
      <c r="U1306" s="1"/>
      <c r="W1306" s="195"/>
      <c r="X1306" s="195"/>
    </row>
    <row r="1307" spans="17:24" x14ac:dyDescent="0.25">
      <c r="Q1307" s="195"/>
      <c r="R1307" s="195"/>
      <c r="S1307" s="195"/>
      <c r="T1307" s="195"/>
      <c r="U1307" s="1"/>
      <c r="W1307" s="195"/>
      <c r="X1307" s="195"/>
    </row>
    <row r="1308" spans="17:24" x14ac:dyDescent="0.25">
      <c r="Q1308" s="195"/>
      <c r="R1308" s="195"/>
      <c r="S1308" s="195"/>
      <c r="T1308" s="195"/>
      <c r="U1308" s="1"/>
      <c r="W1308" s="195"/>
      <c r="X1308" s="195"/>
    </row>
    <row r="1309" spans="17:24" x14ac:dyDescent="0.25">
      <c r="Q1309" s="195"/>
      <c r="R1309" s="195"/>
      <c r="S1309" s="195"/>
      <c r="T1309" s="195"/>
      <c r="U1309" s="1"/>
      <c r="W1309" s="195"/>
      <c r="X1309" s="195"/>
    </row>
    <row r="1310" spans="17:24" x14ac:dyDescent="0.25">
      <c r="Q1310" s="195"/>
      <c r="R1310" s="195"/>
      <c r="S1310" s="195"/>
      <c r="T1310" s="195"/>
      <c r="U1310" s="1"/>
      <c r="W1310" s="195"/>
      <c r="X1310" s="195"/>
    </row>
    <row r="1311" spans="17:24" x14ac:dyDescent="0.25">
      <c r="Q1311" s="195"/>
      <c r="R1311" s="195"/>
      <c r="S1311" s="195"/>
      <c r="T1311" s="195"/>
      <c r="U1311" s="1"/>
      <c r="W1311" s="195"/>
      <c r="X1311" s="195"/>
    </row>
    <row r="1312" spans="17:24" x14ac:dyDescent="0.25">
      <c r="Q1312" s="195"/>
      <c r="R1312" s="195"/>
      <c r="S1312" s="195"/>
      <c r="T1312" s="195"/>
      <c r="U1312" s="1"/>
      <c r="W1312" s="195"/>
      <c r="X1312" s="195"/>
    </row>
    <row r="1313" spans="17:24" x14ac:dyDescent="0.25">
      <c r="Q1313" s="195"/>
      <c r="R1313" s="195"/>
      <c r="S1313" s="195"/>
      <c r="T1313" s="195"/>
      <c r="U1313" s="1"/>
      <c r="W1313" s="195"/>
      <c r="X1313" s="195"/>
    </row>
    <row r="1314" spans="17:24" x14ac:dyDescent="0.25">
      <c r="Q1314" s="195"/>
      <c r="R1314" s="195"/>
      <c r="S1314" s="195"/>
      <c r="T1314" s="195"/>
      <c r="U1314" s="1"/>
      <c r="W1314" s="195"/>
      <c r="X1314" s="195"/>
    </row>
    <row r="1315" spans="17:24" x14ac:dyDescent="0.25">
      <c r="Q1315" s="195"/>
      <c r="R1315" s="195"/>
      <c r="S1315" s="195"/>
      <c r="T1315" s="195"/>
      <c r="U1315" s="1"/>
      <c r="W1315" s="195"/>
      <c r="X1315" s="195"/>
    </row>
    <row r="1316" spans="17:24" x14ac:dyDescent="0.25">
      <c r="Q1316" s="195"/>
      <c r="R1316" s="195"/>
      <c r="S1316" s="195"/>
      <c r="T1316" s="195"/>
      <c r="U1316" s="1"/>
      <c r="W1316" s="195"/>
      <c r="X1316" s="195"/>
    </row>
    <row r="1317" spans="17:24" x14ac:dyDescent="0.25">
      <c r="Q1317" s="195"/>
      <c r="R1317" s="195"/>
      <c r="S1317" s="195"/>
      <c r="T1317" s="195"/>
      <c r="U1317" s="1"/>
      <c r="W1317" s="195"/>
      <c r="X1317" s="195"/>
    </row>
    <row r="1318" spans="17:24" x14ac:dyDescent="0.25">
      <c r="Q1318" s="195"/>
      <c r="R1318" s="195"/>
      <c r="S1318" s="195"/>
      <c r="T1318" s="195"/>
      <c r="U1318" s="1"/>
      <c r="W1318" s="195"/>
      <c r="X1318" s="195"/>
    </row>
    <row r="1319" spans="17:24" x14ac:dyDescent="0.25">
      <c r="Q1319" s="195"/>
      <c r="R1319" s="195"/>
      <c r="S1319" s="195"/>
      <c r="T1319" s="195"/>
      <c r="U1319" s="1"/>
      <c r="W1319" s="195"/>
      <c r="X1319" s="195"/>
    </row>
    <row r="1320" spans="17:24" x14ac:dyDescent="0.25">
      <c r="Q1320" s="195"/>
      <c r="R1320" s="195"/>
      <c r="S1320" s="195"/>
      <c r="T1320" s="195"/>
      <c r="U1320" s="1"/>
      <c r="W1320" s="195"/>
      <c r="X1320" s="195"/>
    </row>
    <row r="1321" spans="17:24" x14ac:dyDescent="0.25">
      <c r="Q1321" s="195"/>
      <c r="R1321" s="195"/>
      <c r="S1321" s="195"/>
      <c r="T1321" s="195"/>
      <c r="U1321" s="1"/>
      <c r="W1321" s="195"/>
      <c r="X1321" s="195"/>
    </row>
    <row r="1322" spans="17:24" x14ac:dyDescent="0.25">
      <c r="Q1322" s="195"/>
      <c r="R1322" s="195"/>
      <c r="S1322" s="195"/>
      <c r="T1322" s="195"/>
      <c r="U1322" s="1"/>
      <c r="W1322" s="195"/>
      <c r="X1322" s="195"/>
    </row>
    <row r="1323" spans="17:24" x14ac:dyDescent="0.25">
      <c r="Q1323" s="195"/>
      <c r="R1323" s="195"/>
      <c r="S1323" s="195"/>
      <c r="T1323" s="195"/>
      <c r="U1323" s="1"/>
      <c r="W1323" s="195"/>
      <c r="X1323" s="195"/>
    </row>
    <row r="1324" spans="17:24" x14ac:dyDescent="0.25">
      <c r="Q1324" s="195"/>
      <c r="R1324" s="195"/>
      <c r="S1324" s="195"/>
      <c r="T1324" s="195"/>
      <c r="U1324" s="1"/>
      <c r="W1324" s="195"/>
      <c r="X1324" s="195"/>
    </row>
    <row r="1325" spans="17:24" x14ac:dyDescent="0.25">
      <c r="Q1325" s="195"/>
      <c r="R1325" s="195"/>
      <c r="S1325" s="195"/>
      <c r="T1325" s="195"/>
      <c r="U1325" s="1"/>
      <c r="W1325" s="195"/>
      <c r="X1325" s="195"/>
    </row>
    <row r="1326" spans="17:24" x14ac:dyDescent="0.25">
      <c r="Q1326" s="195"/>
      <c r="R1326" s="195"/>
      <c r="S1326" s="195"/>
      <c r="T1326" s="195"/>
      <c r="U1326" s="1"/>
      <c r="W1326" s="195"/>
      <c r="X1326" s="195"/>
    </row>
    <row r="1327" spans="17:24" x14ac:dyDescent="0.25">
      <c r="Q1327" s="195"/>
      <c r="R1327" s="195"/>
      <c r="S1327" s="195"/>
      <c r="T1327" s="195"/>
      <c r="U1327" s="1"/>
      <c r="W1327" s="195"/>
      <c r="X1327" s="195"/>
    </row>
    <row r="1328" spans="17:24" x14ac:dyDescent="0.25">
      <c r="Q1328" s="195"/>
      <c r="R1328" s="195"/>
      <c r="S1328" s="195"/>
      <c r="T1328" s="195"/>
      <c r="U1328" s="1"/>
      <c r="W1328" s="195"/>
      <c r="X1328" s="195"/>
    </row>
    <row r="1329" spans="17:24" x14ac:dyDescent="0.25">
      <c r="Q1329" s="195"/>
      <c r="R1329" s="195"/>
      <c r="S1329" s="195"/>
      <c r="T1329" s="195"/>
      <c r="U1329" s="1"/>
      <c r="W1329" s="195"/>
      <c r="X1329" s="195"/>
    </row>
    <row r="1330" spans="17:24" x14ac:dyDescent="0.25">
      <c r="Q1330" s="195"/>
      <c r="R1330" s="195"/>
      <c r="S1330" s="195"/>
      <c r="T1330" s="195"/>
      <c r="U1330" s="1"/>
      <c r="W1330" s="195"/>
      <c r="X1330" s="195"/>
    </row>
    <row r="1331" spans="17:24" x14ac:dyDescent="0.25">
      <c r="Q1331" s="195"/>
      <c r="R1331" s="195"/>
      <c r="S1331" s="195"/>
      <c r="T1331" s="195"/>
      <c r="U1331" s="1"/>
      <c r="W1331" s="195"/>
      <c r="X1331" s="195"/>
    </row>
    <row r="1332" spans="17:24" x14ac:dyDescent="0.25">
      <c r="Q1332" s="195"/>
      <c r="R1332" s="195"/>
      <c r="S1332" s="195"/>
      <c r="T1332" s="195"/>
      <c r="U1332" s="1"/>
      <c r="W1332" s="195"/>
      <c r="X1332" s="195"/>
    </row>
    <row r="1333" spans="17:24" x14ac:dyDescent="0.25">
      <c r="Q1333" s="195"/>
      <c r="R1333" s="195"/>
      <c r="S1333" s="195"/>
      <c r="T1333" s="195"/>
      <c r="U1333" s="1"/>
      <c r="W1333" s="195"/>
      <c r="X1333" s="195"/>
    </row>
    <row r="1334" spans="17:24" x14ac:dyDescent="0.25">
      <c r="Q1334" s="195"/>
      <c r="R1334" s="195"/>
      <c r="S1334" s="195"/>
      <c r="T1334" s="195"/>
      <c r="U1334" s="1"/>
      <c r="W1334" s="195"/>
      <c r="X1334" s="195"/>
    </row>
    <row r="1335" spans="17:24" x14ac:dyDescent="0.25">
      <c r="Q1335" s="195"/>
      <c r="R1335" s="195"/>
      <c r="S1335" s="195"/>
      <c r="T1335" s="195"/>
      <c r="U1335" s="1"/>
      <c r="W1335" s="195"/>
      <c r="X1335" s="195"/>
    </row>
    <row r="1336" spans="17:24" x14ac:dyDescent="0.25">
      <c r="Q1336" s="195"/>
      <c r="R1336" s="195"/>
      <c r="S1336" s="195"/>
      <c r="T1336" s="195"/>
      <c r="U1336" s="1"/>
      <c r="W1336" s="195"/>
      <c r="X1336" s="195"/>
    </row>
    <row r="1337" spans="17:24" x14ac:dyDescent="0.25">
      <c r="Q1337" s="195"/>
      <c r="R1337" s="195"/>
      <c r="S1337" s="195"/>
      <c r="T1337" s="195"/>
      <c r="U1337" s="1"/>
      <c r="W1337" s="195"/>
      <c r="X1337" s="195"/>
    </row>
    <row r="1338" spans="17:24" x14ac:dyDescent="0.25">
      <c r="Q1338" s="195"/>
      <c r="R1338" s="195"/>
      <c r="S1338" s="195"/>
      <c r="T1338" s="195"/>
      <c r="U1338" s="1"/>
      <c r="W1338" s="195"/>
      <c r="X1338" s="195"/>
    </row>
    <row r="1339" spans="17:24" x14ac:dyDescent="0.25">
      <c r="Q1339" s="195"/>
      <c r="R1339" s="195"/>
      <c r="S1339" s="195"/>
      <c r="T1339" s="195"/>
      <c r="U1339" s="1"/>
      <c r="W1339" s="195"/>
      <c r="X1339" s="195"/>
    </row>
    <row r="1340" spans="17:24" x14ac:dyDescent="0.25">
      <c r="Q1340" s="195"/>
      <c r="R1340" s="195"/>
      <c r="S1340" s="195"/>
      <c r="T1340" s="195"/>
      <c r="U1340" s="1"/>
      <c r="W1340" s="195"/>
      <c r="X1340" s="195"/>
    </row>
    <row r="1341" spans="17:24" x14ac:dyDescent="0.25">
      <c r="Q1341" s="195"/>
      <c r="R1341" s="195"/>
      <c r="S1341" s="195"/>
      <c r="T1341" s="195"/>
      <c r="U1341" s="1"/>
      <c r="W1341" s="195"/>
      <c r="X1341" s="195"/>
    </row>
    <row r="1342" spans="17:24" x14ac:dyDescent="0.25">
      <c r="Q1342" s="195"/>
      <c r="R1342" s="195"/>
      <c r="S1342" s="195"/>
      <c r="T1342" s="195"/>
      <c r="U1342" s="1"/>
      <c r="W1342" s="195"/>
      <c r="X1342" s="195"/>
    </row>
    <row r="1343" spans="17:24" x14ac:dyDescent="0.25">
      <c r="Q1343" s="195"/>
      <c r="R1343" s="195"/>
      <c r="S1343" s="195"/>
      <c r="T1343" s="195"/>
      <c r="U1343" s="1"/>
      <c r="W1343" s="195"/>
      <c r="X1343" s="195"/>
    </row>
    <row r="1344" spans="17:24" x14ac:dyDescent="0.25">
      <c r="Q1344" s="195"/>
      <c r="R1344" s="195"/>
      <c r="S1344" s="195"/>
      <c r="T1344" s="195"/>
      <c r="U1344" s="1"/>
      <c r="W1344" s="195"/>
      <c r="X1344" s="195"/>
    </row>
    <row r="1345" spans="17:24" x14ac:dyDescent="0.25">
      <c r="Q1345" s="195"/>
      <c r="R1345" s="195"/>
      <c r="S1345" s="195"/>
      <c r="T1345" s="195"/>
      <c r="U1345" s="1"/>
      <c r="W1345" s="195"/>
      <c r="X1345" s="195"/>
    </row>
    <row r="1346" spans="17:24" x14ac:dyDescent="0.25">
      <c r="Q1346" s="195"/>
      <c r="R1346" s="195"/>
      <c r="S1346" s="195"/>
      <c r="T1346" s="195"/>
      <c r="U1346" s="1"/>
      <c r="W1346" s="195"/>
      <c r="X1346" s="195"/>
    </row>
    <row r="1347" spans="17:24" x14ac:dyDescent="0.25">
      <c r="Q1347" s="195"/>
      <c r="R1347" s="195"/>
      <c r="S1347" s="195"/>
      <c r="T1347" s="195"/>
      <c r="U1347" s="1"/>
      <c r="W1347" s="195"/>
      <c r="X1347" s="195"/>
    </row>
    <row r="1348" spans="17:24" x14ac:dyDescent="0.25">
      <c r="Q1348" s="195"/>
      <c r="R1348" s="195"/>
      <c r="S1348" s="195"/>
      <c r="T1348" s="195"/>
      <c r="U1348" s="1"/>
      <c r="W1348" s="195"/>
      <c r="X1348" s="195"/>
    </row>
    <row r="1349" spans="17:24" x14ac:dyDescent="0.25">
      <c r="Q1349" s="195"/>
      <c r="R1349" s="195"/>
      <c r="S1349" s="195"/>
      <c r="T1349" s="195"/>
      <c r="U1349" s="1"/>
      <c r="W1349" s="195"/>
      <c r="X1349" s="195"/>
    </row>
    <row r="1350" spans="17:24" x14ac:dyDescent="0.25">
      <c r="Q1350" s="195"/>
      <c r="R1350" s="195"/>
      <c r="S1350" s="195"/>
      <c r="T1350" s="195"/>
      <c r="U1350" s="1"/>
      <c r="W1350" s="195"/>
      <c r="X1350" s="195"/>
    </row>
    <row r="1351" spans="17:24" x14ac:dyDescent="0.25">
      <c r="Q1351" s="195"/>
      <c r="R1351" s="195"/>
      <c r="S1351" s="195"/>
      <c r="T1351" s="195"/>
      <c r="U1351" s="1"/>
      <c r="W1351" s="195"/>
      <c r="X1351" s="195"/>
    </row>
    <row r="1352" spans="17:24" x14ac:dyDescent="0.25">
      <c r="Q1352" s="195"/>
      <c r="R1352" s="195"/>
      <c r="S1352" s="195"/>
      <c r="T1352" s="195"/>
      <c r="U1352" s="1"/>
      <c r="W1352" s="195"/>
      <c r="X1352" s="195"/>
    </row>
    <row r="1353" spans="17:24" x14ac:dyDescent="0.25">
      <c r="Q1353" s="195"/>
      <c r="R1353" s="195"/>
      <c r="S1353" s="195"/>
      <c r="T1353" s="195"/>
      <c r="U1353" s="1"/>
      <c r="W1353" s="195"/>
      <c r="X1353" s="195"/>
    </row>
    <row r="1354" spans="17:24" x14ac:dyDescent="0.25">
      <c r="Q1354" s="195"/>
      <c r="R1354" s="195"/>
      <c r="S1354" s="195"/>
      <c r="T1354" s="195"/>
      <c r="U1354" s="1"/>
      <c r="W1354" s="195"/>
      <c r="X1354" s="195"/>
    </row>
    <row r="1355" spans="17:24" x14ac:dyDescent="0.25">
      <c r="Q1355" s="195"/>
      <c r="R1355" s="195"/>
      <c r="S1355" s="195"/>
      <c r="T1355" s="195"/>
      <c r="U1355" s="1"/>
      <c r="W1355" s="195"/>
      <c r="X1355" s="195"/>
    </row>
    <row r="1356" spans="17:24" x14ac:dyDescent="0.25">
      <c r="Q1356" s="195"/>
      <c r="R1356" s="195"/>
      <c r="S1356" s="195"/>
      <c r="T1356" s="195"/>
      <c r="U1356" s="1"/>
      <c r="W1356" s="195"/>
      <c r="X1356" s="195"/>
    </row>
    <row r="1357" spans="17:24" x14ac:dyDescent="0.25">
      <c r="Q1357" s="195"/>
      <c r="R1357" s="195"/>
      <c r="S1357" s="195"/>
      <c r="T1357" s="195"/>
      <c r="U1357" s="1"/>
      <c r="W1357" s="195"/>
      <c r="X1357" s="195"/>
    </row>
    <row r="1358" spans="17:24" x14ac:dyDescent="0.25">
      <c r="Q1358" s="195"/>
      <c r="R1358" s="195"/>
      <c r="S1358" s="195"/>
      <c r="T1358" s="195"/>
      <c r="U1358" s="1"/>
      <c r="W1358" s="195"/>
      <c r="X1358" s="195"/>
    </row>
    <row r="1359" spans="17:24" x14ac:dyDescent="0.25">
      <c r="Q1359" s="195"/>
      <c r="R1359" s="195"/>
      <c r="S1359" s="195"/>
      <c r="T1359" s="195"/>
      <c r="U1359" s="1"/>
      <c r="W1359" s="195"/>
      <c r="X1359" s="195"/>
    </row>
    <row r="1360" spans="17:24" x14ac:dyDescent="0.25">
      <c r="Q1360" s="195"/>
      <c r="R1360" s="195"/>
      <c r="S1360" s="195"/>
      <c r="T1360" s="195"/>
      <c r="U1360" s="1"/>
      <c r="W1360" s="195"/>
      <c r="X1360" s="195"/>
    </row>
    <row r="1361" spans="17:24" x14ac:dyDescent="0.25">
      <c r="Q1361" s="195"/>
      <c r="R1361" s="195"/>
      <c r="S1361" s="195"/>
      <c r="T1361" s="195"/>
      <c r="U1361" s="1"/>
      <c r="W1361" s="195"/>
      <c r="X1361" s="195"/>
    </row>
    <row r="1362" spans="17:24" x14ac:dyDescent="0.25">
      <c r="Q1362" s="195"/>
      <c r="R1362" s="195"/>
      <c r="S1362" s="195"/>
      <c r="T1362" s="195"/>
      <c r="U1362" s="1"/>
      <c r="W1362" s="195"/>
      <c r="X1362" s="195"/>
    </row>
    <row r="1363" spans="17:24" x14ac:dyDescent="0.25">
      <c r="Q1363" s="195"/>
      <c r="R1363" s="195"/>
      <c r="S1363" s="195"/>
      <c r="T1363" s="195"/>
      <c r="U1363" s="1"/>
      <c r="W1363" s="195"/>
      <c r="X1363" s="195"/>
    </row>
    <row r="1364" spans="17:24" x14ac:dyDescent="0.25">
      <c r="Q1364" s="195"/>
      <c r="R1364" s="195"/>
      <c r="S1364" s="195"/>
      <c r="T1364" s="195"/>
      <c r="U1364" s="1"/>
      <c r="W1364" s="195"/>
      <c r="X1364" s="195"/>
    </row>
    <row r="1365" spans="17:24" x14ac:dyDescent="0.25">
      <c r="Q1365" s="195"/>
      <c r="R1365" s="195"/>
      <c r="S1365" s="195"/>
      <c r="T1365" s="195"/>
      <c r="U1365" s="1"/>
      <c r="W1365" s="195"/>
      <c r="X1365" s="195"/>
    </row>
    <row r="1366" spans="17:24" x14ac:dyDescent="0.25">
      <c r="Q1366" s="195"/>
      <c r="R1366" s="195"/>
      <c r="S1366" s="195"/>
      <c r="T1366" s="195"/>
      <c r="U1366" s="1"/>
      <c r="W1366" s="195"/>
      <c r="X1366" s="195"/>
    </row>
    <row r="1367" spans="17:24" x14ac:dyDescent="0.25">
      <c r="Q1367" s="195"/>
      <c r="R1367" s="195"/>
      <c r="S1367" s="195"/>
      <c r="T1367" s="195"/>
      <c r="U1367" s="1"/>
      <c r="W1367" s="195"/>
      <c r="X1367" s="195"/>
    </row>
    <row r="1368" spans="17:24" x14ac:dyDescent="0.25">
      <c r="Q1368" s="195"/>
      <c r="R1368" s="195"/>
      <c r="S1368" s="195"/>
      <c r="T1368" s="195"/>
      <c r="U1368" s="1"/>
      <c r="W1368" s="195"/>
      <c r="X1368" s="195"/>
    </row>
    <row r="1369" spans="17:24" x14ac:dyDescent="0.25">
      <c r="Q1369" s="195"/>
      <c r="R1369" s="195"/>
      <c r="S1369" s="195"/>
      <c r="T1369" s="195"/>
      <c r="U1369" s="1"/>
      <c r="W1369" s="195"/>
      <c r="X1369" s="195"/>
    </row>
    <row r="1370" spans="17:24" x14ac:dyDescent="0.25">
      <c r="Q1370" s="195"/>
      <c r="R1370" s="195"/>
      <c r="S1370" s="195"/>
      <c r="T1370" s="195"/>
      <c r="U1370" s="1"/>
      <c r="W1370" s="195"/>
      <c r="X1370" s="195"/>
    </row>
    <row r="1371" spans="17:24" x14ac:dyDescent="0.25">
      <c r="Q1371" s="195"/>
      <c r="R1371" s="195"/>
      <c r="S1371" s="195"/>
      <c r="T1371" s="195"/>
      <c r="U1371" s="1"/>
      <c r="W1371" s="195"/>
      <c r="X1371" s="195"/>
    </row>
    <row r="1372" spans="17:24" x14ac:dyDescent="0.25">
      <c r="Q1372" s="195"/>
      <c r="R1372" s="195"/>
      <c r="S1372" s="195"/>
      <c r="T1372" s="195"/>
      <c r="U1372" s="1"/>
      <c r="W1372" s="195"/>
      <c r="X1372" s="195"/>
    </row>
    <row r="1373" spans="17:24" x14ac:dyDescent="0.25">
      <c r="Q1373" s="195"/>
      <c r="R1373" s="195"/>
      <c r="S1373" s="195"/>
      <c r="T1373" s="195"/>
      <c r="U1373" s="1"/>
      <c r="W1373" s="195"/>
      <c r="X1373" s="195"/>
    </row>
    <row r="1374" spans="17:24" x14ac:dyDescent="0.25">
      <c r="Q1374" s="195"/>
      <c r="R1374" s="195"/>
      <c r="S1374" s="195"/>
      <c r="T1374" s="195"/>
      <c r="U1374" s="1"/>
      <c r="W1374" s="195"/>
      <c r="X1374" s="195"/>
    </row>
    <row r="1375" spans="17:24" x14ac:dyDescent="0.25">
      <c r="Q1375" s="195"/>
      <c r="R1375" s="195"/>
      <c r="S1375" s="195"/>
      <c r="T1375" s="195"/>
      <c r="U1375" s="1"/>
      <c r="W1375" s="195"/>
      <c r="X1375" s="195"/>
    </row>
    <row r="1376" spans="17:24" x14ac:dyDescent="0.25">
      <c r="Q1376" s="195"/>
      <c r="R1376" s="195"/>
      <c r="S1376" s="195"/>
      <c r="T1376" s="195"/>
      <c r="U1376" s="1"/>
      <c r="W1376" s="195"/>
      <c r="X1376" s="195"/>
    </row>
    <row r="1377" spans="17:24" x14ac:dyDescent="0.25">
      <c r="Q1377" s="195"/>
      <c r="R1377" s="195"/>
      <c r="S1377" s="195"/>
      <c r="T1377" s="195"/>
      <c r="U1377" s="1"/>
      <c r="W1377" s="195"/>
      <c r="X1377" s="195"/>
    </row>
    <row r="1378" spans="17:24" x14ac:dyDescent="0.25">
      <c r="Q1378" s="195"/>
      <c r="R1378" s="195"/>
      <c r="S1378" s="195"/>
      <c r="T1378" s="195"/>
      <c r="U1378" s="1"/>
      <c r="W1378" s="195"/>
      <c r="X1378" s="195"/>
    </row>
    <row r="1379" spans="17:24" x14ac:dyDescent="0.25">
      <c r="Q1379" s="195"/>
      <c r="R1379" s="195"/>
      <c r="S1379" s="195"/>
      <c r="T1379" s="195"/>
      <c r="U1379" s="1"/>
      <c r="W1379" s="195"/>
      <c r="X1379" s="195"/>
    </row>
    <row r="1380" spans="17:24" x14ac:dyDescent="0.25">
      <c r="Q1380" s="195"/>
      <c r="R1380" s="195"/>
      <c r="S1380" s="195"/>
      <c r="T1380" s="195"/>
      <c r="U1380" s="1"/>
      <c r="W1380" s="195"/>
      <c r="X1380" s="195"/>
    </row>
    <row r="1381" spans="17:24" x14ac:dyDescent="0.25">
      <c r="Q1381" s="195"/>
      <c r="R1381" s="195"/>
      <c r="S1381" s="195"/>
      <c r="T1381" s="195"/>
      <c r="U1381" s="1"/>
      <c r="W1381" s="195"/>
      <c r="X1381" s="195"/>
    </row>
    <row r="1382" spans="17:24" x14ac:dyDescent="0.25">
      <c r="Q1382" s="195"/>
      <c r="R1382" s="195"/>
      <c r="S1382" s="195"/>
      <c r="T1382" s="195"/>
      <c r="U1382" s="1"/>
      <c r="W1382" s="195"/>
      <c r="X1382" s="195"/>
    </row>
    <row r="1383" spans="17:24" x14ac:dyDescent="0.25">
      <c r="Q1383" s="195"/>
      <c r="R1383" s="195"/>
      <c r="S1383" s="195"/>
      <c r="T1383" s="195"/>
      <c r="U1383" s="1"/>
      <c r="W1383" s="195"/>
      <c r="X1383" s="195"/>
    </row>
    <row r="1384" spans="17:24" x14ac:dyDescent="0.25">
      <c r="Q1384" s="195"/>
      <c r="R1384" s="195"/>
      <c r="S1384" s="195"/>
      <c r="T1384" s="195"/>
      <c r="U1384" s="1"/>
      <c r="W1384" s="195"/>
      <c r="X1384" s="195"/>
    </row>
    <row r="1385" spans="17:24" x14ac:dyDescent="0.25">
      <c r="Q1385" s="195"/>
      <c r="R1385" s="195"/>
      <c r="S1385" s="195"/>
      <c r="T1385" s="195"/>
      <c r="U1385" s="1"/>
      <c r="W1385" s="195"/>
      <c r="X1385" s="195"/>
    </row>
    <row r="1386" spans="17:24" x14ac:dyDescent="0.25">
      <c r="Q1386" s="195"/>
      <c r="R1386" s="195"/>
      <c r="S1386" s="195"/>
      <c r="T1386" s="195"/>
      <c r="U1386" s="1"/>
      <c r="W1386" s="195"/>
      <c r="X1386" s="195"/>
    </row>
    <row r="1387" spans="17:24" x14ac:dyDescent="0.25">
      <c r="Q1387" s="195"/>
      <c r="R1387" s="195"/>
      <c r="S1387" s="195"/>
      <c r="T1387" s="195"/>
      <c r="U1387" s="1"/>
      <c r="W1387" s="195"/>
      <c r="X1387" s="195"/>
    </row>
    <row r="1388" spans="17:24" x14ac:dyDescent="0.25">
      <c r="Q1388" s="195"/>
      <c r="R1388" s="195"/>
      <c r="S1388" s="195"/>
      <c r="T1388" s="195"/>
      <c r="U1388" s="1"/>
      <c r="W1388" s="195"/>
      <c r="X1388" s="195"/>
    </row>
    <row r="1389" spans="17:24" x14ac:dyDescent="0.25">
      <c r="Q1389" s="195"/>
      <c r="R1389" s="195"/>
      <c r="S1389" s="195"/>
      <c r="T1389" s="195"/>
      <c r="U1389" s="1"/>
      <c r="W1389" s="195"/>
      <c r="X1389" s="195"/>
    </row>
    <row r="1390" spans="17:24" x14ac:dyDescent="0.25">
      <c r="Q1390" s="195"/>
      <c r="R1390" s="195"/>
      <c r="S1390" s="195"/>
      <c r="T1390" s="195"/>
      <c r="U1390" s="1"/>
      <c r="W1390" s="195"/>
      <c r="X1390" s="195"/>
    </row>
    <row r="1391" spans="17:24" x14ac:dyDescent="0.25">
      <c r="Q1391" s="195"/>
      <c r="R1391" s="195"/>
      <c r="S1391" s="195"/>
      <c r="T1391" s="195"/>
      <c r="U1391" s="1"/>
      <c r="W1391" s="195"/>
      <c r="X1391" s="195"/>
    </row>
    <row r="1392" spans="17:24" x14ac:dyDescent="0.25">
      <c r="Q1392" s="195"/>
      <c r="R1392" s="195"/>
      <c r="S1392" s="195"/>
      <c r="T1392" s="195"/>
      <c r="U1392" s="1"/>
      <c r="W1392" s="195"/>
      <c r="X1392" s="195"/>
    </row>
    <row r="1393" spans="17:24" x14ac:dyDescent="0.25">
      <c r="Q1393" s="195"/>
      <c r="R1393" s="195"/>
      <c r="S1393" s="195"/>
      <c r="T1393" s="195"/>
      <c r="U1393" s="1"/>
      <c r="W1393" s="195"/>
      <c r="X1393" s="195"/>
    </row>
    <row r="1394" spans="17:24" x14ac:dyDescent="0.25">
      <c r="Q1394" s="195"/>
      <c r="R1394" s="195"/>
      <c r="S1394" s="195"/>
      <c r="T1394" s="195"/>
      <c r="U1394" s="1"/>
      <c r="W1394" s="195"/>
      <c r="X1394" s="195"/>
    </row>
    <row r="1395" spans="17:24" x14ac:dyDescent="0.25">
      <c r="Q1395" s="195"/>
      <c r="R1395" s="195"/>
      <c r="S1395" s="195"/>
      <c r="T1395" s="195"/>
      <c r="U1395" s="1"/>
      <c r="W1395" s="195"/>
      <c r="X1395" s="195"/>
    </row>
    <row r="1396" spans="17:24" x14ac:dyDescent="0.25">
      <c r="Q1396" s="195"/>
      <c r="R1396" s="195"/>
      <c r="S1396" s="195"/>
      <c r="T1396" s="195"/>
      <c r="U1396" s="1"/>
      <c r="W1396" s="195"/>
      <c r="X1396" s="195"/>
    </row>
    <row r="1397" spans="17:24" x14ac:dyDescent="0.25">
      <c r="Q1397" s="195"/>
      <c r="R1397" s="195"/>
      <c r="S1397" s="195"/>
      <c r="T1397" s="195"/>
      <c r="U1397" s="1"/>
      <c r="W1397" s="195"/>
      <c r="X1397" s="195"/>
    </row>
    <row r="1398" spans="17:24" x14ac:dyDescent="0.25">
      <c r="Q1398" s="195"/>
      <c r="R1398" s="195"/>
      <c r="S1398" s="195"/>
      <c r="T1398" s="195"/>
      <c r="U1398" s="1"/>
      <c r="W1398" s="195"/>
      <c r="X1398" s="195"/>
    </row>
    <row r="1399" spans="17:24" x14ac:dyDescent="0.25">
      <c r="Q1399" s="195"/>
      <c r="R1399" s="195"/>
      <c r="S1399" s="195"/>
      <c r="T1399" s="195"/>
      <c r="U1399" s="1"/>
      <c r="W1399" s="195"/>
      <c r="X1399" s="195"/>
    </row>
    <row r="1400" spans="17:24" x14ac:dyDescent="0.25">
      <c r="Q1400" s="195"/>
      <c r="R1400" s="195"/>
      <c r="S1400" s="195"/>
      <c r="T1400" s="195"/>
      <c r="U1400" s="1"/>
      <c r="W1400" s="195"/>
      <c r="X1400" s="195"/>
    </row>
    <row r="1401" spans="17:24" x14ac:dyDescent="0.25">
      <c r="Q1401" s="195"/>
      <c r="R1401" s="195"/>
      <c r="S1401" s="195"/>
      <c r="T1401" s="195"/>
      <c r="U1401" s="1"/>
      <c r="W1401" s="195"/>
      <c r="X1401" s="195"/>
    </row>
    <row r="1402" spans="17:24" x14ac:dyDescent="0.25">
      <c r="Q1402" s="195"/>
      <c r="R1402" s="195"/>
      <c r="S1402" s="195"/>
      <c r="T1402" s="195"/>
      <c r="U1402" s="1"/>
      <c r="W1402" s="195"/>
      <c r="X1402" s="195"/>
    </row>
    <row r="1403" spans="17:24" x14ac:dyDescent="0.25">
      <c r="Q1403" s="195"/>
      <c r="R1403" s="195"/>
      <c r="S1403" s="195"/>
      <c r="T1403" s="195"/>
      <c r="U1403" s="1"/>
      <c r="W1403" s="195"/>
      <c r="X1403" s="195"/>
    </row>
    <row r="1404" spans="17:24" x14ac:dyDescent="0.25">
      <c r="Q1404" s="195"/>
      <c r="R1404" s="195"/>
      <c r="S1404" s="195"/>
      <c r="T1404" s="195"/>
      <c r="U1404" s="1"/>
      <c r="W1404" s="195"/>
      <c r="X1404" s="195"/>
    </row>
    <row r="1405" spans="17:24" x14ac:dyDescent="0.25">
      <c r="Q1405" s="195"/>
      <c r="R1405" s="195"/>
      <c r="S1405" s="195"/>
      <c r="T1405" s="195"/>
      <c r="U1405" s="1"/>
      <c r="W1405" s="195"/>
      <c r="X1405" s="195"/>
    </row>
    <row r="1406" spans="17:24" x14ac:dyDescent="0.25">
      <c r="Q1406" s="195"/>
      <c r="R1406" s="195"/>
      <c r="S1406" s="195"/>
      <c r="T1406" s="195"/>
      <c r="U1406" s="1"/>
      <c r="W1406" s="195"/>
      <c r="X1406" s="195"/>
    </row>
    <row r="1407" spans="17:24" x14ac:dyDescent="0.25">
      <c r="Q1407" s="195"/>
      <c r="R1407" s="195"/>
      <c r="S1407" s="195"/>
      <c r="T1407" s="195"/>
      <c r="U1407" s="1"/>
      <c r="W1407" s="195"/>
      <c r="X1407" s="195"/>
    </row>
    <row r="1408" spans="17:24" x14ac:dyDescent="0.25">
      <c r="Q1408" s="195"/>
      <c r="R1408" s="195"/>
      <c r="S1408" s="195"/>
      <c r="T1408" s="195"/>
      <c r="U1408" s="1"/>
      <c r="W1408" s="195"/>
      <c r="X1408" s="195"/>
    </row>
    <row r="1409" spans="17:24" x14ac:dyDescent="0.25">
      <c r="Q1409" s="195"/>
      <c r="R1409" s="195"/>
      <c r="S1409" s="195"/>
      <c r="T1409" s="195"/>
      <c r="U1409" s="1"/>
      <c r="W1409" s="195"/>
      <c r="X1409" s="195"/>
    </row>
    <row r="1410" spans="17:24" x14ac:dyDescent="0.25">
      <c r="Q1410" s="195"/>
      <c r="R1410" s="195"/>
      <c r="S1410" s="195"/>
      <c r="T1410" s="195"/>
      <c r="U1410" s="1"/>
      <c r="W1410" s="195"/>
      <c r="X1410" s="195"/>
    </row>
    <row r="1411" spans="17:24" x14ac:dyDescent="0.25">
      <c r="Q1411" s="195"/>
      <c r="R1411" s="195"/>
      <c r="S1411" s="195"/>
      <c r="T1411" s="195"/>
      <c r="U1411" s="1"/>
      <c r="W1411" s="195"/>
      <c r="X1411" s="195"/>
    </row>
    <row r="1412" spans="17:24" x14ac:dyDescent="0.25">
      <c r="Q1412" s="195"/>
      <c r="R1412" s="195"/>
      <c r="S1412" s="195"/>
      <c r="T1412" s="195"/>
      <c r="U1412" s="1"/>
      <c r="W1412" s="195"/>
      <c r="X1412" s="195"/>
    </row>
    <row r="1413" spans="17:24" x14ac:dyDescent="0.25">
      <c r="Q1413" s="195"/>
      <c r="R1413" s="195"/>
      <c r="S1413" s="195"/>
      <c r="T1413" s="195"/>
      <c r="U1413" s="1"/>
      <c r="W1413" s="195"/>
      <c r="X1413" s="195"/>
    </row>
    <row r="1414" spans="17:24" x14ac:dyDescent="0.25">
      <c r="Q1414" s="195"/>
      <c r="R1414" s="195"/>
      <c r="S1414" s="195"/>
      <c r="T1414" s="195"/>
      <c r="U1414" s="1"/>
      <c r="W1414" s="195"/>
      <c r="X1414" s="195"/>
    </row>
    <row r="1415" spans="17:24" x14ac:dyDescent="0.25">
      <c r="Q1415" s="195"/>
      <c r="R1415" s="195"/>
      <c r="S1415" s="195"/>
      <c r="T1415" s="195"/>
      <c r="U1415" s="1"/>
      <c r="W1415" s="195"/>
      <c r="X1415" s="195"/>
    </row>
    <row r="1416" spans="17:24" x14ac:dyDescent="0.25">
      <c r="Q1416" s="195"/>
      <c r="R1416" s="195"/>
      <c r="S1416" s="195"/>
      <c r="T1416" s="195"/>
      <c r="U1416" s="1"/>
      <c r="W1416" s="195"/>
      <c r="X1416" s="195"/>
    </row>
    <row r="1417" spans="17:24" x14ac:dyDescent="0.25">
      <c r="Q1417" s="195"/>
      <c r="R1417" s="195"/>
      <c r="S1417" s="195"/>
      <c r="T1417" s="195"/>
      <c r="U1417" s="1"/>
      <c r="W1417" s="195"/>
      <c r="X1417" s="195"/>
    </row>
    <row r="1418" spans="17:24" x14ac:dyDescent="0.25">
      <c r="Q1418" s="195"/>
      <c r="R1418" s="195"/>
      <c r="S1418" s="195"/>
      <c r="T1418" s="195"/>
      <c r="U1418" s="1"/>
      <c r="W1418" s="195"/>
      <c r="X1418" s="195"/>
    </row>
    <row r="1419" spans="17:24" x14ac:dyDescent="0.25">
      <c r="Q1419" s="195"/>
      <c r="R1419" s="195"/>
      <c r="S1419" s="195"/>
      <c r="T1419" s="195"/>
      <c r="U1419" s="1"/>
      <c r="W1419" s="195"/>
      <c r="X1419" s="195"/>
    </row>
    <row r="1420" spans="17:24" x14ac:dyDescent="0.25">
      <c r="Q1420" s="195"/>
      <c r="R1420" s="195"/>
      <c r="S1420" s="195"/>
      <c r="T1420" s="195"/>
      <c r="U1420" s="1"/>
      <c r="W1420" s="195"/>
      <c r="X1420" s="195"/>
    </row>
    <row r="1421" spans="17:24" x14ac:dyDescent="0.25">
      <c r="Q1421" s="195"/>
      <c r="R1421" s="195"/>
      <c r="S1421" s="195"/>
      <c r="T1421" s="195"/>
      <c r="U1421" s="1"/>
      <c r="W1421" s="195"/>
      <c r="X1421" s="195"/>
    </row>
    <row r="1422" spans="17:24" x14ac:dyDescent="0.25">
      <c r="Q1422" s="195"/>
      <c r="R1422" s="195"/>
      <c r="S1422" s="195"/>
      <c r="T1422" s="195"/>
      <c r="U1422" s="1"/>
      <c r="W1422" s="195"/>
      <c r="X1422" s="195"/>
    </row>
    <row r="1423" spans="17:24" x14ac:dyDescent="0.25">
      <c r="Q1423" s="195"/>
      <c r="R1423" s="195"/>
      <c r="S1423" s="195"/>
      <c r="T1423" s="195"/>
      <c r="U1423" s="1"/>
      <c r="W1423" s="195"/>
      <c r="X1423" s="195"/>
    </row>
    <row r="1424" spans="17:24" x14ac:dyDescent="0.25">
      <c r="Q1424" s="195"/>
      <c r="R1424" s="195"/>
      <c r="S1424" s="195"/>
      <c r="T1424" s="195"/>
      <c r="U1424" s="1"/>
      <c r="W1424" s="195"/>
      <c r="X1424" s="195"/>
    </row>
    <row r="1425" spans="17:24" x14ac:dyDescent="0.25">
      <c r="Q1425" s="195"/>
      <c r="R1425" s="195"/>
      <c r="S1425" s="195"/>
      <c r="T1425" s="195"/>
      <c r="U1425" s="1"/>
      <c r="W1425" s="195"/>
      <c r="X1425" s="195"/>
    </row>
    <row r="1426" spans="17:24" x14ac:dyDescent="0.25">
      <c r="Q1426" s="195"/>
      <c r="R1426" s="195"/>
      <c r="S1426" s="195"/>
      <c r="T1426" s="195"/>
      <c r="U1426" s="1"/>
      <c r="W1426" s="195"/>
      <c r="X1426" s="195"/>
    </row>
    <row r="1427" spans="17:24" x14ac:dyDescent="0.25">
      <c r="Q1427" s="195"/>
      <c r="R1427" s="195"/>
      <c r="S1427" s="195"/>
      <c r="T1427" s="195"/>
      <c r="U1427" s="1"/>
      <c r="W1427" s="195"/>
      <c r="X1427" s="195"/>
    </row>
    <row r="1428" spans="17:24" x14ac:dyDescent="0.25">
      <c r="Q1428" s="195"/>
      <c r="R1428" s="195"/>
      <c r="S1428" s="195"/>
      <c r="T1428" s="195"/>
      <c r="U1428" s="1"/>
      <c r="W1428" s="195"/>
      <c r="X1428" s="195"/>
    </row>
    <row r="1429" spans="17:24" x14ac:dyDescent="0.25">
      <c r="Q1429" s="195"/>
      <c r="R1429" s="195"/>
      <c r="S1429" s="195"/>
      <c r="T1429" s="195"/>
      <c r="U1429" s="1"/>
      <c r="W1429" s="195"/>
      <c r="X1429" s="195"/>
    </row>
    <row r="1430" spans="17:24" x14ac:dyDescent="0.25">
      <c r="Q1430" s="195"/>
      <c r="R1430" s="195"/>
      <c r="S1430" s="195"/>
      <c r="T1430" s="195"/>
      <c r="U1430" s="1"/>
      <c r="W1430" s="195"/>
      <c r="X1430" s="195"/>
    </row>
    <row r="1431" spans="17:24" x14ac:dyDescent="0.25">
      <c r="Q1431" s="195"/>
      <c r="R1431" s="195"/>
      <c r="S1431" s="195"/>
      <c r="T1431" s="195"/>
      <c r="U1431" s="1"/>
      <c r="W1431" s="195"/>
      <c r="X1431" s="195"/>
    </row>
    <row r="1432" spans="17:24" x14ac:dyDescent="0.25">
      <c r="Q1432" s="195"/>
      <c r="R1432" s="195"/>
      <c r="S1432" s="195"/>
      <c r="T1432" s="195"/>
      <c r="U1432" s="1"/>
      <c r="W1432" s="195"/>
      <c r="X1432" s="195"/>
    </row>
    <row r="1433" spans="17:24" x14ac:dyDescent="0.25">
      <c r="Q1433" s="195"/>
      <c r="R1433" s="195"/>
      <c r="S1433" s="195"/>
      <c r="T1433" s="195"/>
      <c r="U1433" s="1"/>
      <c r="W1433" s="195"/>
      <c r="X1433" s="195"/>
    </row>
    <row r="1434" spans="17:24" x14ac:dyDescent="0.25">
      <c r="Q1434" s="195"/>
      <c r="R1434" s="195"/>
      <c r="S1434" s="195"/>
      <c r="T1434" s="195"/>
      <c r="U1434" s="1"/>
      <c r="W1434" s="195"/>
      <c r="X1434" s="195"/>
    </row>
    <row r="1435" spans="17:24" x14ac:dyDescent="0.25">
      <c r="Q1435" s="195"/>
      <c r="R1435" s="195"/>
      <c r="S1435" s="195"/>
      <c r="T1435" s="195"/>
      <c r="U1435" s="1"/>
      <c r="W1435" s="195"/>
      <c r="X1435" s="195"/>
    </row>
    <row r="1436" spans="17:24" x14ac:dyDescent="0.25">
      <c r="Q1436" s="195"/>
      <c r="R1436" s="195"/>
      <c r="S1436" s="195"/>
      <c r="T1436" s="195"/>
      <c r="U1436" s="1"/>
      <c r="W1436" s="195"/>
      <c r="X1436" s="195"/>
    </row>
    <row r="1437" spans="17:24" x14ac:dyDescent="0.25">
      <c r="Q1437" s="195"/>
      <c r="R1437" s="195"/>
      <c r="S1437" s="195"/>
      <c r="T1437" s="195"/>
      <c r="U1437" s="1"/>
      <c r="W1437" s="195"/>
      <c r="X1437" s="195"/>
    </row>
    <row r="1438" spans="17:24" x14ac:dyDescent="0.25">
      <c r="Q1438" s="195"/>
      <c r="R1438" s="195"/>
      <c r="S1438" s="195"/>
      <c r="T1438" s="195"/>
      <c r="U1438" s="1"/>
      <c r="W1438" s="195"/>
      <c r="X1438" s="195"/>
    </row>
    <row r="1439" spans="17:24" x14ac:dyDescent="0.25">
      <c r="Q1439" s="195"/>
      <c r="R1439" s="195"/>
      <c r="S1439" s="195"/>
      <c r="T1439" s="195"/>
      <c r="U1439" s="1"/>
      <c r="W1439" s="195"/>
      <c r="X1439" s="195"/>
    </row>
    <row r="1440" spans="17:24" x14ac:dyDescent="0.25">
      <c r="Q1440" s="195"/>
      <c r="R1440" s="195"/>
      <c r="S1440" s="195"/>
      <c r="T1440" s="195"/>
      <c r="U1440" s="1"/>
      <c r="W1440" s="195"/>
      <c r="X1440" s="195"/>
    </row>
    <row r="1441" spans="17:24" x14ac:dyDescent="0.25">
      <c r="Q1441" s="195"/>
      <c r="R1441" s="195"/>
      <c r="S1441" s="195"/>
      <c r="T1441" s="195"/>
      <c r="U1441" s="1"/>
      <c r="W1441" s="195"/>
      <c r="X1441" s="195"/>
    </row>
    <row r="1442" spans="17:24" x14ac:dyDescent="0.25">
      <c r="Q1442" s="195"/>
      <c r="R1442" s="195"/>
      <c r="S1442" s="195"/>
      <c r="T1442" s="195"/>
      <c r="U1442" s="1"/>
      <c r="W1442" s="195"/>
      <c r="X1442" s="195"/>
    </row>
    <row r="1443" spans="17:24" x14ac:dyDescent="0.25">
      <c r="Q1443" s="195"/>
      <c r="R1443" s="195"/>
      <c r="S1443" s="195"/>
      <c r="T1443" s="195"/>
      <c r="U1443" s="1"/>
      <c r="W1443" s="195"/>
      <c r="X1443" s="195"/>
    </row>
    <row r="1444" spans="17:24" x14ac:dyDescent="0.25">
      <c r="Q1444" s="195"/>
      <c r="R1444" s="195"/>
      <c r="S1444" s="195"/>
      <c r="T1444" s="195"/>
      <c r="U1444" s="1"/>
      <c r="W1444" s="195"/>
      <c r="X1444" s="195"/>
    </row>
    <row r="1445" spans="17:24" x14ac:dyDescent="0.25">
      <c r="Q1445" s="195"/>
      <c r="R1445" s="195"/>
      <c r="S1445" s="195"/>
      <c r="T1445" s="195"/>
      <c r="U1445" s="1"/>
      <c r="W1445" s="195"/>
      <c r="X1445" s="195"/>
    </row>
    <row r="1446" spans="17:24" x14ac:dyDescent="0.25">
      <c r="Q1446" s="195"/>
      <c r="R1446" s="195"/>
      <c r="S1446" s="195"/>
      <c r="T1446" s="195"/>
      <c r="U1446" s="1"/>
      <c r="W1446" s="195"/>
      <c r="X1446" s="195"/>
    </row>
    <row r="1447" spans="17:24" x14ac:dyDescent="0.25">
      <c r="Q1447" s="195"/>
      <c r="R1447" s="195"/>
      <c r="S1447" s="195"/>
      <c r="T1447" s="195"/>
      <c r="U1447" s="1"/>
      <c r="W1447" s="195"/>
      <c r="X1447" s="195"/>
    </row>
    <row r="1448" spans="17:24" x14ac:dyDescent="0.25">
      <c r="Q1448" s="195"/>
      <c r="R1448" s="195"/>
      <c r="S1448" s="195"/>
      <c r="T1448" s="195"/>
      <c r="U1448" s="1"/>
      <c r="W1448" s="195"/>
      <c r="X1448" s="195"/>
    </row>
    <row r="1449" spans="17:24" x14ac:dyDescent="0.25">
      <c r="Q1449" s="195"/>
      <c r="R1449" s="195"/>
      <c r="S1449" s="195"/>
      <c r="T1449" s="195"/>
      <c r="U1449" s="1"/>
      <c r="W1449" s="195"/>
      <c r="X1449" s="195"/>
    </row>
    <row r="1450" spans="17:24" x14ac:dyDescent="0.25">
      <c r="Q1450" s="195"/>
      <c r="R1450" s="195"/>
      <c r="S1450" s="195"/>
      <c r="T1450" s="195"/>
      <c r="U1450" s="1"/>
      <c r="W1450" s="195"/>
      <c r="X1450" s="195"/>
    </row>
    <row r="1451" spans="17:24" x14ac:dyDescent="0.25">
      <c r="Q1451" s="195"/>
      <c r="R1451" s="195"/>
      <c r="S1451" s="195"/>
      <c r="T1451" s="195"/>
      <c r="U1451" s="1"/>
      <c r="W1451" s="195"/>
      <c r="X1451" s="195"/>
    </row>
    <row r="1452" spans="17:24" x14ac:dyDescent="0.25">
      <c r="Q1452" s="195"/>
      <c r="R1452" s="195"/>
      <c r="S1452" s="195"/>
      <c r="T1452" s="195"/>
      <c r="U1452" s="1"/>
      <c r="W1452" s="195"/>
      <c r="X1452" s="195"/>
    </row>
    <row r="1453" spans="17:24" x14ac:dyDescent="0.25">
      <c r="Q1453" s="195"/>
      <c r="R1453" s="195"/>
      <c r="S1453" s="195"/>
      <c r="T1453" s="195"/>
      <c r="U1453" s="1"/>
      <c r="W1453" s="195"/>
      <c r="X1453" s="195"/>
    </row>
    <row r="1454" spans="17:24" x14ac:dyDescent="0.25">
      <c r="Q1454" s="195"/>
      <c r="R1454" s="195"/>
      <c r="S1454" s="195"/>
      <c r="T1454" s="195"/>
      <c r="U1454" s="1"/>
      <c r="W1454" s="195"/>
      <c r="X1454" s="195"/>
    </row>
    <row r="1455" spans="17:24" x14ac:dyDescent="0.25">
      <c r="Q1455" s="195"/>
      <c r="R1455" s="195"/>
      <c r="S1455" s="195"/>
      <c r="T1455" s="195"/>
      <c r="U1455" s="1"/>
      <c r="W1455" s="195"/>
      <c r="X1455" s="195"/>
    </row>
    <row r="1456" spans="17:24" x14ac:dyDescent="0.25">
      <c r="Q1456" s="195"/>
      <c r="R1456" s="195"/>
      <c r="S1456" s="195"/>
      <c r="T1456" s="195"/>
      <c r="U1456" s="1"/>
      <c r="W1456" s="195"/>
      <c r="X1456" s="195"/>
    </row>
    <row r="1457" spans="17:24" x14ac:dyDescent="0.25">
      <c r="Q1457" s="195"/>
      <c r="R1457" s="195"/>
      <c r="S1457" s="195"/>
      <c r="T1457" s="195"/>
      <c r="U1457" s="1"/>
      <c r="W1457" s="195"/>
      <c r="X1457" s="195"/>
    </row>
    <row r="1458" spans="17:24" x14ac:dyDescent="0.25">
      <c r="Q1458" s="195"/>
      <c r="R1458" s="195"/>
      <c r="S1458" s="195"/>
      <c r="T1458" s="195"/>
      <c r="U1458" s="1"/>
      <c r="W1458" s="195"/>
      <c r="X1458" s="195"/>
    </row>
    <row r="1459" spans="17:24" x14ac:dyDescent="0.25">
      <c r="Q1459" s="195"/>
      <c r="R1459" s="195"/>
      <c r="S1459" s="195"/>
      <c r="T1459" s="195"/>
      <c r="U1459" s="1"/>
      <c r="W1459" s="195"/>
      <c r="X1459" s="195"/>
    </row>
    <row r="1460" spans="17:24" x14ac:dyDescent="0.25">
      <c r="Q1460" s="195"/>
      <c r="R1460" s="195"/>
      <c r="S1460" s="195"/>
      <c r="T1460" s="195"/>
      <c r="U1460" s="1"/>
      <c r="W1460" s="195"/>
      <c r="X1460" s="195"/>
    </row>
    <row r="1461" spans="17:24" x14ac:dyDescent="0.25">
      <c r="Q1461" s="195"/>
      <c r="R1461" s="195"/>
      <c r="S1461" s="195"/>
      <c r="T1461" s="195"/>
      <c r="U1461" s="1"/>
      <c r="W1461" s="195"/>
      <c r="X1461" s="195"/>
    </row>
    <row r="1462" spans="17:24" x14ac:dyDescent="0.25">
      <c r="Q1462" s="195"/>
      <c r="R1462" s="195"/>
      <c r="S1462" s="195"/>
      <c r="T1462" s="195"/>
      <c r="U1462" s="1"/>
      <c r="W1462" s="195"/>
      <c r="X1462" s="195"/>
    </row>
    <row r="1463" spans="17:24" x14ac:dyDescent="0.25">
      <c r="Q1463" s="195"/>
      <c r="R1463" s="195"/>
      <c r="S1463" s="195"/>
      <c r="T1463" s="195"/>
      <c r="U1463" s="1"/>
      <c r="W1463" s="195"/>
      <c r="X1463" s="195"/>
    </row>
    <row r="1464" spans="17:24" x14ac:dyDescent="0.25">
      <c r="Q1464" s="195"/>
      <c r="R1464" s="195"/>
      <c r="S1464" s="195"/>
      <c r="T1464" s="195"/>
      <c r="U1464" s="1"/>
      <c r="W1464" s="195"/>
      <c r="X1464" s="195"/>
    </row>
    <row r="1465" spans="17:24" x14ac:dyDescent="0.25">
      <c r="Q1465" s="195"/>
      <c r="R1465" s="195"/>
      <c r="S1465" s="195"/>
      <c r="T1465" s="195"/>
      <c r="U1465" s="1"/>
      <c r="W1465" s="195"/>
      <c r="X1465" s="195"/>
    </row>
    <row r="1466" spans="17:24" x14ac:dyDescent="0.25">
      <c r="Q1466" s="195"/>
      <c r="R1466" s="195"/>
      <c r="S1466" s="195"/>
      <c r="T1466" s="195"/>
      <c r="U1466" s="1"/>
      <c r="W1466" s="195"/>
      <c r="X1466" s="195"/>
    </row>
    <row r="1467" spans="17:24" x14ac:dyDescent="0.25">
      <c r="Q1467" s="195"/>
      <c r="R1467" s="195"/>
      <c r="S1467" s="195"/>
      <c r="T1467" s="195"/>
      <c r="U1467" s="1"/>
      <c r="W1467" s="195"/>
      <c r="X1467" s="195"/>
    </row>
    <row r="1468" spans="17:24" x14ac:dyDescent="0.25">
      <c r="Q1468" s="195"/>
      <c r="R1468" s="195"/>
      <c r="S1468" s="195"/>
      <c r="T1468" s="195"/>
      <c r="U1468" s="1"/>
      <c r="W1468" s="195"/>
      <c r="X1468" s="195"/>
    </row>
    <row r="1469" spans="17:24" x14ac:dyDescent="0.25">
      <c r="Q1469" s="195"/>
      <c r="R1469" s="195"/>
      <c r="S1469" s="195"/>
      <c r="T1469" s="195"/>
      <c r="U1469" s="1"/>
      <c r="W1469" s="195"/>
      <c r="X1469" s="195"/>
    </row>
    <row r="1470" spans="17:24" x14ac:dyDescent="0.25">
      <c r="Q1470" s="195"/>
      <c r="R1470" s="195"/>
      <c r="S1470" s="195"/>
      <c r="T1470" s="195"/>
      <c r="U1470" s="1"/>
      <c r="W1470" s="195"/>
      <c r="X1470" s="195"/>
    </row>
    <row r="1471" spans="17:24" x14ac:dyDescent="0.25">
      <c r="Q1471" s="195"/>
      <c r="R1471" s="195"/>
      <c r="S1471" s="195"/>
      <c r="T1471" s="195"/>
      <c r="U1471" s="1"/>
      <c r="W1471" s="195"/>
      <c r="X1471" s="195"/>
    </row>
    <row r="1472" spans="17:24" x14ac:dyDescent="0.25">
      <c r="Q1472" s="195"/>
      <c r="R1472" s="195"/>
      <c r="S1472" s="195"/>
      <c r="T1472" s="195"/>
      <c r="U1472" s="1"/>
      <c r="W1472" s="195"/>
      <c r="X1472" s="195"/>
    </row>
    <row r="1473" spans="17:24" x14ac:dyDescent="0.25">
      <c r="Q1473" s="195"/>
      <c r="R1473" s="195"/>
      <c r="S1473" s="195"/>
      <c r="T1473" s="195"/>
      <c r="U1473" s="1"/>
      <c r="W1473" s="195"/>
      <c r="X1473" s="195"/>
    </row>
    <row r="1474" spans="17:24" x14ac:dyDescent="0.25">
      <c r="Q1474" s="195"/>
      <c r="R1474" s="195"/>
      <c r="S1474" s="195"/>
      <c r="T1474" s="195"/>
      <c r="U1474" s="1"/>
      <c r="W1474" s="195"/>
      <c r="X1474" s="195"/>
    </row>
    <row r="1475" spans="17:24" x14ac:dyDescent="0.25">
      <c r="Q1475" s="195"/>
      <c r="R1475" s="195"/>
      <c r="S1475" s="195"/>
      <c r="T1475" s="195"/>
      <c r="U1475" s="1"/>
      <c r="W1475" s="195"/>
      <c r="X1475" s="195"/>
    </row>
    <row r="1476" spans="17:24" x14ac:dyDescent="0.25">
      <c r="Q1476" s="195"/>
      <c r="R1476" s="195"/>
      <c r="S1476" s="195"/>
      <c r="T1476" s="195"/>
      <c r="U1476" s="1"/>
      <c r="W1476" s="195"/>
      <c r="X1476" s="195"/>
    </row>
    <row r="1477" spans="17:24" x14ac:dyDescent="0.25">
      <c r="Q1477" s="195"/>
      <c r="R1477" s="195"/>
      <c r="S1477" s="195"/>
      <c r="T1477" s="195"/>
      <c r="U1477" s="1"/>
      <c r="W1477" s="195"/>
      <c r="X1477" s="195"/>
    </row>
    <row r="1478" spans="17:24" x14ac:dyDescent="0.25">
      <c r="Q1478" s="195"/>
      <c r="R1478" s="195"/>
      <c r="S1478" s="195"/>
      <c r="T1478" s="195"/>
      <c r="U1478" s="1"/>
      <c r="W1478" s="195"/>
      <c r="X1478" s="195"/>
    </row>
    <row r="1479" spans="17:24" x14ac:dyDescent="0.25">
      <c r="Q1479" s="195"/>
      <c r="R1479" s="195"/>
      <c r="S1479" s="195"/>
      <c r="T1479" s="195"/>
      <c r="U1479" s="1"/>
      <c r="W1479" s="195"/>
      <c r="X1479" s="195"/>
    </row>
    <row r="1480" spans="17:24" x14ac:dyDescent="0.25">
      <c r="Q1480" s="195"/>
      <c r="R1480" s="195"/>
      <c r="S1480" s="195"/>
      <c r="T1480" s="195"/>
      <c r="U1480" s="1"/>
      <c r="W1480" s="195"/>
      <c r="X1480" s="195"/>
    </row>
    <row r="1481" spans="17:24" x14ac:dyDescent="0.25">
      <c r="Q1481" s="195"/>
      <c r="R1481" s="195"/>
      <c r="S1481" s="195"/>
      <c r="T1481" s="195"/>
      <c r="U1481" s="1"/>
      <c r="W1481" s="195"/>
      <c r="X1481" s="195"/>
    </row>
    <row r="1482" spans="17:24" x14ac:dyDescent="0.25">
      <c r="Q1482" s="195"/>
      <c r="R1482" s="195"/>
      <c r="S1482" s="195"/>
      <c r="T1482" s="195"/>
      <c r="U1482" s="1"/>
      <c r="W1482" s="195"/>
      <c r="X1482" s="195"/>
    </row>
    <row r="1483" spans="17:24" x14ac:dyDescent="0.25">
      <c r="Q1483" s="195"/>
      <c r="R1483" s="195"/>
      <c r="S1483" s="195"/>
      <c r="T1483" s="195"/>
      <c r="U1483" s="1"/>
      <c r="W1483" s="195"/>
      <c r="X1483" s="195"/>
    </row>
    <row r="1484" spans="17:24" x14ac:dyDescent="0.25">
      <c r="Q1484" s="195"/>
      <c r="R1484" s="195"/>
      <c r="S1484" s="195"/>
      <c r="T1484" s="195"/>
      <c r="U1484" s="1"/>
      <c r="W1484" s="195"/>
      <c r="X1484" s="195"/>
    </row>
    <row r="1485" spans="17:24" x14ac:dyDescent="0.25">
      <c r="Q1485" s="195"/>
      <c r="R1485" s="195"/>
      <c r="S1485" s="195"/>
      <c r="T1485" s="195"/>
      <c r="U1485" s="1"/>
      <c r="W1485" s="195"/>
      <c r="X1485" s="195"/>
    </row>
    <row r="1486" spans="17:24" x14ac:dyDescent="0.25">
      <c r="Q1486" s="195"/>
      <c r="R1486" s="195"/>
      <c r="S1486" s="195"/>
      <c r="T1486" s="195"/>
      <c r="U1486" s="1"/>
      <c r="W1486" s="195"/>
      <c r="X1486" s="195"/>
    </row>
    <row r="1487" spans="17:24" x14ac:dyDescent="0.25">
      <c r="Q1487" s="195"/>
      <c r="R1487" s="195"/>
      <c r="S1487" s="195"/>
      <c r="T1487" s="195"/>
      <c r="U1487" s="1"/>
      <c r="W1487" s="195"/>
      <c r="X1487" s="195"/>
    </row>
    <row r="1488" spans="17:24" x14ac:dyDescent="0.25">
      <c r="Q1488" s="195"/>
      <c r="R1488" s="195"/>
      <c r="S1488" s="195"/>
      <c r="T1488" s="195"/>
      <c r="U1488" s="1"/>
      <c r="W1488" s="195"/>
      <c r="X1488" s="195"/>
    </row>
    <row r="1489" spans="17:24" x14ac:dyDescent="0.25">
      <c r="Q1489" s="195"/>
      <c r="R1489" s="195"/>
      <c r="S1489" s="195"/>
      <c r="T1489" s="195"/>
      <c r="U1489" s="1"/>
      <c r="W1489" s="195"/>
      <c r="X1489" s="195"/>
    </row>
    <row r="1490" spans="17:24" x14ac:dyDescent="0.25">
      <c r="Q1490" s="195"/>
      <c r="R1490" s="195"/>
      <c r="S1490" s="195"/>
      <c r="T1490" s="195"/>
      <c r="U1490" s="1"/>
      <c r="W1490" s="195"/>
      <c r="X1490" s="195"/>
    </row>
    <row r="1491" spans="17:24" x14ac:dyDescent="0.25">
      <c r="Q1491" s="195"/>
      <c r="R1491" s="195"/>
      <c r="S1491" s="195"/>
      <c r="T1491" s="195"/>
      <c r="U1491" s="1"/>
      <c r="W1491" s="195"/>
      <c r="X1491" s="195"/>
    </row>
    <row r="1492" spans="17:24" x14ac:dyDescent="0.25">
      <c r="Q1492" s="195"/>
      <c r="R1492" s="195"/>
      <c r="S1492" s="195"/>
      <c r="T1492" s="195"/>
      <c r="U1492" s="1"/>
      <c r="W1492" s="195"/>
      <c r="X1492" s="195"/>
    </row>
    <row r="1493" spans="17:24" x14ac:dyDescent="0.25">
      <c r="Q1493" s="195"/>
      <c r="R1493" s="195"/>
      <c r="S1493" s="195"/>
      <c r="T1493" s="195"/>
      <c r="U1493" s="1"/>
      <c r="W1493" s="195"/>
      <c r="X1493" s="195"/>
    </row>
    <row r="1494" spans="17:24" x14ac:dyDescent="0.25">
      <c r="Q1494" s="195"/>
      <c r="R1494" s="195"/>
      <c r="S1494" s="195"/>
      <c r="T1494" s="195"/>
      <c r="U1494" s="1"/>
      <c r="W1494" s="195"/>
      <c r="X1494" s="195"/>
    </row>
    <row r="1495" spans="17:24" x14ac:dyDescent="0.25">
      <c r="Q1495" s="195"/>
      <c r="R1495" s="195"/>
      <c r="S1495" s="195"/>
      <c r="T1495" s="195"/>
      <c r="U1495" s="1"/>
      <c r="W1495" s="195"/>
      <c r="X1495" s="195"/>
    </row>
    <row r="1496" spans="17:24" x14ac:dyDescent="0.25">
      <c r="Q1496" s="195"/>
      <c r="R1496" s="195"/>
      <c r="S1496" s="195"/>
      <c r="T1496" s="195"/>
      <c r="U1496" s="1"/>
      <c r="W1496" s="195"/>
      <c r="X1496" s="195"/>
    </row>
    <row r="1497" spans="17:24" x14ac:dyDescent="0.25">
      <c r="Q1497" s="195"/>
      <c r="R1497" s="195"/>
      <c r="S1497" s="195"/>
      <c r="T1497" s="195"/>
      <c r="U1497" s="1"/>
      <c r="W1497" s="195"/>
      <c r="X1497" s="195"/>
    </row>
    <row r="1498" spans="17:24" x14ac:dyDescent="0.25">
      <c r="Q1498" s="195"/>
      <c r="R1498" s="195"/>
      <c r="S1498" s="195"/>
      <c r="T1498" s="195"/>
      <c r="U1498" s="1"/>
      <c r="W1498" s="195"/>
      <c r="X1498" s="195"/>
    </row>
    <row r="1499" spans="17:24" x14ac:dyDescent="0.25">
      <c r="Q1499" s="195"/>
      <c r="R1499" s="195"/>
      <c r="S1499" s="195"/>
      <c r="T1499" s="195"/>
      <c r="U1499" s="1"/>
      <c r="W1499" s="195"/>
      <c r="X1499" s="195"/>
    </row>
    <row r="1500" spans="17:24" x14ac:dyDescent="0.25">
      <c r="Q1500" s="195"/>
      <c r="R1500" s="195"/>
      <c r="S1500" s="195"/>
      <c r="T1500" s="195"/>
      <c r="U1500" s="1"/>
      <c r="W1500" s="195"/>
      <c r="X1500" s="195"/>
    </row>
    <row r="1501" spans="17:24" x14ac:dyDescent="0.25">
      <c r="Q1501" s="195"/>
      <c r="R1501" s="195"/>
      <c r="S1501" s="195"/>
      <c r="T1501" s="195"/>
      <c r="U1501" s="1"/>
      <c r="W1501" s="195"/>
      <c r="X1501" s="195"/>
    </row>
    <row r="1502" spans="17:24" x14ac:dyDescent="0.25">
      <c r="Q1502" s="195"/>
      <c r="R1502" s="195"/>
      <c r="S1502" s="195"/>
      <c r="T1502" s="195"/>
      <c r="U1502" s="1"/>
      <c r="W1502" s="195"/>
      <c r="X1502" s="195"/>
    </row>
    <row r="1503" spans="17:24" x14ac:dyDescent="0.25">
      <c r="Q1503" s="195"/>
      <c r="R1503" s="195"/>
      <c r="S1503" s="195"/>
      <c r="T1503" s="195"/>
      <c r="U1503" s="1"/>
      <c r="W1503" s="195"/>
      <c r="X1503" s="195"/>
    </row>
    <row r="1504" spans="17:24" x14ac:dyDescent="0.25">
      <c r="Q1504" s="195"/>
      <c r="R1504" s="195"/>
      <c r="S1504" s="195"/>
      <c r="T1504" s="195"/>
      <c r="U1504" s="1"/>
      <c r="W1504" s="195"/>
      <c r="X1504" s="195"/>
    </row>
    <row r="1505" spans="17:24" x14ac:dyDescent="0.25">
      <c r="Q1505" s="195"/>
      <c r="R1505" s="195"/>
      <c r="S1505" s="195"/>
      <c r="T1505" s="195"/>
      <c r="U1505" s="1"/>
      <c r="W1505" s="195"/>
      <c r="X1505" s="195"/>
    </row>
    <row r="1506" spans="17:24" x14ac:dyDescent="0.25">
      <c r="Q1506" s="195"/>
      <c r="R1506" s="195"/>
      <c r="S1506" s="195"/>
      <c r="T1506" s="195"/>
      <c r="U1506" s="1"/>
      <c r="W1506" s="195"/>
      <c r="X1506" s="195"/>
    </row>
    <row r="1507" spans="17:24" x14ac:dyDescent="0.25">
      <c r="Q1507" s="195"/>
      <c r="R1507" s="195"/>
      <c r="S1507" s="195"/>
      <c r="T1507" s="195"/>
      <c r="U1507" s="1"/>
      <c r="W1507" s="195"/>
      <c r="X1507" s="195"/>
    </row>
    <row r="1508" spans="17:24" x14ac:dyDescent="0.25">
      <c r="Q1508" s="195"/>
      <c r="R1508" s="195"/>
      <c r="S1508" s="195"/>
      <c r="T1508" s="195"/>
      <c r="U1508" s="1"/>
      <c r="W1508" s="195"/>
      <c r="X1508" s="195"/>
    </row>
    <row r="1509" spans="17:24" x14ac:dyDescent="0.25">
      <c r="Q1509" s="195"/>
      <c r="R1509" s="195"/>
      <c r="S1509" s="195"/>
      <c r="T1509" s="195"/>
      <c r="U1509" s="1"/>
      <c r="W1509" s="195"/>
      <c r="X1509" s="195"/>
    </row>
    <row r="1510" spans="17:24" x14ac:dyDescent="0.25">
      <c r="Q1510" s="195"/>
      <c r="R1510" s="195"/>
      <c r="S1510" s="195"/>
      <c r="T1510" s="195"/>
      <c r="U1510" s="1"/>
      <c r="W1510" s="195"/>
      <c r="X1510" s="195"/>
    </row>
    <row r="1511" spans="17:24" x14ac:dyDescent="0.25">
      <c r="Q1511" s="195"/>
      <c r="R1511" s="195"/>
      <c r="S1511" s="195"/>
      <c r="T1511" s="195"/>
      <c r="U1511" s="1"/>
      <c r="W1511" s="195"/>
      <c r="X1511" s="195"/>
    </row>
    <row r="1512" spans="17:24" x14ac:dyDescent="0.25">
      <c r="Q1512" s="195"/>
      <c r="R1512" s="195"/>
      <c r="S1512" s="195"/>
      <c r="T1512" s="195"/>
      <c r="U1512" s="1"/>
      <c r="W1512" s="195"/>
      <c r="X1512" s="195"/>
    </row>
    <row r="1513" spans="17:24" x14ac:dyDescent="0.25">
      <c r="Q1513" s="195"/>
      <c r="R1513" s="195"/>
      <c r="S1513" s="195"/>
      <c r="T1513" s="195"/>
      <c r="U1513" s="1"/>
      <c r="W1513" s="195"/>
      <c r="X1513" s="195"/>
    </row>
    <row r="1514" spans="17:24" x14ac:dyDescent="0.25">
      <c r="Q1514" s="195"/>
      <c r="R1514" s="195"/>
      <c r="S1514" s="195"/>
      <c r="T1514" s="195"/>
      <c r="U1514" s="1"/>
      <c r="W1514" s="195"/>
      <c r="X1514" s="195"/>
    </row>
    <row r="1515" spans="17:24" x14ac:dyDescent="0.25">
      <c r="Q1515" s="195"/>
      <c r="R1515" s="195"/>
      <c r="S1515" s="195"/>
      <c r="T1515" s="195"/>
      <c r="U1515" s="1"/>
      <c r="W1515" s="195"/>
      <c r="X1515" s="195"/>
    </row>
    <row r="1516" spans="17:24" x14ac:dyDescent="0.25">
      <c r="Q1516" s="195"/>
      <c r="R1516" s="195"/>
      <c r="S1516" s="195"/>
      <c r="T1516" s="195"/>
      <c r="U1516" s="1"/>
      <c r="W1516" s="195"/>
      <c r="X1516" s="195"/>
    </row>
    <row r="1517" spans="17:24" x14ac:dyDescent="0.25">
      <c r="Q1517" s="195"/>
      <c r="R1517" s="195"/>
      <c r="S1517" s="195"/>
      <c r="T1517" s="195"/>
      <c r="U1517" s="1"/>
      <c r="W1517" s="195"/>
      <c r="X1517" s="195"/>
    </row>
    <row r="1518" spans="17:24" x14ac:dyDescent="0.25">
      <c r="Q1518" s="195"/>
      <c r="R1518" s="195"/>
      <c r="S1518" s="195"/>
      <c r="T1518" s="195"/>
      <c r="U1518" s="1"/>
      <c r="W1518" s="195"/>
      <c r="X1518" s="195"/>
    </row>
    <row r="1519" spans="17:24" x14ac:dyDescent="0.25">
      <c r="Q1519" s="195"/>
      <c r="R1519" s="195"/>
      <c r="S1519" s="195"/>
      <c r="T1519" s="195"/>
      <c r="U1519" s="1"/>
      <c r="W1519" s="195"/>
      <c r="X1519" s="195"/>
    </row>
    <row r="1520" spans="17:24" x14ac:dyDescent="0.25">
      <c r="Q1520" s="195"/>
      <c r="R1520" s="195"/>
      <c r="S1520" s="195"/>
      <c r="T1520" s="195"/>
      <c r="U1520" s="1"/>
      <c r="W1520" s="195"/>
      <c r="X1520" s="195"/>
    </row>
    <row r="1521" spans="17:24" x14ac:dyDescent="0.25">
      <c r="Q1521" s="195"/>
      <c r="R1521" s="195"/>
      <c r="S1521" s="195"/>
      <c r="T1521" s="195"/>
      <c r="U1521" s="1"/>
      <c r="W1521" s="195"/>
      <c r="X1521" s="195"/>
    </row>
    <row r="1522" spans="17:24" x14ac:dyDescent="0.25">
      <c r="Q1522" s="195"/>
      <c r="R1522" s="195"/>
      <c r="S1522" s="195"/>
      <c r="T1522" s="195"/>
      <c r="U1522" s="1"/>
      <c r="W1522" s="195"/>
      <c r="X1522" s="195"/>
    </row>
    <row r="1523" spans="17:24" x14ac:dyDescent="0.25">
      <c r="Q1523" s="195"/>
      <c r="R1523" s="195"/>
      <c r="S1523" s="195"/>
      <c r="T1523" s="195"/>
      <c r="U1523" s="1"/>
      <c r="W1523" s="195"/>
      <c r="X1523" s="195"/>
    </row>
    <row r="1524" spans="17:24" x14ac:dyDescent="0.25">
      <c r="Q1524" s="195"/>
      <c r="R1524" s="195"/>
      <c r="S1524" s="195"/>
      <c r="T1524" s="195"/>
      <c r="U1524" s="1"/>
      <c r="W1524" s="195"/>
      <c r="X1524" s="195"/>
    </row>
    <row r="1525" spans="17:24" x14ac:dyDescent="0.25">
      <c r="Q1525" s="195"/>
      <c r="R1525" s="195"/>
      <c r="S1525" s="195"/>
      <c r="T1525" s="195"/>
      <c r="U1525" s="1"/>
      <c r="W1525" s="195"/>
      <c r="X1525" s="195"/>
    </row>
    <row r="1526" spans="17:24" x14ac:dyDescent="0.25">
      <c r="Q1526" s="195"/>
      <c r="R1526" s="195"/>
      <c r="S1526" s="195"/>
      <c r="T1526" s="195"/>
      <c r="U1526" s="1"/>
      <c r="W1526" s="195"/>
      <c r="X1526" s="195"/>
    </row>
    <row r="1527" spans="17:24" x14ac:dyDescent="0.25">
      <c r="Q1527" s="195"/>
      <c r="R1527" s="195"/>
      <c r="S1527" s="195"/>
      <c r="T1527" s="195"/>
      <c r="U1527" s="1"/>
      <c r="W1527" s="195"/>
      <c r="X1527" s="195"/>
    </row>
    <row r="1528" spans="17:24" x14ac:dyDescent="0.25">
      <c r="Q1528" s="195"/>
      <c r="R1528" s="195"/>
      <c r="S1528" s="195"/>
      <c r="T1528" s="195"/>
      <c r="U1528" s="1"/>
      <c r="W1528" s="195"/>
      <c r="X1528" s="195"/>
    </row>
    <row r="1529" spans="17:24" x14ac:dyDescent="0.25">
      <c r="Q1529" s="195"/>
      <c r="R1529" s="195"/>
      <c r="S1529" s="195"/>
      <c r="T1529" s="195"/>
      <c r="U1529" s="1"/>
      <c r="W1529" s="195"/>
      <c r="X1529" s="195"/>
    </row>
    <row r="1530" spans="17:24" x14ac:dyDescent="0.25">
      <c r="Q1530" s="195"/>
      <c r="R1530" s="195"/>
      <c r="S1530" s="195"/>
      <c r="T1530" s="195"/>
      <c r="U1530" s="1"/>
      <c r="W1530" s="195"/>
      <c r="X1530" s="195"/>
    </row>
    <row r="1531" spans="17:24" x14ac:dyDescent="0.25">
      <c r="Q1531" s="195"/>
      <c r="R1531" s="195"/>
      <c r="S1531" s="195"/>
      <c r="T1531" s="195"/>
      <c r="U1531" s="1"/>
      <c r="W1531" s="195"/>
      <c r="X1531" s="195"/>
    </row>
    <row r="1532" spans="17:24" x14ac:dyDescent="0.25">
      <c r="Q1532" s="195"/>
      <c r="R1532" s="195"/>
      <c r="S1532" s="195"/>
      <c r="T1532" s="195"/>
      <c r="U1532" s="1"/>
      <c r="W1532" s="195"/>
      <c r="X1532" s="195"/>
    </row>
    <row r="1533" spans="17:24" x14ac:dyDescent="0.25">
      <c r="Q1533" s="195"/>
      <c r="R1533" s="195"/>
      <c r="S1533" s="195"/>
      <c r="T1533" s="195"/>
      <c r="U1533" s="1"/>
      <c r="W1533" s="195"/>
      <c r="X1533" s="195"/>
    </row>
    <row r="1534" spans="17:24" x14ac:dyDescent="0.25">
      <c r="Q1534" s="195"/>
      <c r="R1534" s="195"/>
      <c r="S1534" s="195"/>
      <c r="T1534" s="195"/>
      <c r="U1534" s="1"/>
      <c r="W1534" s="195"/>
      <c r="X1534" s="195"/>
    </row>
    <row r="1535" spans="17:24" x14ac:dyDescent="0.25">
      <c r="Q1535" s="195"/>
      <c r="R1535" s="195"/>
      <c r="S1535" s="195"/>
      <c r="T1535" s="195"/>
      <c r="U1535" s="1"/>
      <c r="W1535" s="195"/>
      <c r="X1535" s="195"/>
    </row>
    <row r="1536" spans="17:24" x14ac:dyDescent="0.25">
      <c r="Q1536" s="195"/>
      <c r="R1536" s="195"/>
      <c r="S1536" s="195"/>
      <c r="T1536" s="195"/>
      <c r="U1536" s="1"/>
      <c r="W1536" s="195"/>
      <c r="X1536" s="195"/>
    </row>
    <row r="1537" spans="17:24" x14ac:dyDescent="0.25">
      <c r="Q1537" s="195"/>
      <c r="R1537" s="195"/>
      <c r="S1537" s="195"/>
      <c r="T1537" s="195"/>
      <c r="U1537" s="1"/>
      <c r="W1537" s="195"/>
      <c r="X1537" s="195"/>
    </row>
    <row r="1538" spans="17:24" x14ac:dyDescent="0.25">
      <c r="Q1538" s="195"/>
      <c r="R1538" s="195"/>
      <c r="S1538" s="195"/>
      <c r="T1538" s="195"/>
      <c r="U1538" s="1"/>
      <c r="W1538" s="195"/>
      <c r="X1538" s="195"/>
    </row>
    <row r="1539" spans="17:24" x14ac:dyDescent="0.25">
      <c r="Q1539" s="195"/>
      <c r="R1539" s="195"/>
      <c r="S1539" s="195"/>
      <c r="T1539" s="195"/>
      <c r="U1539" s="1"/>
      <c r="W1539" s="195"/>
      <c r="X1539" s="195"/>
    </row>
    <row r="1540" spans="17:24" x14ac:dyDescent="0.25">
      <c r="Q1540" s="195"/>
      <c r="R1540" s="195"/>
      <c r="S1540" s="195"/>
      <c r="T1540" s="195"/>
      <c r="U1540" s="1"/>
      <c r="W1540" s="195"/>
      <c r="X1540" s="195"/>
    </row>
    <row r="1541" spans="17:24" x14ac:dyDescent="0.25">
      <c r="Q1541" s="195"/>
      <c r="R1541" s="195"/>
      <c r="S1541" s="195"/>
      <c r="T1541" s="195"/>
      <c r="U1541" s="1"/>
      <c r="W1541" s="195"/>
      <c r="X1541" s="195"/>
    </row>
    <row r="1542" spans="17:24" x14ac:dyDescent="0.25">
      <c r="Q1542" s="195"/>
      <c r="R1542" s="195"/>
      <c r="S1542" s="195"/>
      <c r="T1542" s="195"/>
      <c r="U1542" s="1"/>
      <c r="W1542" s="195"/>
      <c r="X1542" s="195"/>
    </row>
    <row r="1543" spans="17:24" x14ac:dyDescent="0.25">
      <c r="Q1543" s="195"/>
      <c r="R1543" s="195"/>
      <c r="S1543" s="195"/>
      <c r="T1543" s="195"/>
      <c r="U1543" s="1"/>
      <c r="W1543" s="195"/>
      <c r="X1543" s="195"/>
    </row>
    <row r="1544" spans="17:24" x14ac:dyDescent="0.25">
      <c r="Q1544" s="195"/>
      <c r="R1544" s="195"/>
      <c r="S1544" s="195"/>
      <c r="T1544" s="195"/>
      <c r="U1544" s="1"/>
      <c r="W1544" s="195"/>
      <c r="X1544" s="195"/>
    </row>
    <row r="1545" spans="17:24" x14ac:dyDescent="0.25">
      <c r="Q1545" s="195"/>
      <c r="R1545" s="195"/>
      <c r="S1545" s="195"/>
      <c r="T1545" s="195"/>
      <c r="U1545" s="1"/>
      <c r="W1545" s="195"/>
      <c r="X1545" s="195"/>
    </row>
    <row r="1546" spans="17:24" x14ac:dyDescent="0.25">
      <c r="Q1546" s="195"/>
      <c r="R1546" s="195"/>
      <c r="S1546" s="195"/>
      <c r="T1546" s="195"/>
      <c r="U1546" s="1"/>
      <c r="W1546" s="195"/>
      <c r="X1546" s="195"/>
    </row>
    <row r="1547" spans="17:24" x14ac:dyDescent="0.25">
      <c r="Q1547" s="195"/>
      <c r="R1547" s="195"/>
      <c r="S1547" s="195"/>
      <c r="T1547" s="195"/>
      <c r="U1547" s="1"/>
      <c r="W1547" s="195"/>
      <c r="X1547" s="195"/>
    </row>
    <row r="1548" spans="17:24" x14ac:dyDescent="0.25">
      <c r="Q1548" s="195"/>
      <c r="R1548" s="195"/>
      <c r="S1548" s="195"/>
      <c r="T1548" s="195"/>
      <c r="U1548" s="1"/>
      <c r="W1548" s="195"/>
      <c r="X1548" s="195"/>
    </row>
    <row r="1549" spans="17:24" x14ac:dyDescent="0.25">
      <c r="Q1549" s="195"/>
      <c r="R1549" s="195"/>
      <c r="S1549" s="195"/>
      <c r="T1549" s="195"/>
      <c r="U1549" s="1"/>
      <c r="W1549" s="195"/>
      <c r="X1549" s="195"/>
    </row>
    <row r="1550" spans="17:24" x14ac:dyDescent="0.25">
      <c r="Q1550" s="195"/>
      <c r="R1550" s="195"/>
      <c r="S1550" s="195"/>
      <c r="T1550" s="195"/>
      <c r="U1550" s="1"/>
      <c r="W1550" s="195"/>
      <c r="X1550" s="195"/>
    </row>
    <row r="1551" spans="17:24" x14ac:dyDescent="0.25">
      <c r="Q1551" s="195"/>
      <c r="R1551" s="195"/>
      <c r="S1551" s="195"/>
      <c r="T1551" s="195"/>
      <c r="U1551" s="1"/>
      <c r="W1551" s="195"/>
      <c r="X1551" s="195"/>
    </row>
    <row r="1552" spans="17:24" x14ac:dyDescent="0.25">
      <c r="Q1552" s="195"/>
      <c r="R1552" s="195"/>
      <c r="S1552" s="195"/>
      <c r="T1552" s="195"/>
      <c r="U1552" s="1"/>
      <c r="W1552" s="195"/>
      <c r="X1552" s="195"/>
    </row>
    <row r="1553" spans="17:24" x14ac:dyDescent="0.25">
      <c r="Q1553" s="195"/>
      <c r="R1553" s="195"/>
      <c r="S1553" s="195"/>
      <c r="T1553" s="195"/>
      <c r="U1553" s="1"/>
      <c r="W1553" s="195"/>
      <c r="X1553" s="195"/>
    </row>
    <row r="1554" spans="17:24" x14ac:dyDescent="0.25">
      <c r="Q1554" s="195"/>
      <c r="R1554" s="195"/>
      <c r="S1554" s="195"/>
      <c r="T1554" s="195"/>
      <c r="U1554" s="1"/>
      <c r="W1554" s="195"/>
      <c r="X1554" s="195"/>
    </row>
    <row r="1555" spans="17:24" x14ac:dyDescent="0.25">
      <c r="Q1555" s="195"/>
      <c r="R1555" s="195"/>
      <c r="S1555" s="195"/>
      <c r="T1555" s="195"/>
      <c r="U1555" s="1"/>
      <c r="W1555" s="195"/>
      <c r="X1555" s="195"/>
    </row>
    <row r="1556" spans="17:24" x14ac:dyDescent="0.25">
      <c r="Q1556" s="195"/>
      <c r="R1556" s="195"/>
      <c r="S1556" s="195"/>
      <c r="T1556" s="195"/>
      <c r="U1556" s="1"/>
      <c r="W1556" s="195"/>
      <c r="X1556" s="195"/>
    </row>
    <row r="1557" spans="17:24" x14ac:dyDescent="0.25">
      <c r="Q1557" s="195"/>
      <c r="R1557" s="195"/>
      <c r="S1557" s="195"/>
      <c r="T1557" s="195"/>
      <c r="U1557" s="1"/>
      <c r="W1557" s="195"/>
      <c r="X1557" s="195"/>
    </row>
    <row r="1558" spans="17:24" x14ac:dyDescent="0.25">
      <c r="Q1558" s="195"/>
      <c r="R1558" s="195"/>
      <c r="S1558" s="195"/>
      <c r="T1558" s="195"/>
      <c r="U1558" s="1"/>
      <c r="W1558" s="195"/>
      <c r="X1558" s="195"/>
    </row>
    <row r="1559" spans="17:24" x14ac:dyDescent="0.25">
      <c r="Q1559" s="195"/>
      <c r="R1559" s="195"/>
      <c r="S1559" s="195"/>
      <c r="T1559" s="195"/>
      <c r="U1559" s="1"/>
      <c r="W1559" s="195"/>
      <c r="X1559" s="195"/>
    </row>
    <row r="1560" spans="17:24" x14ac:dyDescent="0.25">
      <c r="Q1560" s="195"/>
      <c r="R1560" s="195"/>
      <c r="S1560" s="195"/>
      <c r="T1560" s="195"/>
      <c r="U1560" s="1"/>
      <c r="W1560" s="195"/>
      <c r="X1560" s="195"/>
    </row>
    <row r="1561" spans="17:24" x14ac:dyDescent="0.25">
      <c r="Q1561" s="195"/>
      <c r="R1561" s="195"/>
      <c r="S1561" s="195"/>
      <c r="T1561" s="195"/>
      <c r="U1561" s="1"/>
      <c r="W1561" s="195"/>
      <c r="X1561" s="195"/>
    </row>
    <row r="1562" spans="17:24" x14ac:dyDescent="0.25">
      <c r="Q1562" s="195"/>
      <c r="R1562" s="195"/>
      <c r="S1562" s="195"/>
      <c r="T1562" s="195"/>
      <c r="U1562" s="1"/>
      <c r="W1562" s="195"/>
      <c r="X1562" s="195"/>
    </row>
    <row r="1563" spans="17:24" x14ac:dyDescent="0.25">
      <c r="Q1563" s="195"/>
      <c r="R1563" s="195"/>
      <c r="S1563" s="195"/>
      <c r="T1563" s="195"/>
      <c r="U1563" s="1"/>
      <c r="W1563" s="195"/>
      <c r="X1563" s="195"/>
    </row>
    <row r="1564" spans="17:24" x14ac:dyDescent="0.25">
      <c r="Q1564" s="195"/>
      <c r="R1564" s="195"/>
      <c r="S1564" s="195"/>
      <c r="T1564" s="195"/>
      <c r="U1564" s="1"/>
      <c r="W1564" s="195"/>
      <c r="X1564" s="195"/>
    </row>
    <row r="1565" spans="17:24" x14ac:dyDescent="0.25">
      <c r="Q1565" s="195"/>
      <c r="R1565" s="195"/>
      <c r="S1565" s="195"/>
      <c r="T1565" s="195"/>
      <c r="U1565" s="1"/>
      <c r="W1565" s="195"/>
      <c r="X1565" s="195"/>
    </row>
    <row r="1566" spans="17:24" x14ac:dyDescent="0.25">
      <c r="Q1566" s="195"/>
      <c r="R1566" s="195"/>
      <c r="S1566" s="195"/>
      <c r="T1566" s="195"/>
      <c r="U1566" s="1"/>
      <c r="W1566" s="195"/>
      <c r="X1566" s="195"/>
    </row>
    <row r="1567" spans="17:24" x14ac:dyDescent="0.25">
      <c r="Q1567" s="195"/>
      <c r="R1567" s="195"/>
      <c r="S1567" s="195"/>
      <c r="T1567" s="195"/>
      <c r="U1567" s="1"/>
      <c r="W1567" s="195"/>
      <c r="X1567" s="195"/>
    </row>
    <row r="1568" spans="17:24" x14ac:dyDescent="0.25">
      <c r="Q1568" s="195"/>
      <c r="R1568" s="195"/>
      <c r="S1568" s="195"/>
      <c r="T1568" s="195"/>
      <c r="U1568" s="1"/>
      <c r="W1568" s="195"/>
      <c r="X1568" s="195"/>
    </row>
    <row r="1569" spans="17:24" x14ac:dyDescent="0.25">
      <c r="Q1569" s="195"/>
      <c r="R1569" s="195"/>
      <c r="S1569" s="195"/>
      <c r="T1569" s="195"/>
      <c r="U1569" s="1"/>
      <c r="W1569" s="195"/>
      <c r="X1569" s="195"/>
    </row>
    <row r="1570" spans="17:24" x14ac:dyDescent="0.25">
      <c r="Q1570" s="195"/>
      <c r="R1570" s="195"/>
      <c r="S1570" s="195"/>
      <c r="T1570" s="195"/>
      <c r="U1570" s="1"/>
      <c r="W1570" s="195"/>
      <c r="X1570" s="195"/>
    </row>
    <row r="1571" spans="17:24" x14ac:dyDescent="0.25">
      <c r="Q1571" s="195"/>
      <c r="R1571" s="195"/>
      <c r="S1571" s="195"/>
      <c r="T1571" s="195"/>
      <c r="U1571" s="1"/>
      <c r="W1571" s="195"/>
      <c r="X1571" s="195"/>
    </row>
    <row r="1572" spans="17:24" x14ac:dyDescent="0.25">
      <c r="Q1572" s="195"/>
      <c r="R1572" s="195"/>
      <c r="S1572" s="195"/>
      <c r="T1572" s="195"/>
      <c r="U1572" s="1"/>
      <c r="W1572" s="195"/>
      <c r="X1572" s="195"/>
    </row>
    <row r="1573" spans="17:24" x14ac:dyDescent="0.25">
      <c r="Q1573" s="195"/>
      <c r="R1573" s="195"/>
      <c r="S1573" s="195"/>
      <c r="T1573" s="195"/>
      <c r="U1573" s="1"/>
      <c r="W1573" s="195"/>
      <c r="X1573" s="195"/>
    </row>
    <row r="1574" spans="17:24" x14ac:dyDescent="0.25">
      <c r="Q1574" s="195"/>
      <c r="R1574" s="195"/>
      <c r="S1574" s="195"/>
      <c r="T1574" s="195"/>
      <c r="U1574" s="1"/>
      <c r="W1574" s="195"/>
      <c r="X1574" s="195"/>
    </row>
    <row r="1575" spans="17:24" x14ac:dyDescent="0.25">
      <c r="Q1575" s="195"/>
      <c r="R1575" s="195"/>
      <c r="S1575" s="195"/>
      <c r="T1575" s="195"/>
      <c r="U1575" s="1"/>
      <c r="W1575" s="195"/>
      <c r="X1575" s="195"/>
    </row>
    <row r="1576" spans="17:24" x14ac:dyDescent="0.25">
      <c r="Q1576" s="195"/>
      <c r="R1576" s="195"/>
      <c r="S1576" s="195"/>
      <c r="T1576" s="195"/>
      <c r="U1576" s="1"/>
      <c r="W1576" s="195"/>
      <c r="X1576" s="195"/>
    </row>
    <row r="1577" spans="17:24" x14ac:dyDescent="0.25">
      <c r="Q1577" s="195"/>
      <c r="R1577" s="195"/>
      <c r="S1577" s="195"/>
      <c r="T1577" s="195"/>
      <c r="U1577" s="1"/>
      <c r="W1577" s="195"/>
      <c r="X1577" s="195"/>
    </row>
    <row r="1578" spans="17:24" x14ac:dyDescent="0.25">
      <c r="Q1578" s="195"/>
      <c r="R1578" s="195"/>
      <c r="S1578" s="195"/>
      <c r="T1578" s="195"/>
      <c r="U1578" s="1"/>
      <c r="W1578" s="195"/>
      <c r="X1578" s="195"/>
    </row>
    <row r="1579" spans="17:24" x14ac:dyDescent="0.25">
      <c r="Q1579" s="195"/>
      <c r="R1579" s="195"/>
      <c r="S1579" s="195"/>
      <c r="T1579" s="195"/>
      <c r="U1579" s="1"/>
      <c r="W1579" s="195"/>
      <c r="X1579" s="195"/>
    </row>
    <row r="1580" spans="17:24" x14ac:dyDescent="0.25">
      <c r="Q1580" s="195"/>
      <c r="R1580" s="195"/>
      <c r="S1580" s="195"/>
      <c r="T1580" s="195"/>
      <c r="U1580" s="1"/>
      <c r="W1580" s="195"/>
      <c r="X1580" s="195"/>
    </row>
    <row r="1581" spans="17:24" x14ac:dyDescent="0.25">
      <c r="Q1581" s="195"/>
      <c r="R1581" s="195"/>
      <c r="S1581" s="195"/>
      <c r="T1581" s="195"/>
      <c r="U1581" s="1"/>
      <c r="W1581" s="195"/>
      <c r="X1581" s="195"/>
    </row>
    <row r="1582" spans="17:24" x14ac:dyDescent="0.25">
      <c r="Q1582" s="195"/>
      <c r="R1582" s="195"/>
      <c r="S1582" s="195"/>
      <c r="T1582" s="195"/>
      <c r="U1582" s="1"/>
      <c r="W1582" s="195"/>
      <c r="X1582" s="195"/>
    </row>
    <row r="1583" spans="17:24" x14ac:dyDescent="0.25">
      <c r="Q1583" s="195"/>
      <c r="R1583" s="195"/>
      <c r="S1583" s="195"/>
      <c r="T1583" s="195"/>
      <c r="U1583" s="1"/>
      <c r="W1583" s="195"/>
      <c r="X1583" s="195"/>
    </row>
    <row r="1584" spans="17:24" x14ac:dyDescent="0.25">
      <c r="Q1584" s="195"/>
      <c r="R1584" s="195"/>
      <c r="S1584" s="195"/>
      <c r="T1584" s="195"/>
      <c r="U1584" s="1"/>
      <c r="W1584" s="195"/>
      <c r="X1584" s="195"/>
    </row>
    <row r="1585" spans="17:24" x14ac:dyDescent="0.25">
      <c r="Q1585" s="195"/>
      <c r="R1585" s="195"/>
      <c r="S1585" s="195"/>
      <c r="T1585" s="195"/>
      <c r="U1585" s="1"/>
      <c r="W1585" s="195"/>
      <c r="X1585" s="195"/>
    </row>
    <row r="1586" spans="17:24" x14ac:dyDescent="0.25">
      <c r="Q1586" s="195"/>
      <c r="R1586" s="195"/>
      <c r="S1586" s="195"/>
      <c r="T1586" s="195"/>
      <c r="U1586" s="1"/>
      <c r="W1586" s="195"/>
      <c r="X1586" s="195"/>
    </row>
    <row r="1587" spans="17:24" x14ac:dyDescent="0.25">
      <c r="Q1587" s="195"/>
      <c r="R1587" s="195"/>
      <c r="S1587" s="195"/>
      <c r="T1587" s="195"/>
      <c r="U1587" s="1"/>
      <c r="W1587" s="195"/>
      <c r="X1587" s="195"/>
    </row>
    <row r="1588" spans="17:24" x14ac:dyDescent="0.25">
      <c r="Q1588" s="195"/>
      <c r="R1588" s="195"/>
      <c r="S1588" s="195"/>
      <c r="T1588" s="195"/>
      <c r="U1588" s="1"/>
      <c r="W1588" s="195"/>
      <c r="X1588" s="195"/>
    </row>
    <row r="1589" spans="17:24" x14ac:dyDescent="0.25">
      <c r="Q1589" s="195"/>
      <c r="R1589" s="195"/>
      <c r="S1589" s="195"/>
      <c r="T1589" s="195"/>
      <c r="U1589" s="1"/>
      <c r="W1589" s="195"/>
      <c r="X1589" s="195"/>
    </row>
    <row r="1590" spans="17:24" x14ac:dyDescent="0.25">
      <c r="Q1590" s="195"/>
      <c r="R1590" s="195"/>
      <c r="S1590" s="195"/>
      <c r="T1590" s="195"/>
      <c r="U1590" s="1"/>
      <c r="W1590" s="195"/>
      <c r="X1590" s="195"/>
    </row>
    <row r="1591" spans="17:24" x14ac:dyDescent="0.25">
      <c r="Q1591" s="195"/>
      <c r="R1591" s="195"/>
      <c r="S1591" s="195"/>
      <c r="T1591" s="195"/>
      <c r="U1591" s="1"/>
      <c r="W1591" s="195"/>
      <c r="X1591" s="195"/>
    </row>
    <row r="1592" spans="17:24" x14ac:dyDescent="0.25">
      <c r="Q1592" s="195"/>
      <c r="R1592" s="195"/>
      <c r="S1592" s="195"/>
      <c r="T1592" s="195"/>
      <c r="U1592" s="1"/>
      <c r="W1592" s="195"/>
      <c r="X1592" s="195"/>
    </row>
    <row r="1593" spans="17:24" x14ac:dyDescent="0.25">
      <c r="Q1593" s="195"/>
      <c r="R1593" s="195"/>
      <c r="S1593" s="195"/>
      <c r="T1593" s="195"/>
      <c r="U1593" s="1"/>
      <c r="W1593" s="195"/>
      <c r="X1593" s="195"/>
    </row>
    <row r="1594" spans="17:24" x14ac:dyDescent="0.25">
      <c r="Q1594" s="195"/>
      <c r="R1594" s="195"/>
      <c r="S1594" s="195"/>
      <c r="T1594" s="195"/>
      <c r="U1594" s="1"/>
      <c r="W1594" s="195"/>
      <c r="X1594" s="195"/>
    </row>
    <row r="1595" spans="17:24" x14ac:dyDescent="0.25">
      <c r="Q1595" s="195"/>
      <c r="R1595" s="195"/>
      <c r="S1595" s="195"/>
      <c r="T1595" s="195"/>
      <c r="U1595" s="1"/>
      <c r="W1595" s="195"/>
      <c r="X1595" s="195"/>
    </row>
    <row r="1596" spans="17:24" x14ac:dyDescent="0.25">
      <c r="Q1596" s="195"/>
      <c r="R1596" s="195"/>
      <c r="S1596" s="195"/>
      <c r="T1596" s="195"/>
      <c r="U1596" s="1"/>
      <c r="W1596" s="195"/>
      <c r="X1596" s="195"/>
    </row>
    <row r="1597" spans="17:24" x14ac:dyDescent="0.25">
      <c r="Q1597" s="195"/>
      <c r="R1597" s="195"/>
      <c r="S1597" s="195"/>
      <c r="T1597" s="195"/>
      <c r="U1597" s="1"/>
      <c r="W1597" s="195"/>
      <c r="X1597" s="195"/>
    </row>
    <row r="1598" spans="17:24" x14ac:dyDescent="0.25">
      <c r="Q1598" s="195"/>
      <c r="R1598" s="195"/>
      <c r="S1598" s="195"/>
      <c r="T1598" s="195"/>
      <c r="U1598" s="1"/>
      <c r="W1598" s="195"/>
      <c r="X1598" s="195"/>
    </row>
    <row r="1599" spans="17:24" x14ac:dyDescent="0.25">
      <c r="Q1599" s="195"/>
      <c r="R1599" s="195"/>
      <c r="S1599" s="195"/>
      <c r="T1599" s="195"/>
      <c r="U1599" s="1"/>
      <c r="W1599" s="195"/>
      <c r="X1599" s="195"/>
    </row>
    <row r="1600" spans="17:24" x14ac:dyDescent="0.25">
      <c r="Q1600" s="195"/>
      <c r="R1600" s="195"/>
      <c r="S1600" s="195"/>
      <c r="T1600" s="195"/>
      <c r="U1600" s="1"/>
      <c r="W1600" s="195"/>
      <c r="X1600" s="195"/>
    </row>
    <row r="1601" spans="17:24" x14ac:dyDescent="0.25">
      <c r="Q1601" s="195"/>
      <c r="R1601" s="195"/>
      <c r="S1601" s="195"/>
      <c r="T1601" s="195"/>
      <c r="U1601" s="1"/>
      <c r="W1601" s="195"/>
      <c r="X1601" s="195"/>
    </row>
    <row r="1602" spans="17:24" x14ac:dyDescent="0.25">
      <c r="Q1602" s="195"/>
      <c r="R1602" s="195"/>
      <c r="S1602" s="195"/>
      <c r="T1602" s="195"/>
      <c r="U1602" s="1"/>
      <c r="W1602" s="195"/>
      <c r="X1602" s="195"/>
    </row>
    <row r="1603" spans="17:24" x14ac:dyDescent="0.25">
      <c r="Q1603" s="195"/>
      <c r="R1603" s="195"/>
      <c r="S1603" s="195"/>
      <c r="T1603" s="195"/>
      <c r="U1603" s="1"/>
      <c r="W1603" s="195"/>
      <c r="X1603" s="195"/>
    </row>
    <row r="1604" spans="17:24" x14ac:dyDescent="0.25">
      <c r="Q1604" s="195"/>
      <c r="R1604" s="195"/>
      <c r="S1604" s="195"/>
      <c r="T1604" s="195"/>
      <c r="U1604" s="1"/>
      <c r="W1604" s="195"/>
      <c r="X1604" s="195"/>
    </row>
    <row r="1605" spans="17:24" x14ac:dyDescent="0.25">
      <c r="Q1605" s="195"/>
      <c r="R1605" s="195"/>
      <c r="S1605" s="195"/>
      <c r="T1605" s="195"/>
      <c r="U1605" s="1"/>
      <c r="W1605" s="195"/>
      <c r="X1605" s="195"/>
    </row>
    <row r="1606" spans="17:24" x14ac:dyDescent="0.25">
      <c r="Q1606" s="195"/>
      <c r="R1606" s="195"/>
      <c r="S1606" s="195"/>
      <c r="T1606" s="195"/>
      <c r="U1606" s="1"/>
      <c r="W1606" s="195"/>
      <c r="X1606" s="195"/>
    </row>
    <row r="1607" spans="17:24" x14ac:dyDescent="0.25">
      <c r="Q1607" s="195"/>
      <c r="R1607" s="195"/>
      <c r="S1607" s="195"/>
      <c r="T1607" s="195"/>
      <c r="U1607" s="1"/>
      <c r="W1607" s="195"/>
      <c r="X1607" s="195"/>
    </row>
    <row r="1608" spans="17:24" x14ac:dyDescent="0.25">
      <c r="Q1608" s="195"/>
      <c r="R1608" s="195"/>
      <c r="S1608" s="195"/>
      <c r="T1608" s="195"/>
      <c r="U1608" s="1"/>
      <c r="W1608" s="195"/>
      <c r="X1608" s="195"/>
    </row>
    <row r="1609" spans="17:24" x14ac:dyDescent="0.25">
      <c r="Q1609" s="195"/>
      <c r="R1609" s="195"/>
      <c r="S1609" s="195"/>
      <c r="T1609" s="195"/>
      <c r="U1609" s="1"/>
      <c r="W1609" s="195"/>
      <c r="X1609" s="195"/>
    </row>
    <row r="1610" spans="17:24" x14ac:dyDescent="0.25">
      <c r="Q1610" s="195"/>
      <c r="R1610" s="195"/>
      <c r="S1610" s="195"/>
      <c r="T1610" s="195"/>
      <c r="U1610" s="1"/>
      <c r="W1610" s="195"/>
      <c r="X1610" s="195"/>
    </row>
    <row r="1611" spans="17:24" x14ac:dyDescent="0.25">
      <c r="Q1611" s="195"/>
      <c r="R1611" s="195"/>
      <c r="S1611" s="195"/>
      <c r="T1611" s="195"/>
      <c r="U1611" s="1"/>
      <c r="W1611" s="195"/>
      <c r="X1611" s="195"/>
    </row>
    <row r="1612" spans="17:24" x14ac:dyDescent="0.25">
      <c r="Q1612" s="195"/>
      <c r="R1612" s="195"/>
      <c r="S1612" s="195"/>
      <c r="T1612" s="195"/>
      <c r="U1612" s="1"/>
      <c r="W1612" s="195"/>
      <c r="X1612" s="195"/>
    </row>
    <row r="1613" spans="17:24" x14ac:dyDescent="0.25">
      <c r="Q1613" s="195"/>
      <c r="R1613" s="195"/>
      <c r="S1613" s="195"/>
      <c r="T1613" s="195"/>
      <c r="U1613" s="1"/>
      <c r="W1613" s="195"/>
      <c r="X1613" s="195"/>
    </row>
    <row r="1614" spans="17:24" x14ac:dyDescent="0.25">
      <c r="Q1614" s="195"/>
      <c r="R1614" s="195"/>
      <c r="S1614" s="195"/>
      <c r="T1614" s="195"/>
      <c r="U1614" s="1"/>
      <c r="W1614" s="195"/>
      <c r="X1614" s="195"/>
    </row>
    <row r="1615" spans="17:24" x14ac:dyDescent="0.25">
      <c r="Q1615" s="195"/>
      <c r="R1615" s="195"/>
      <c r="S1615" s="195"/>
      <c r="T1615" s="195"/>
      <c r="U1615" s="1"/>
      <c r="W1615" s="195"/>
      <c r="X1615" s="195"/>
    </row>
    <row r="1616" spans="17:24" x14ac:dyDescent="0.25">
      <c r="Q1616" s="195"/>
      <c r="R1616" s="195"/>
      <c r="S1616" s="195"/>
      <c r="T1616" s="195"/>
      <c r="U1616" s="1"/>
      <c r="W1616" s="195"/>
      <c r="X1616" s="195"/>
    </row>
    <row r="1617" spans="17:24" x14ac:dyDescent="0.25">
      <c r="Q1617" s="195"/>
      <c r="R1617" s="195"/>
      <c r="S1617" s="195"/>
      <c r="T1617" s="195"/>
      <c r="U1617" s="1"/>
      <c r="W1617" s="195"/>
      <c r="X1617" s="195"/>
    </row>
    <row r="1618" spans="17:24" x14ac:dyDescent="0.25">
      <c r="Q1618" s="195"/>
      <c r="R1618" s="195"/>
      <c r="S1618" s="195"/>
      <c r="T1618" s="195"/>
      <c r="U1618" s="1"/>
      <c r="W1618" s="195"/>
      <c r="X1618" s="195"/>
    </row>
    <row r="1619" spans="17:24" x14ac:dyDescent="0.25">
      <c r="Q1619" s="195"/>
      <c r="R1619" s="195"/>
      <c r="S1619" s="195"/>
      <c r="T1619" s="195"/>
      <c r="U1619" s="1"/>
      <c r="W1619" s="195"/>
      <c r="X1619" s="195"/>
    </row>
    <row r="1620" spans="17:24" x14ac:dyDescent="0.25">
      <c r="Q1620" s="195"/>
      <c r="R1620" s="195"/>
      <c r="S1620" s="195"/>
      <c r="T1620" s="195"/>
      <c r="U1620" s="1"/>
      <c r="W1620" s="195"/>
      <c r="X1620" s="195"/>
    </row>
    <row r="1621" spans="17:24" x14ac:dyDescent="0.25">
      <c r="Q1621" s="195"/>
      <c r="R1621" s="195"/>
      <c r="S1621" s="195"/>
      <c r="T1621" s="195"/>
      <c r="U1621" s="1"/>
      <c r="W1621" s="195"/>
      <c r="X1621" s="195"/>
    </row>
    <row r="1622" spans="17:24" x14ac:dyDescent="0.25">
      <c r="Q1622" s="195"/>
      <c r="R1622" s="195"/>
      <c r="S1622" s="195"/>
      <c r="T1622" s="195"/>
      <c r="U1622" s="1"/>
      <c r="W1622" s="195"/>
      <c r="X1622" s="195"/>
    </row>
    <row r="1623" spans="17:24" x14ac:dyDescent="0.25">
      <c r="Q1623" s="195"/>
      <c r="R1623" s="195"/>
      <c r="S1623" s="195"/>
      <c r="T1623" s="195"/>
      <c r="U1623" s="1"/>
      <c r="W1623" s="195"/>
      <c r="X1623" s="195"/>
    </row>
    <row r="1624" spans="17:24" x14ac:dyDescent="0.25">
      <c r="Q1624" s="195"/>
      <c r="R1624" s="195"/>
      <c r="S1624" s="195"/>
      <c r="T1624" s="195"/>
      <c r="U1624" s="1"/>
      <c r="W1624" s="195"/>
      <c r="X1624" s="195"/>
    </row>
    <row r="1625" spans="17:24" x14ac:dyDescent="0.25">
      <c r="Q1625" s="195"/>
      <c r="R1625" s="195"/>
      <c r="S1625" s="195"/>
      <c r="T1625" s="195"/>
      <c r="U1625" s="1"/>
      <c r="W1625" s="195"/>
      <c r="X1625" s="195"/>
    </row>
    <row r="1626" spans="17:24" x14ac:dyDescent="0.25">
      <c r="Q1626" s="195"/>
      <c r="R1626" s="195"/>
      <c r="S1626" s="195"/>
      <c r="T1626" s="195"/>
      <c r="U1626" s="1"/>
      <c r="W1626" s="195"/>
      <c r="X1626" s="195"/>
    </row>
    <row r="1627" spans="17:24" x14ac:dyDescent="0.25">
      <c r="Q1627" s="195"/>
      <c r="R1627" s="195"/>
      <c r="S1627" s="195"/>
      <c r="T1627" s="195"/>
      <c r="U1627" s="1"/>
      <c r="W1627" s="195"/>
      <c r="X1627" s="195"/>
    </row>
    <row r="1628" spans="17:24" x14ac:dyDescent="0.25">
      <c r="Q1628" s="195"/>
      <c r="R1628" s="195"/>
      <c r="S1628" s="195"/>
      <c r="T1628" s="195"/>
      <c r="U1628" s="1"/>
      <c r="W1628" s="195"/>
      <c r="X1628" s="195"/>
    </row>
    <row r="1629" spans="17:24" x14ac:dyDescent="0.25">
      <c r="Q1629" s="195"/>
      <c r="R1629" s="195"/>
      <c r="S1629" s="195"/>
      <c r="T1629" s="195"/>
      <c r="U1629" s="1"/>
      <c r="W1629" s="195"/>
      <c r="X1629" s="195"/>
    </row>
    <row r="1630" spans="17:24" x14ac:dyDescent="0.25">
      <c r="Q1630" s="195"/>
      <c r="R1630" s="195"/>
      <c r="S1630" s="195"/>
      <c r="T1630" s="195"/>
      <c r="U1630" s="1"/>
      <c r="W1630" s="195"/>
      <c r="X1630" s="195"/>
    </row>
    <row r="1631" spans="17:24" x14ac:dyDescent="0.25">
      <c r="Q1631" s="195"/>
      <c r="R1631" s="195"/>
      <c r="S1631" s="195"/>
      <c r="T1631" s="195"/>
      <c r="U1631" s="1"/>
      <c r="W1631" s="195"/>
      <c r="X1631" s="195"/>
    </row>
    <row r="1632" spans="17:24" x14ac:dyDescent="0.25">
      <c r="Q1632" s="195"/>
      <c r="R1632" s="195"/>
      <c r="S1632" s="195"/>
      <c r="T1632" s="195"/>
      <c r="U1632" s="1"/>
      <c r="W1632" s="195"/>
      <c r="X1632" s="195"/>
    </row>
    <row r="1633" spans="17:24" x14ac:dyDescent="0.25">
      <c r="Q1633" s="195"/>
      <c r="R1633" s="195"/>
      <c r="S1633" s="195"/>
      <c r="T1633" s="195"/>
      <c r="U1633" s="1"/>
      <c r="W1633" s="195"/>
      <c r="X1633" s="195"/>
    </row>
    <row r="1634" spans="17:24" x14ac:dyDescent="0.25">
      <c r="Q1634" s="195"/>
      <c r="R1634" s="195"/>
      <c r="S1634" s="195"/>
      <c r="T1634" s="195"/>
      <c r="U1634" s="1"/>
      <c r="W1634" s="195"/>
      <c r="X1634" s="195"/>
    </row>
    <row r="1635" spans="17:24" x14ac:dyDescent="0.25">
      <c r="Q1635" s="195"/>
      <c r="R1635" s="195"/>
      <c r="S1635" s="195"/>
      <c r="T1635" s="195"/>
      <c r="U1635" s="1"/>
      <c r="W1635" s="195"/>
      <c r="X1635" s="195"/>
    </row>
    <row r="1636" spans="17:24" x14ac:dyDescent="0.25">
      <c r="Q1636" s="195"/>
      <c r="R1636" s="195"/>
      <c r="S1636" s="195"/>
      <c r="T1636" s="195"/>
      <c r="U1636" s="1"/>
      <c r="W1636" s="195"/>
      <c r="X1636" s="195"/>
    </row>
    <row r="1637" spans="17:24" x14ac:dyDescent="0.25">
      <c r="Q1637" s="195"/>
      <c r="R1637" s="195"/>
      <c r="S1637" s="195"/>
      <c r="T1637" s="195"/>
      <c r="U1637" s="1"/>
      <c r="W1637" s="195"/>
      <c r="X1637" s="195"/>
    </row>
    <row r="1638" spans="17:24" x14ac:dyDescent="0.25">
      <c r="Q1638" s="195"/>
      <c r="R1638" s="195"/>
      <c r="S1638" s="195"/>
      <c r="T1638" s="195"/>
      <c r="U1638" s="1"/>
      <c r="W1638" s="195"/>
      <c r="X1638" s="195"/>
    </row>
    <row r="1639" spans="17:24" x14ac:dyDescent="0.25">
      <c r="Q1639" s="195"/>
      <c r="R1639" s="195"/>
      <c r="S1639" s="195"/>
      <c r="T1639" s="195"/>
      <c r="U1639" s="1"/>
      <c r="W1639" s="195"/>
      <c r="X1639" s="195"/>
    </row>
    <row r="1640" spans="17:24" x14ac:dyDescent="0.25">
      <c r="Q1640" s="195"/>
      <c r="R1640" s="195"/>
      <c r="S1640" s="195"/>
      <c r="T1640" s="195"/>
      <c r="U1640" s="1"/>
      <c r="W1640" s="195"/>
      <c r="X1640" s="195"/>
    </row>
    <row r="1641" spans="17:24" x14ac:dyDescent="0.25">
      <c r="Q1641" s="195"/>
      <c r="R1641" s="195"/>
      <c r="S1641" s="195"/>
      <c r="T1641" s="195"/>
      <c r="U1641" s="1"/>
      <c r="W1641" s="195"/>
      <c r="X1641" s="195"/>
    </row>
    <row r="1642" spans="17:24" x14ac:dyDescent="0.25">
      <c r="Q1642" s="195"/>
      <c r="R1642" s="195"/>
      <c r="S1642" s="195"/>
      <c r="T1642" s="195"/>
      <c r="U1642" s="1"/>
      <c r="W1642" s="195"/>
      <c r="X1642" s="195"/>
    </row>
    <row r="1643" spans="17:24" x14ac:dyDescent="0.25">
      <c r="Q1643" s="195"/>
      <c r="R1643" s="195"/>
      <c r="S1643" s="195"/>
      <c r="T1643" s="195"/>
      <c r="U1643" s="1"/>
      <c r="W1643" s="195"/>
      <c r="X1643" s="195"/>
    </row>
    <row r="1644" spans="17:24" x14ac:dyDescent="0.25">
      <c r="Q1644" s="195"/>
      <c r="R1644" s="195"/>
      <c r="S1644" s="195"/>
      <c r="T1644" s="195"/>
      <c r="U1644" s="1"/>
      <c r="W1644" s="195"/>
      <c r="X1644" s="195"/>
    </row>
    <row r="1645" spans="17:24" x14ac:dyDescent="0.25">
      <c r="Q1645" s="195"/>
      <c r="R1645" s="195"/>
      <c r="S1645" s="195"/>
      <c r="T1645" s="195"/>
      <c r="U1645" s="1"/>
      <c r="W1645" s="195"/>
      <c r="X1645" s="195"/>
    </row>
    <row r="1646" spans="17:24" x14ac:dyDescent="0.25">
      <c r="Q1646" s="195"/>
      <c r="R1646" s="195"/>
      <c r="S1646" s="195"/>
      <c r="T1646" s="195"/>
      <c r="U1646" s="1"/>
      <c r="W1646" s="195"/>
      <c r="X1646" s="195"/>
    </row>
    <row r="1647" spans="17:24" x14ac:dyDescent="0.25">
      <c r="Q1647" s="195"/>
      <c r="R1647" s="195"/>
      <c r="S1647" s="195"/>
      <c r="T1647" s="195"/>
      <c r="U1647" s="1"/>
      <c r="W1647" s="195"/>
      <c r="X1647" s="195"/>
    </row>
    <row r="1648" spans="17:24" x14ac:dyDescent="0.25">
      <c r="Q1648" s="195"/>
      <c r="R1648" s="195"/>
      <c r="S1648" s="195"/>
      <c r="T1648" s="195"/>
      <c r="U1648" s="1"/>
      <c r="W1648" s="195"/>
      <c r="X1648" s="195"/>
    </row>
    <row r="1649" spans="17:24" x14ac:dyDescent="0.25">
      <c r="Q1649" s="195"/>
      <c r="R1649" s="195"/>
      <c r="S1649" s="195"/>
      <c r="T1649" s="195"/>
      <c r="U1649" s="1"/>
      <c r="W1649" s="195"/>
      <c r="X1649" s="195"/>
    </row>
    <row r="1650" spans="17:24" x14ac:dyDescent="0.25">
      <c r="Q1650" s="195"/>
      <c r="R1650" s="195"/>
      <c r="S1650" s="195"/>
      <c r="T1650" s="195"/>
      <c r="U1650" s="1"/>
      <c r="W1650" s="195"/>
      <c r="X1650" s="195"/>
    </row>
    <row r="1651" spans="17:24" x14ac:dyDescent="0.25">
      <c r="Q1651" s="195"/>
      <c r="R1651" s="195"/>
      <c r="S1651" s="195"/>
      <c r="T1651" s="195"/>
      <c r="U1651" s="1"/>
      <c r="W1651" s="195"/>
      <c r="X1651" s="195"/>
    </row>
    <row r="1652" spans="17:24" x14ac:dyDescent="0.25">
      <c r="Q1652" s="195"/>
      <c r="R1652" s="195"/>
      <c r="S1652" s="195"/>
      <c r="T1652" s="195"/>
      <c r="U1652" s="1"/>
      <c r="W1652" s="195"/>
      <c r="X1652" s="195"/>
    </row>
    <row r="1653" spans="17:24" x14ac:dyDescent="0.25">
      <c r="Q1653" s="195"/>
      <c r="R1653" s="195"/>
      <c r="S1653" s="195"/>
      <c r="T1653" s="195"/>
      <c r="U1653" s="1"/>
      <c r="W1653" s="195"/>
      <c r="X1653" s="195"/>
    </row>
    <row r="1654" spans="17:24" x14ac:dyDescent="0.25">
      <c r="Q1654" s="195"/>
      <c r="R1654" s="195"/>
      <c r="S1654" s="195"/>
      <c r="T1654" s="195"/>
      <c r="U1654" s="1"/>
      <c r="W1654" s="195"/>
      <c r="X1654" s="195"/>
    </row>
    <row r="1655" spans="17:24" x14ac:dyDescent="0.25">
      <c r="Q1655" s="195"/>
      <c r="R1655" s="195"/>
      <c r="S1655" s="195"/>
      <c r="T1655" s="195"/>
      <c r="U1655" s="1"/>
      <c r="W1655" s="195"/>
      <c r="X1655" s="195"/>
    </row>
    <row r="1656" spans="17:24" x14ac:dyDescent="0.25">
      <c r="Q1656" s="195"/>
      <c r="R1656" s="195"/>
      <c r="S1656" s="195"/>
      <c r="T1656" s="195"/>
      <c r="U1656" s="1"/>
      <c r="W1656" s="195"/>
      <c r="X1656" s="195"/>
    </row>
    <row r="1657" spans="17:24" x14ac:dyDescent="0.25">
      <c r="Q1657" s="195"/>
      <c r="R1657" s="195"/>
      <c r="S1657" s="195"/>
      <c r="T1657" s="195"/>
      <c r="U1657" s="1"/>
      <c r="W1657" s="195"/>
      <c r="X1657" s="195"/>
    </row>
    <row r="1658" spans="17:24" x14ac:dyDescent="0.25">
      <c r="Q1658" s="195"/>
      <c r="R1658" s="195"/>
      <c r="S1658" s="195"/>
      <c r="T1658" s="195"/>
      <c r="U1658" s="1"/>
      <c r="W1658" s="195"/>
      <c r="X1658" s="195"/>
    </row>
    <row r="1659" spans="17:24" x14ac:dyDescent="0.25">
      <c r="Q1659" s="195"/>
      <c r="R1659" s="195"/>
      <c r="S1659" s="195"/>
      <c r="T1659" s="195"/>
      <c r="U1659" s="1"/>
      <c r="W1659" s="195"/>
      <c r="X1659" s="195"/>
    </row>
    <row r="1660" spans="17:24" x14ac:dyDescent="0.25">
      <c r="Q1660" s="195"/>
      <c r="R1660" s="195"/>
      <c r="S1660" s="195"/>
      <c r="T1660" s="195"/>
      <c r="U1660" s="1"/>
      <c r="W1660" s="195"/>
      <c r="X1660" s="195"/>
    </row>
    <row r="1661" spans="17:24" x14ac:dyDescent="0.25">
      <c r="Q1661" s="195"/>
      <c r="R1661" s="195"/>
      <c r="S1661" s="195"/>
      <c r="T1661" s="195"/>
      <c r="U1661" s="1"/>
      <c r="W1661" s="195"/>
      <c r="X1661" s="195"/>
    </row>
    <row r="1662" spans="17:24" x14ac:dyDescent="0.25">
      <c r="Q1662" s="195"/>
      <c r="R1662" s="195"/>
      <c r="S1662" s="195"/>
      <c r="T1662" s="195"/>
      <c r="U1662" s="1"/>
      <c r="W1662" s="195"/>
      <c r="X1662" s="195"/>
    </row>
    <row r="1663" spans="17:24" x14ac:dyDescent="0.25">
      <c r="Q1663" s="195"/>
      <c r="R1663" s="195"/>
      <c r="S1663" s="195"/>
      <c r="T1663" s="195"/>
      <c r="U1663" s="1"/>
      <c r="W1663" s="195"/>
      <c r="X1663" s="195"/>
    </row>
    <row r="1664" spans="17:24" x14ac:dyDescent="0.25">
      <c r="Q1664" s="195"/>
      <c r="R1664" s="195"/>
      <c r="S1664" s="195"/>
      <c r="T1664" s="195"/>
      <c r="U1664" s="1"/>
      <c r="W1664" s="195"/>
      <c r="X1664" s="195"/>
    </row>
    <row r="1665" spans="17:24" x14ac:dyDescent="0.25">
      <c r="Q1665" s="195"/>
      <c r="R1665" s="195"/>
      <c r="S1665" s="195"/>
      <c r="T1665" s="195"/>
      <c r="U1665" s="1"/>
      <c r="W1665" s="195"/>
      <c r="X1665" s="195"/>
    </row>
    <row r="1666" spans="17:24" x14ac:dyDescent="0.25">
      <c r="Q1666" s="195"/>
      <c r="R1666" s="195"/>
      <c r="S1666" s="195"/>
      <c r="T1666" s="195"/>
      <c r="U1666" s="1"/>
      <c r="W1666" s="195"/>
      <c r="X1666" s="195"/>
    </row>
    <row r="1667" spans="17:24" x14ac:dyDescent="0.25">
      <c r="Q1667" s="195"/>
      <c r="R1667" s="195"/>
      <c r="S1667" s="195"/>
      <c r="T1667" s="195"/>
      <c r="U1667" s="1"/>
      <c r="W1667" s="195"/>
      <c r="X1667" s="195"/>
    </row>
    <row r="1668" spans="17:24" x14ac:dyDescent="0.25">
      <c r="Q1668" s="195"/>
      <c r="R1668" s="195"/>
      <c r="S1668" s="195"/>
      <c r="T1668" s="195"/>
      <c r="U1668" s="1"/>
      <c r="W1668" s="195"/>
      <c r="X1668" s="195"/>
    </row>
    <row r="1669" spans="17:24" x14ac:dyDescent="0.25">
      <c r="Q1669" s="195"/>
      <c r="R1669" s="195"/>
      <c r="S1669" s="195"/>
      <c r="T1669" s="195"/>
      <c r="U1669" s="1"/>
      <c r="W1669" s="195"/>
      <c r="X1669" s="195"/>
    </row>
    <row r="1670" spans="17:24" x14ac:dyDescent="0.25">
      <c r="Q1670" s="195"/>
      <c r="R1670" s="195"/>
      <c r="S1670" s="195"/>
      <c r="T1670" s="195"/>
      <c r="U1670" s="1"/>
      <c r="W1670" s="195"/>
      <c r="X1670" s="195"/>
    </row>
    <row r="1671" spans="17:24" x14ac:dyDescent="0.25">
      <c r="Q1671" s="195"/>
      <c r="R1671" s="195"/>
      <c r="S1671" s="195"/>
      <c r="T1671" s="195"/>
      <c r="U1671" s="1"/>
      <c r="W1671" s="195"/>
      <c r="X1671" s="195"/>
    </row>
    <row r="1672" spans="17:24" x14ac:dyDescent="0.25">
      <c r="Q1672" s="195"/>
      <c r="R1672" s="195"/>
      <c r="S1672" s="195"/>
      <c r="T1672" s="195"/>
      <c r="U1672" s="1"/>
      <c r="W1672" s="195"/>
      <c r="X1672" s="195"/>
    </row>
    <row r="1673" spans="17:24" x14ac:dyDescent="0.25">
      <c r="Q1673" s="195"/>
      <c r="R1673" s="195"/>
      <c r="S1673" s="195"/>
      <c r="T1673" s="195"/>
      <c r="U1673" s="1"/>
      <c r="W1673" s="195"/>
      <c r="X1673" s="195"/>
    </row>
    <row r="1674" spans="17:24" x14ac:dyDescent="0.25">
      <c r="Q1674" s="195"/>
      <c r="R1674" s="195"/>
      <c r="S1674" s="195"/>
      <c r="T1674" s="195"/>
      <c r="U1674" s="1"/>
      <c r="W1674" s="195"/>
      <c r="X1674" s="195"/>
    </row>
    <row r="1675" spans="17:24" x14ac:dyDescent="0.25">
      <c r="Q1675" s="195"/>
      <c r="R1675" s="195"/>
      <c r="S1675" s="195"/>
      <c r="T1675" s="195"/>
      <c r="U1675" s="1"/>
      <c r="W1675" s="195"/>
      <c r="X1675" s="195"/>
    </row>
    <row r="1676" spans="17:24" x14ac:dyDescent="0.25">
      <c r="Q1676" s="195"/>
      <c r="R1676" s="195"/>
      <c r="S1676" s="195"/>
      <c r="T1676" s="195"/>
      <c r="U1676" s="1"/>
      <c r="W1676" s="195"/>
      <c r="X1676" s="195"/>
    </row>
    <row r="1677" spans="17:24" x14ac:dyDescent="0.25">
      <c r="Q1677" s="195"/>
      <c r="R1677" s="195"/>
      <c r="S1677" s="195"/>
      <c r="T1677" s="195"/>
      <c r="U1677" s="1"/>
      <c r="W1677" s="195"/>
      <c r="X1677" s="195"/>
    </row>
    <row r="1678" spans="17:24" x14ac:dyDescent="0.25">
      <c r="Q1678" s="195"/>
      <c r="R1678" s="195"/>
      <c r="S1678" s="195"/>
      <c r="T1678" s="195"/>
      <c r="U1678" s="1"/>
      <c r="W1678" s="195"/>
      <c r="X1678" s="195"/>
    </row>
    <row r="1679" spans="17:24" x14ac:dyDescent="0.25">
      <c r="Q1679" s="195"/>
      <c r="R1679" s="195"/>
      <c r="S1679" s="195"/>
      <c r="T1679" s="195"/>
      <c r="U1679" s="1"/>
      <c r="W1679" s="195"/>
      <c r="X1679" s="195"/>
    </row>
    <row r="1680" spans="17:24" x14ac:dyDescent="0.25">
      <c r="Q1680" s="195"/>
      <c r="R1680" s="195"/>
      <c r="S1680" s="195"/>
      <c r="T1680" s="195"/>
      <c r="U1680" s="1"/>
      <c r="W1680" s="195"/>
      <c r="X1680" s="195"/>
    </row>
    <row r="1681" spans="17:24" x14ac:dyDescent="0.25">
      <c r="Q1681" s="195"/>
      <c r="R1681" s="195"/>
      <c r="S1681" s="195"/>
      <c r="T1681" s="195"/>
      <c r="U1681" s="1"/>
      <c r="W1681" s="195"/>
      <c r="X1681" s="195"/>
    </row>
    <row r="1682" spans="17:24" x14ac:dyDescent="0.25">
      <c r="Q1682" s="195"/>
      <c r="R1682" s="195"/>
      <c r="S1682" s="195"/>
      <c r="T1682" s="195"/>
      <c r="U1682" s="1"/>
      <c r="W1682" s="195"/>
      <c r="X1682" s="195"/>
    </row>
    <row r="1683" spans="17:24" x14ac:dyDescent="0.25">
      <c r="Q1683" s="195"/>
      <c r="R1683" s="195"/>
      <c r="S1683" s="195"/>
      <c r="T1683" s="195"/>
      <c r="U1683" s="1"/>
      <c r="W1683" s="195"/>
      <c r="X1683" s="195"/>
    </row>
    <row r="1684" spans="17:24" x14ac:dyDescent="0.25">
      <c r="Q1684" s="195"/>
      <c r="R1684" s="195"/>
      <c r="S1684" s="195"/>
      <c r="T1684" s="195"/>
      <c r="U1684" s="1"/>
      <c r="W1684" s="195"/>
      <c r="X1684" s="195"/>
    </row>
    <row r="1685" spans="17:24" x14ac:dyDescent="0.25">
      <c r="Q1685" s="195"/>
      <c r="R1685" s="195"/>
      <c r="S1685" s="195"/>
      <c r="T1685" s="195"/>
      <c r="U1685" s="1"/>
      <c r="W1685" s="195"/>
      <c r="X1685" s="195"/>
    </row>
    <row r="1686" spans="17:24" x14ac:dyDescent="0.25">
      <c r="Q1686" s="195"/>
      <c r="R1686" s="195"/>
      <c r="S1686" s="195"/>
      <c r="T1686" s="195"/>
      <c r="U1686" s="1"/>
      <c r="W1686" s="195"/>
      <c r="X1686" s="195"/>
    </row>
    <row r="1687" spans="17:24" x14ac:dyDescent="0.25">
      <c r="Q1687" s="195"/>
      <c r="R1687" s="195"/>
      <c r="S1687" s="195"/>
      <c r="T1687" s="195"/>
      <c r="U1687" s="1"/>
      <c r="W1687" s="195"/>
      <c r="X1687" s="195"/>
    </row>
    <row r="1688" spans="17:24" x14ac:dyDescent="0.25">
      <c r="Q1688" s="195"/>
      <c r="R1688" s="195"/>
      <c r="S1688" s="195"/>
      <c r="T1688" s="195"/>
      <c r="U1688" s="1"/>
      <c r="W1688" s="195"/>
      <c r="X1688" s="195"/>
    </row>
    <row r="1689" spans="17:24" x14ac:dyDescent="0.25">
      <c r="Q1689" s="195"/>
      <c r="R1689" s="195"/>
      <c r="S1689" s="195"/>
      <c r="T1689" s="195"/>
      <c r="U1689" s="1"/>
      <c r="W1689" s="195"/>
      <c r="X1689" s="195"/>
    </row>
    <row r="1690" spans="17:24" x14ac:dyDescent="0.25">
      <c r="Q1690" s="195"/>
      <c r="R1690" s="195"/>
      <c r="S1690" s="195"/>
      <c r="T1690" s="195"/>
      <c r="U1690" s="1"/>
      <c r="W1690" s="195"/>
      <c r="X1690" s="195"/>
    </row>
    <row r="1691" spans="17:24" x14ac:dyDescent="0.25">
      <c r="Q1691" s="195"/>
      <c r="R1691" s="195"/>
      <c r="S1691" s="195"/>
      <c r="T1691" s="195"/>
      <c r="U1691" s="1"/>
      <c r="W1691" s="195"/>
      <c r="X1691" s="195"/>
    </row>
    <row r="1692" spans="17:24" x14ac:dyDescent="0.25">
      <c r="Q1692" s="195"/>
      <c r="R1692" s="195"/>
      <c r="S1692" s="195"/>
      <c r="T1692" s="195"/>
      <c r="U1692" s="1"/>
      <c r="W1692" s="195"/>
      <c r="X1692" s="195"/>
    </row>
    <row r="1693" spans="17:24" x14ac:dyDescent="0.25">
      <c r="Q1693" s="195"/>
      <c r="R1693" s="195"/>
      <c r="S1693" s="195"/>
      <c r="T1693" s="195"/>
      <c r="U1693" s="1"/>
      <c r="W1693" s="195"/>
      <c r="X1693" s="195"/>
    </row>
    <row r="1694" spans="17:24" x14ac:dyDescent="0.25">
      <c r="Q1694" s="195"/>
      <c r="R1694" s="195"/>
      <c r="S1694" s="195"/>
      <c r="T1694" s="195"/>
      <c r="U1694" s="1"/>
      <c r="W1694" s="195"/>
      <c r="X1694" s="195"/>
    </row>
    <row r="1695" spans="17:24" x14ac:dyDescent="0.25">
      <c r="Q1695" s="195"/>
      <c r="R1695" s="195"/>
      <c r="S1695" s="195"/>
      <c r="T1695" s="195"/>
      <c r="U1695" s="1"/>
      <c r="W1695" s="195"/>
      <c r="X1695" s="195"/>
    </row>
  </sheetData>
  <mergeCells count="52">
    <mergeCell ref="A3:U3"/>
    <mergeCell ref="A4:U4"/>
    <mergeCell ref="A5:U5"/>
    <mergeCell ref="A7:I8"/>
    <mergeCell ref="J7:K8"/>
    <mergeCell ref="L7:L8"/>
    <mergeCell ref="M7:M8"/>
    <mergeCell ref="N7:N8"/>
    <mergeCell ref="O7:P7"/>
    <mergeCell ref="Q7:S7"/>
    <mergeCell ref="B48:F48"/>
    <mergeCell ref="U7:U8"/>
    <mergeCell ref="V7:V8"/>
    <mergeCell ref="A9:I9"/>
    <mergeCell ref="J9:K9"/>
    <mergeCell ref="B18:F18"/>
    <mergeCell ref="B20:F20"/>
    <mergeCell ref="B28:G28"/>
    <mergeCell ref="B36:F36"/>
    <mergeCell ref="B38:F38"/>
    <mergeCell ref="B40:F40"/>
    <mergeCell ref="B46:F46"/>
    <mergeCell ref="A158:J158"/>
    <mergeCell ref="B50:F50"/>
    <mergeCell ref="B52:F52"/>
    <mergeCell ref="B60:F60"/>
    <mergeCell ref="B72:F72"/>
    <mergeCell ref="B84:F84"/>
    <mergeCell ref="B86:F86"/>
    <mergeCell ref="B106:F106"/>
    <mergeCell ref="B108:F108"/>
    <mergeCell ref="B114:F114"/>
    <mergeCell ref="B116:F116"/>
    <mergeCell ref="B133:G133"/>
    <mergeCell ref="A159:J159"/>
    <mergeCell ref="K159:L159"/>
    <mergeCell ref="R159:T159"/>
    <mergeCell ref="A160:J160"/>
    <mergeCell ref="N160:Q160"/>
    <mergeCell ref="R160:U160"/>
    <mergeCell ref="A167:J167"/>
    <mergeCell ref="N167:Q167"/>
    <mergeCell ref="R167:U167"/>
    <mergeCell ref="D168:H168"/>
    <mergeCell ref="A161:J161"/>
    <mergeCell ref="N161:Q161"/>
    <mergeCell ref="R161:U161"/>
    <mergeCell ref="A162:J162"/>
    <mergeCell ref="A165:J165"/>
    <mergeCell ref="A166:J166"/>
    <mergeCell ref="N166:Q166"/>
    <mergeCell ref="R166:U166"/>
  </mergeCells>
  <pageMargins left="0.7" right="0.7" top="0.75" bottom="0.75" header="0.3" footer="0.3"/>
  <pageSetup paperSize="5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JANUARI 2022</vt:lpstr>
      <vt:lpstr>JAN 2022</vt:lpstr>
      <vt:lpstr>FEB 2022</vt:lpstr>
      <vt:lpstr>MAR 2022</vt:lpstr>
      <vt:lpstr>Sheet1</vt:lpstr>
      <vt:lpstr>APRIL 2022</vt:lpstr>
      <vt:lpstr>MEI 2022</vt:lpstr>
      <vt:lpstr>JUNI 2022</vt:lpstr>
      <vt:lpstr>juli 2022</vt:lpstr>
      <vt:lpstr>AGUS 2022</vt:lpstr>
      <vt:lpstr>sept 2022</vt:lpstr>
      <vt:lpstr>'AGUS 2022'!Print_Area</vt:lpstr>
      <vt:lpstr>'APRIL 2022'!Print_Area</vt:lpstr>
      <vt:lpstr>'FEB 2022'!Print_Area</vt:lpstr>
      <vt:lpstr>'JANUARI 2022'!Print_Area</vt:lpstr>
      <vt:lpstr>'juli 2022'!Print_Area</vt:lpstr>
      <vt:lpstr>'JUNI 2022'!Print_Area</vt:lpstr>
      <vt:lpstr>'MAR 2022'!Print_Area</vt:lpstr>
      <vt:lpstr>'MEI 2022'!Print_Area</vt:lpstr>
      <vt:lpstr>'sept 2022'!Print_Area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PHOE</cp:lastModifiedBy>
  <cp:lastPrinted>2022-09-27T03:12:28Z</cp:lastPrinted>
  <dcterms:created xsi:type="dcterms:W3CDTF">2022-01-11T07:04:40Z</dcterms:created>
  <dcterms:modified xsi:type="dcterms:W3CDTF">2022-10-04T07:37:01Z</dcterms:modified>
</cp:coreProperties>
</file>