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D:\E-MONEV PPID 2022\jenis informasi\7. LK 2020\"/>
    </mc:Choice>
  </mc:AlternateContent>
  <xr:revisionPtr revIDLastSave="0" documentId="8_{C1D62376-3D92-4583-B341-6B707975BDC3}" xr6:coauthVersionLast="45" xr6:coauthVersionMax="45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3" sheetId="3" r:id="rId2"/>
    <sheet name="Sheet5" sheetId="5" r:id="rId3"/>
  </sheets>
  <externalReferences>
    <externalReference r:id="rId4"/>
    <externalReference r:id="rId5"/>
    <externalReference r:id="rId6"/>
    <externalReference r:id="rId7"/>
  </externalReferenc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294" i="3" l="1"/>
  <c r="L294" i="3" s="1"/>
  <c r="K293" i="3"/>
  <c r="L293" i="3" s="1"/>
  <c r="K292" i="3"/>
  <c r="L292" i="3" s="1"/>
  <c r="K291" i="3"/>
  <c r="L291" i="3" s="1"/>
  <c r="K290" i="3"/>
  <c r="L290" i="3" s="1"/>
  <c r="K289" i="3"/>
  <c r="L289" i="3" s="1"/>
  <c r="K288" i="3"/>
  <c r="L288" i="3" s="1"/>
  <c r="K287" i="3"/>
  <c r="L287" i="3" s="1"/>
  <c r="K285" i="3"/>
  <c r="L285" i="3" s="1"/>
  <c r="K284" i="3"/>
  <c r="L284" i="3" s="1"/>
  <c r="K283" i="3"/>
  <c r="L283" i="3" s="1"/>
  <c r="K282" i="3"/>
  <c r="L282" i="3" s="1"/>
  <c r="K281" i="3"/>
  <c r="L281" i="3" s="1"/>
  <c r="K280" i="3"/>
  <c r="L280" i="3" s="1"/>
  <c r="K279" i="3"/>
  <c r="L279" i="3" s="1"/>
  <c r="K278" i="3"/>
  <c r="L278" i="3" s="1"/>
  <c r="K277" i="3"/>
  <c r="L277" i="3" s="1"/>
  <c r="K276" i="3"/>
  <c r="L276" i="3" s="1"/>
  <c r="K275" i="3"/>
  <c r="L275" i="3" s="1"/>
  <c r="K274" i="3"/>
  <c r="L274" i="3" s="1"/>
  <c r="K273" i="3"/>
  <c r="L273" i="3" s="1"/>
  <c r="K272" i="3"/>
  <c r="L272" i="3" s="1"/>
  <c r="K271" i="3"/>
  <c r="L271" i="3" s="1"/>
  <c r="K270" i="3"/>
  <c r="L270" i="3" s="1"/>
  <c r="K269" i="3"/>
  <c r="L269" i="3" s="1"/>
  <c r="K268" i="3"/>
  <c r="L268" i="3" s="1"/>
  <c r="K267" i="3"/>
  <c r="L267" i="3" s="1"/>
  <c r="K266" i="3"/>
  <c r="L266" i="3" s="1"/>
  <c r="K260" i="3"/>
  <c r="L260" i="3" s="1"/>
  <c r="K259" i="3"/>
  <c r="L259" i="3" s="1"/>
  <c r="K258" i="3"/>
  <c r="L258" i="3" s="1"/>
  <c r="K257" i="3"/>
  <c r="L257" i="3" s="1"/>
  <c r="K256" i="3"/>
  <c r="L256" i="3" s="1"/>
  <c r="K255" i="3"/>
  <c r="L255" i="3" s="1"/>
  <c r="K254" i="3"/>
  <c r="L254" i="3" s="1"/>
  <c r="K253" i="3"/>
  <c r="L253" i="3" s="1"/>
  <c r="K252" i="3"/>
  <c r="L252" i="3" s="1"/>
  <c r="K250" i="3"/>
  <c r="L250" i="3" s="1"/>
  <c r="K249" i="3"/>
  <c r="L249" i="3" s="1"/>
  <c r="K247" i="3"/>
  <c r="L247" i="3" s="1"/>
  <c r="K243" i="3"/>
  <c r="L243" i="3" s="1"/>
  <c r="K242" i="3"/>
  <c r="L242" i="3" s="1"/>
  <c r="K241" i="3"/>
  <c r="L241" i="3" s="1"/>
  <c r="K238" i="3"/>
  <c r="L238" i="3" s="1"/>
  <c r="K237" i="3"/>
  <c r="L237" i="3" s="1"/>
  <c r="K236" i="3"/>
  <c r="L236" i="3" s="1"/>
  <c r="K235" i="3"/>
  <c r="L235" i="3" s="1"/>
  <c r="K234" i="3"/>
  <c r="L234" i="3" s="1"/>
  <c r="K233" i="3"/>
  <c r="L233" i="3" s="1"/>
  <c r="K232" i="3"/>
  <c r="L232" i="3" s="1"/>
  <c r="K231" i="3"/>
  <c r="L231" i="3" s="1"/>
  <c r="K230" i="3"/>
  <c r="L230" i="3" s="1"/>
  <c r="L229" i="3"/>
  <c r="K229" i="3"/>
  <c r="K228" i="3"/>
  <c r="L228" i="3" s="1"/>
  <c r="L227" i="3"/>
  <c r="K227" i="3"/>
  <c r="K224" i="3"/>
  <c r="L224" i="3" s="1"/>
  <c r="L223" i="3"/>
  <c r="K223" i="3"/>
  <c r="K220" i="3"/>
  <c r="L220" i="3" s="1"/>
  <c r="K219" i="3"/>
  <c r="L219" i="3" s="1"/>
  <c r="K218" i="3"/>
  <c r="L218" i="3" s="1"/>
  <c r="K217" i="3"/>
  <c r="L217" i="3" s="1"/>
  <c r="K214" i="3"/>
  <c r="L214" i="3" s="1"/>
  <c r="K213" i="3"/>
  <c r="L213" i="3" s="1"/>
  <c r="K212" i="3"/>
  <c r="L212" i="3" s="1"/>
  <c r="L211" i="3"/>
  <c r="K211" i="3"/>
  <c r="K210" i="3"/>
  <c r="L210" i="3" s="1"/>
  <c r="L209" i="3"/>
  <c r="K209" i="3"/>
  <c r="K208" i="3"/>
  <c r="L208" i="3" s="1"/>
  <c r="K207" i="3"/>
  <c r="L207" i="3" s="1"/>
  <c r="K206" i="3"/>
  <c r="L206" i="3" s="1"/>
  <c r="K205" i="3"/>
  <c r="L205" i="3" s="1"/>
  <c r="K204" i="3"/>
  <c r="L204" i="3" s="1"/>
  <c r="K203" i="3"/>
  <c r="L203" i="3" s="1"/>
  <c r="K202" i="3"/>
  <c r="L202" i="3" s="1"/>
  <c r="K201" i="3"/>
  <c r="L201" i="3" s="1"/>
  <c r="K200" i="3"/>
  <c r="L200" i="3" s="1"/>
  <c r="K199" i="3"/>
  <c r="L199" i="3" s="1"/>
  <c r="K198" i="3"/>
  <c r="L198" i="3" s="1"/>
  <c r="K197" i="3"/>
  <c r="L197" i="3" s="1"/>
  <c r="K196" i="3"/>
  <c r="L196" i="3" s="1"/>
  <c r="K195" i="3"/>
  <c r="L195" i="3" s="1"/>
  <c r="K193" i="3"/>
  <c r="L193" i="3" s="1"/>
  <c r="K185" i="3"/>
  <c r="L185" i="3" s="1"/>
  <c r="K183" i="3"/>
  <c r="L183" i="3" s="1"/>
  <c r="K181" i="3"/>
  <c r="L181" i="3" s="1"/>
  <c r="K175" i="3"/>
  <c r="L175" i="3" s="1"/>
  <c r="K170" i="3"/>
  <c r="L170" i="3" s="1"/>
  <c r="K165" i="3"/>
  <c r="L165" i="3" s="1"/>
  <c r="K164" i="3"/>
  <c r="L164" i="3" s="1"/>
  <c r="K163" i="3"/>
  <c r="L163" i="3" s="1"/>
  <c r="K162" i="3"/>
  <c r="L162" i="3" s="1"/>
  <c r="K160" i="3"/>
  <c r="L160" i="3" s="1"/>
  <c r="K157" i="3"/>
  <c r="L157" i="3" s="1"/>
  <c r="K152" i="3"/>
  <c r="L152" i="3" s="1"/>
  <c r="K150" i="3"/>
  <c r="L150" i="3" s="1"/>
  <c r="K149" i="3"/>
  <c r="L149" i="3" s="1"/>
  <c r="K148" i="3"/>
  <c r="L148" i="3" s="1"/>
  <c r="K147" i="3"/>
  <c r="L147" i="3" s="1"/>
  <c r="K145" i="3"/>
  <c r="L145" i="3" s="1"/>
  <c r="K144" i="3"/>
  <c r="L144" i="3" s="1"/>
  <c r="K143" i="3"/>
  <c r="L143" i="3" s="1"/>
  <c r="K138" i="3"/>
  <c r="L138" i="3" s="1"/>
  <c r="K136" i="3"/>
  <c r="L136" i="3" s="1"/>
  <c r="K135" i="3"/>
  <c r="L135" i="3" s="1"/>
  <c r="K134" i="3"/>
  <c r="L134" i="3" s="1"/>
  <c r="K133" i="3"/>
  <c r="L133" i="3" s="1"/>
  <c r="K132" i="3"/>
  <c r="L132" i="3" s="1"/>
  <c r="K131" i="3"/>
  <c r="L131" i="3" s="1"/>
  <c r="K129" i="3"/>
  <c r="L129" i="3" s="1"/>
  <c r="K128" i="3"/>
  <c r="L128" i="3" s="1"/>
  <c r="K127" i="3"/>
  <c r="L127" i="3" s="1"/>
  <c r="K126" i="3"/>
  <c r="L126" i="3" s="1"/>
  <c r="K125" i="3"/>
  <c r="L125" i="3" s="1"/>
  <c r="K124" i="3"/>
  <c r="L124" i="3" s="1"/>
  <c r="K123" i="3"/>
  <c r="L123" i="3" s="1"/>
  <c r="K122" i="3"/>
  <c r="L122" i="3" s="1"/>
  <c r="K120" i="3"/>
  <c r="L120" i="3" s="1"/>
  <c r="K119" i="3"/>
  <c r="L119" i="3" s="1"/>
  <c r="K115" i="3"/>
  <c r="L115" i="3" s="1"/>
  <c r="K114" i="3"/>
  <c r="L114" i="3" s="1"/>
  <c r="K113" i="3"/>
  <c r="L113" i="3" s="1"/>
  <c r="K112" i="3"/>
  <c r="L112" i="3" s="1"/>
  <c r="K111" i="3"/>
  <c r="L111" i="3" s="1"/>
  <c r="K110" i="3"/>
  <c r="L110" i="3" s="1"/>
  <c r="K109" i="3"/>
  <c r="L109" i="3" s="1"/>
  <c r="K108" i="3"/>
  <c r="L108" i="3" s="1"/>
  <c r="K107" i="3"/>
  <c r="L107" i="3" s="1"/>
  <c r="K116" i="3"/>
  <c r="L116" i="3" s="1"/>
  <c r="K101" i="3"/>
  <c r="L101" i="3" s="1"/>
  <c r="L99" i="3"/>
  <c r="K99" i="3"/>
  <c r="K98" i="3"/>
  <c r="L98" i="3" s="1"/>
  <c r="K97" i="3"/>
  <c r="L97" i="3" s="1"/>
  <c r="K95" i="3"/>
  <c r="L95" i="3" s="1"/>
  <c r="K94" i="3"/>
  <c r="L94" i="3" s="1"/>
  <c r="K93" i="3"/>
  <c r="L93" i="3" s="1"/>
  <c r="K92" i="3"/>
  <c r="L92" i="3" s="1"/>
  <c r="K91" i="3"/>
  <c r="L91" i="3" s="1"/>
  <c r="K90" i="3"/>
  <c r="L90" i="3" s="1"/>
  <c r="K89" i="3"/>
  <c r="L89" i="3" s="1"/>
  <c r="K88" i="3"/>
  <c r="L88" i="3" s="1"/>
  <c r="K87" i="3"/>
  <c r="L87" i="3" s="1"/>
  <c r="K86" i="3"/>
  <c r="L86" i="3" s="1"/>
  <c r="K82" i="3"/>
  <c r="L82" i="3" s="1"/>
  <c r="K81" i="3"/>
  <c r="L81" i="3" s="1"/>
  <c r="K78" i="3"/>
  <c r="L78" i="3" s="1"/>
  <c r="K73" i="3"/>
  <c r="L73" i="3" s="1"/>
  <c r="K72" i="3"/>
  <c r="L72" i="3" s="1"/>
  <c r="K71" i="3"/>
  <c r="L71" i="3" s="1"/>
  <c r="K70" i="3"/>
  <c r="L70" i="3" s="1"/>
  <c r="K69" i="3"/>
  <c r="L69" i="3" s="1"/>
  <c r="K67" i="3"/>
  <c r="L67" i="3" s="1"/>
  <c r="K66" i="3"/>
  <c r="L66" i="3" s="1"/>
  <c r="K65" i="3"/>
  <c r="L65" i="3" s="1"/>
  <c r="K64" i="3"/>
  <c r="L64" i="3" s="1"/>
  <c r="K63" i="3"/>
  <c r="L63" i="3" s="1"/>
  <c r="K62" i="3"/>
  <c r="L62" i="3" s="1"/>
  <c r="K61" i="3"/>
  <c r="L61" i="3" s="1"/>
  <c r="K60" i="3"/>
  <c r="L60" i="3" s="1"/>
  <c r="K59" i="3"/>
  <c r="L59" i="3" s="1"/>
  <c r="K57" i="3"/>
  <c r="L57" i="3" s="1"/>
  <c r="K55" i="3"/>
  <c r="L55" i="3" s="1"/>
  <c r="K54" i="3"/>
  <c r="L54" i="3" s="1"/>
  <c r="K52" i="3"/>
  <c r="L52" i="3" s="1"/>
  <c r="K51" i="3"/>
  <c r="L51" i="3" s="1"/>
  <c r="K49" i="3"/>
  <c r="L49" i="3" s="1"/>
  <c r="K48" i="3"/>
  <c r="L48" i="3" s="1"/>
  <c r="K47" i="3"/>
  <c r="L47" i="3" s="1"/>
  <c r="K46" i="3"/>
  <c r="L46" i="3" s="1"/>
  <c r="K45" i="3"/>
  <c r="L45" i="3" s="1"/>
  <c r="K44" i="3"/>
  <c r="L44" i="3" s="1"/>
  <c r="K43" i="3"/>
  <c r="L43" i="3" s="1"/>
  <c r="K42" i="3"/>
  <c r="L42" i="3" s="1"/>
  <c r="K41" i="3"/>
  <c r="L41" i="3" s="1"/>
  <c r="K40" i="3"/>
  <c r="L40" i="3" s="1"/>
  <c r="K39" i="3"/>
  <c r="L39" i="3" s="1"/>
  <c r="K38" i="3"/>
  <c r="L38" i="3" s="1"/>
  <c r="K37" i="3"/>
  <c r="L37" i="3" s="1"/>
  <c r="K36" i="3"/>
  <c r="L36" i="3" s="1"/>
  <c r="K35" i="3"/>
  <c r="L35" i="3" s="1"/>
  <c r="K34" i="3"/>
  <c r="L34" i="3" s="1"/>
  <c r="K33" i="3"/>
  <c r="L33" i="3" s="1"/>
  <c r="K32" i="3"/>
  <c r="L32" i="3" s="1"/>
  <c r="K31" i="3"/>
  <c r="L31" i="3" s="1"/>
  <c r="K30" i="3"/>
  <c r="L30" i="3" s="1"/>
  <c r="K29" i="3"/>
  <c r="L29" i="3" s="1"/>
  <c r="K28" i="3"/>
  <c r="L28" i="3" s="1"/>
  <c r="K27" i="3"/>
  <c r="L27" i="3" s="1"/>
  <c r="K25" i="3"/>
  <c r="L25" i="3" s="1"/>
  <c r="K24" i="3"/>
  <c r="L24" i="3" s="1"/>
  <c r="K23" i="3"/>
  <c r="L23" i="3" s="1"/>
  <c r="K22" i="3"/>
  <c r="L22" i="3" s="1"/>
  <c r="K21" i="3"/>
  <c r="L21" i="3" s="1"/>
  <c r="K20" i="3"/>
  <c r="L20" i="3" s="1"/>
  <c r="K19" i="3"/>
  <c r="L19" i="3" s="1"/>
  <c r="K18" i="3"/>
  <c r="L18" i="3" s="1"/>
  <c r="K17" i="3"/>
  <c r="L17" i="3" s="1"/>
  <c r="B9" i="3"/>
  <c r="I296" i="1"/>
  <c r="I295" i="1" s="1"/>
  <c r="H296" i="1"/>
  <c r="I294" i="1"/>
  <c r="H294" i="1"/>
  <c r="K294" i="1" s="1"/>
  <c r="L294" i="1" s="1"/>
  <c r="I293" i="1"/>
  <c r="H293" i="1"/>
  <c r="K293" i="1" s="1"/>
  <c r="L293" i="1" s="1"/>
  <c r="I292" i="1"/>
  <c r="H292" i="1"/>
  <c r="I291" i="1"/>
  <c r="H291" i="1"/>
  <c r="K291" i="1" s="1"/>
  <c r="L291" i="1" s="1"/>
  <c r="I290" i="1"/>
  <c r="H290" i="1"/>
  <c r="K290" i="1" s="1"/>
  <c r="L290" i="1" s="1"/>
  <c r="I289" i="1"/>
  <c r="H289" i="1"/>
  <c r="I288" i="1"/>
  <c r="I287" i="1"/>
  <c r="H287" i="1"/>
  <c r="K287" i="1" s="1"/>
  <c r="L287" i="1" s="1"/>
  <c r="I286" i="1"/>
  <c r="I285" i="1" s="1"/>
  <c r="H286" i="1"/>
  <c r="K284" i="1"/>
  <c r="L284" i="1" s="1"/>
  <c r="K283" i="1"/>
  <c r="L283" i="1" s="1"/>
  <c r="K282" i="1"/>
  <c r="L282" i="1" s="1"/>
  <c r="K281" i="1"/>
  <c r="L281" i="1" s="1"/>
  <c r="I281" i="1"/>
  <c r="H281" i="1"/>
  <c r="I280" i="1"/>
  <c r="K280" i="1" s="1"/>
  <c r="L280" i="1" s="1"/>
  <c r="H280" i="1"/>
  <c r="K279" i="1"/>
  <c r="L279" i="1" s="1"/>
  <c r="I279" i="1"/>
  <c r="H279" i="1"/>
  <c r="K278" i="1"/>
  <c r="L278" i="1" s="1"/>
  <c r="K277" i="1"/>
  <c r="L277" i="1" s="1"/>
  <c r="I276" i="1"/>
  <c r="H276" i="1"/>
  <c r="K276" i="1" s="1"/>
  <c r="L276" i="1" s="1"/>
  <c r="I275" i="1"/>
  <c r="H275" i="1"/>
  <c r="K275" i="1" s="1"/>
  <c r="L275" i="1" s="1"/>
  <c r="I274" i="1"/>
  <c r="H274" i="1"/>
  <c r="K274" i="1" s="1"/>
  <c r="L274" i="1" s="1"/>
  <c r="K273" i="1"/>
  <c r="L273" i="1" s="1"/>
  <c r="K272" i="1"/>
  <c r="L272" i="1" s="1"/>
  <c r="I271" i="1"/>
  <c r="H271" i="1"/>
  <c r="K271" i="1" s="1"/>
  <c r="L271" i="1" s="1"/>
  <c r="I270" i="1"/>
  <c r="H270" i="1"/>
  <c r="K270" i="1" s="1"/>
  <c r="L270" i="1" s="1"/>
  <c r="I269" i="1"/>
  <c r="H269" i="1"/>
  <c r="K269" i="1" s="1"/>
  <c r="L269" i="1" s="1"/>
  <c r="I268" i="1"/>
  <c r="H268" i="1"/>
  <c r="K268" i="1" s="1"/>
  <c r="L268" i="1" s="1"/>
  <c r="K267" i="1"/>
  <c r="L267" i="1" s="1"/>
  <c r="K266" i="1"/>
  <c r="L266" i="1" s="1"/>
  <c r="K260" i="1"/>
  <c r="L260" i="1" s="1"/>
  <c r="I260" i="1"/>
  <c r="I259" i="1" s="1"/>
  <c r="K259" i="1" s="1"/>
  <c r="L259" i="1" s="1"/>
  <c r="H259" i="1"/>
  <c r="I258" i="1"/>
  <c r="K258" i="1" s="1"/>
  <c r="L258" i="1" s="1"/>
  <c r="H258" i="1"/>
  <c r="I257" i="1"/>
  <c r="K257" i="1" s="1"/>
  <c r="L257" i="1" s="1"/>
  <c r="H257" i="1"/>
  <c r="I256" i="1"/>
  <c r="H256" i="1"/>
  <c r="H255" i="1" s="1"/>
  <c r="I254" i="1"/>
  <c r="K254" i="1" s="1"/>
  <c r="L254" i="1" s="1"/>
  <c r="H254" i="1"/>
  <c r="I253" i="1"/>
  <c r="H253" i="1"/>
  <c r="I252" i="1"/>
  <c r="H252" i="1"/>
  <c r="H251" i="1" s="1"/>
  <c r="I250" i="1"/>
  <c r="H250" i="1"/>
  <c r="I249" i="1"/>
  <c r="H249" i="1"/>
  <c r="I248" i="1"/>
  <c r="H248" i="1"/>
  <c r="H247" i="1" s="1"/>
  <c r="I243" i="1"/>
  <c r="H243" i="1"/>
  <c r="I242" i="1"/>
  <c r="H242" i="1"/>
  <c r="I241" i="1"/>
  <c r="H241" i="1"/>
  <c r="K241" i="1" s="1"/>
  <c r="L241" i="1" s="1"/>
  <c r="I240" i="1"/>
  <c r="H240" i="1"/>
  <c r="I238" i="1"/>
  <c r="H238" i="1"/>
  <c r="I237" i="1"/>
  <c r="H237" i="1"/>
  <c r="K237" i="1" s="1"/>
  <c r="L237" i="1" s="1"/>
  <c r="I236" i="1"/>
  <c r="H236" i="1"/>
  <c r="I235" i="1"/>
  <c r="H235" i="1"/>
  <c r="I234" i="1"/>
  <c r="H234" i="1"/>
  <c r="I233" i="1"/>
  <c r="H233" i="1"/>
  <c r="I232" i="1"/>
  <c r="H232" i="1"/>
  <c r="I231" i="1"/>
  <c r="H231" i="1"/>
  <c r="K231" i="1" s="1"/>
  <c r="L231" i="1" s="1"/>
  <c r="I230" i="1"/>
  <c r="H230" i="1"/>
  <c r="I229" i="1"/>
  <c r="H229" i="1"/>
  <c r="I228" i="1"/>
  <c r="H228" i="1"/>
  <c r="I227" i="1"/>
  <c r="H227" i="1"/>
  <c r="I226" i="1"/>
  <c r="H226" i="1"/>
  <c r="I224" i="1"/>
  <c r="H224" i="1"/>
  <c r="I223" i="1"/>
  <c r="H223" i="1"/>
  <c r="I222" i="1"/>
  <c r="H222" i="1"/>
  <c r="I220" i="1"/>
  <c r="H220" i="1"/>
  <c r="I219" i="1"/>
  <c r="H219" i="1"/>
  <c r="I218" i="1"/>
  <c r="H218" i="1"/>
  <c r="I217" i="1"/>
  <c r="H217" i="1"/>
  <c r="K217" i="1" s="1"/>
  <c r="L217" i="1" s="1"/>
  <c r="I216" i="1"/>
  <c r="H216" i="1"/>
  <c r="I214" i="1"/>
  <c r="H214" i="1"/>
  <c r="I213" i="1"/>
  <c r="H213" i="1"/>
  <c r="K213" i="1" s="1"/>
  <c r="L213" i="1" s="1"/>
  <c r="I212" i="1"/>
  <c r="H212" i="1"/>
  <c r="I211" i="1"/>
  <c r="I210" i="1" s="1"/>
  <c r="H211" i="1"/>
  <c r="H210" i="1"/>
  <c r="I209" i="1"/>
  <c r="H209" i="1"/>
  <c r="I208" i="1"/>
  <c r="H208" i="1"/>
  <c r="I207" i="1"/>
  <c r="H207" i="1"/>
  <c r="K207" i="1" s="1"/>
  <c r="L207" i="1" s="1"/>
  <c r="I206" i="1"/>
  <c r="H206" i="1"/>
  <c r="I205" i="1"/>
  <c r="H205" i="1"/>
  <c r="I204" i="1"/>
  <c r="H204" i="1"/>
  <c r="I203" i="1"/>
  <c r="H203" i="1"/>
  <c r="I202" i="1"/>
  <c r="H202" i="1"/>
  <c r="I201" i="1"/>
  <c r="H201" i="1"/>
  <c r="K201" i="1" s="1"/>
  <c r="L201" i="1" s="1"/>
  <c r="I200" i="1"/>
  <c r="H200" i="1"/>
  <c r="I199" i="1"/>
  <c r="H199" i="1"/>
  <c r="I198" i="1"/>
  <c r="H198" i="1"/>
  <c r="I197" i="1"/>
  <c r="H197" i="1"/>
  <c r="I196" i="1"/>
  <c r="H196" i="1"/>
  <c r="I195" i="1"/>
  <c r="H195" i="1"/>
  <c r="K195" i="1" s="1"/>
  <c r="L195" i="1" s="1"/>
  <c r="I194" i="1"/>
  <c r="H194" i="1"/>
  <c r="I186" i="1"/>
  <c r="I185" i="1" s="1"/>
  <c r="H186" i="1"/>
  <c r="H185" i="1" s="1"/>
  <c r="I184" i="1"/>
  <c r="I183" i="1" s="1"/>
  <c r="H184" i="1"/>
  <c r="H183" i="1" s="1"/>
  <c r="I182" i="1"/>
  <c r="I181" i="1" s="1"/>
  <c r="H182" i="1"/>
  <c r="H181" i="1" s="1"/>
  <c r="I180" i="1"/>
  <c r="I179" i="1" s="1"/>
  <c r="H180" i="1"/>
  <c r="H179" i="1" s="1"/>
  <c r="I178" i="1"/>
  <c r="I177" i="1" s="1"/>
  <c r="H178" i="1"/>
  <c r="H177" i="1" s="1"/>
  <c r="I176" i="1"/>
  <c r="H176" i="1"/>
  <c r="I175" i="1"/>
  <c r="H175" i="1"/>
  <c r="I170" i="1"/>
  <c r="H170" i="1"/>
  <c r="H169" i="1" s="1"/>
  <c r="I169" i="1"/>
  <c r="I171" i="1" s="1"/>
  <c r="I165" i="1"/>
  <c r="H165" i="1"/>
  <c r="I164" i="1"/>
  <c r="H164" i="1"/>
  <c r="K164" i="1" s="1"/>
  <c r="L164" i="1" s="1"/>
  <c r="I163" i="1"/>
  <c r="H163" i="1"/>
  <c r="I162" i="1"/>
  <c r="I161" i="1" s="1"/>
  <c r="H162" i="1"/>
  <c r="I160" i="1"/>
  <c r="I159" i="1" s="1"/>
  <c r="H160" i="1"/>
  <c r="H159" i="1" s="1"/>
  <c r="I158" i="1"/>
  <c r="H158" i="1"/>
  <c r="I157" i="1"/>
  <c r="H157" i="1"/>
  <c r="I156" i="1"/>
  <c r="H156" i="1"/>
  <c r="K156" i="1" s="1"/>
  <c r="L156" i="1" s="1"/>
  <c r="I155" i="1"/>
  <c r="H155" i="1"/>
  <c r="I154" i="1"/>
  <c r="H154" i="1"/>
  <c r="I153" i="1"/>
  <c r="H153" i="1"/>
  <c r="I152" i="1"/>
  <c r="H152" i="1"/>
  <c r="I150" i="1"/>
  <c r="H150" i="1"/>
  <c r="I149" i="1"/>
  <c r="H149" i="1"/>
  <c r="I148" i="1"/>
  <c r="H148" i="1"/>
  <c r="I147" i="1"/>
  <c r="I146" i="1" s="1"/>
  <c r="H147" i="1"/>
  <c r="I145" i="1"/>
  <c r="H145" i="1"/>
  <c r="I144" i="1"/>
  <c r="H144" i="1"/>
  <c r="I143" i="1"/>
  <c r="H143" i="1"/>
  <c r="I142" i="1"/>
  <c r="H142" i="1"/>
  <c r="H141" i="1" s="1"/>
  <c r="I140" i="1"/>
  <c r="H140" i="1"/>
  <c r="K140" i="1" s="1"/>
  <c r="L140" i="1" s="1"/>
  <c r="I139" i="1"/>
  <c r="H139" i="1"/>
  <c r="I138" i="1"/>
  <c r="H138" i="1"/>
  <c r="I137" i="1"/>
  <c r="H137" i="1"/>
  <c r="I136" i="1"/>
  <c r="H136" i="1"/>
  <c r="K136" i="1" s="1"/>
  <c r="L136" i="1" s="1"/>
  <c r="I135" i="1"/>
  <c r="H135" i="1"/>
  <c r="I134" i="1"/>
  <c r="H134" i="1"/>
  <c r="I133" i="1"/>
  <c r="H133" i="1"/>
  <c r="I132" i="1"/>
  <c r="H132" i="1"/>
  <c r="I131" i="1"/>
  <c r="H131" i="1"/>
  <c r="I130" i="1"/>
  <c r="H130" i="1"/>
  <c r="I129" i="1"/>
  <c r="H129" i="1"/>
  <c r="K129" i="1" s="1"/>
  <c r="L129" i="1" s="1"/>
  <c r="I128" i="1"/>
  <c r="H128" i="1"/>
  <c r="K128" i="1" s="1"/>
  <c r="L128" i="1" s="1"/>
  <c r="K127" i="1"/>
  <c r="L127" i="1" s="1"/>
  <c r="I127" i="1"/>
  <c r="H127" i="1"/>
  <c r="I126" i="1"/>
  <c r="H126" i="1"/>
  <c r="K126" i="1" s="1"/>
  <c r="L126" i="1" s="1"/>
  <c r="I125" i="1"/>
  <c r="H125" i="1"/>
  <c r="K125" i="1" s="1"/>
  <c r="L125" i="1" s="1"/>
  <c r="K124" i="1"/>
  <c r="L124" i="1" s="1"/>
  <c r="I124" i="1"/>
  <c r="H124" i="1"/>
  <c r="I123" i="1"/>
  <c r="H123" i="1"/>
  <c r="K123" i="1" s="1"/>
  <c r="L123" i="1" s="1"/>
  <c r="I122" i="1"/>
  <c r="H122" i="1"/>
  <c r="K122" i="1" s="1"/>
  <c r="L122" i="1" s="1"/>
  <c r="I120" i="1"/>
  <c r="I119" i="1" s="1"/>
  <c r="H120" i="1"/>
  <c r="H119" i="1" s="1"/>
  <c r="I115" i="1"/>
  <c r="H115" i="1"/>
  <c r="K115" i="1" s="1"/>
  <c r="L115" i="1" s="1"/>
  <c r="K114" i="1"/>
  <c r="L114" i="1" s="1"/>
  <c r="I114" i="1"/>
  <c r="H114" i="1"/>
  <c r="I112" i="1"/>
  <c r="H112" i="1"/>
  <c r="K112" i="1" s="1"/>
  <c r="L112" i="1" s="1"/>
  <c r="I111" i="1"/>
  <c r="H111" i="1"/>
  <c r="K111" i="1" s="1"/>
  <c r="L111" i="1" s="1"/>
  <c r="K110" i="1"/>
  <c r="L110" i="1" s="1"/>
  <c r="I110" i="1"/>
  <c r="H110" i="1"/>
  <c r="I109" i="1"/>
  <c r="H109" i="1"/>
  <c r="K109" i="1" s="1"/>
  <c r="L109" i="1" s="1"/>
  <c r="I108" i="1"/>
  <c r="I107" i="1" s="1"/>
  <c r="H108" i="1"/>
  <c r="K108" i="1" s="1"/>
  <c r="L108" i="1" s="1"/>
  <c r="I103" i="1"/>
  <c r="H103" i="1"/>
  <c r="I102" i="1"/>
  <c r="H102" i="1"/>
  <c r="I101" i="1"/>
  <c r="H101" i="1"/>
  <c r="K101" i="1" s="1"/>
  <c r="L101" i="1" s="1"/>
  <c r="I99" i="1"/>
  <c r="I98" i="1" s="1"/>
  <c r="H99" i="1"/>
  <c r="H98" i="1" s="1"/>
  <c r="K97" i="1"/>
  <c r="L97" i="1" s="1"/>
  <c r="I97" i="1"/>
  <c r="H97" i="1"/>
  <c r="K96" i="1"/>
  <c r="L96" i="1" s="1"/>
  <c r="I96" i="1"/>
  <c r="I95" i="1" s="1"/>
  <c r="H96" i="1"/>
  <c r="H95" i="1"/>
  <c r="K95" i="1" s="1"/>
  <c r="L95" i="1" s="1"/>
  <c r="I94" i="1"/>
  <c r="H94" i="1"/>
  <c r="K94" i="1" s="1"/>
  <c r="L94" i="1" s="1"/>
  <c r="I93" i="1"/>
  <c r="H93" i="1"/>
  <c r="K93" i="1" s="1"/>
  <c r="L93" i="1" s="1"/>
  <c r="I92" i="1"/>
  <c r="H92" i="1"/>
  <c r="K92" i="1" s="1"/>
  <c r="L92" i="1" s="1"/>
  <c r="K91" i="1"/>
  <c r="L91" i="1" s="1"/>
  <c r="I91" i="1"/>
  <c r="H91" i="1"/>
  <c r="K90" i="1"/>
  <c r="L90" i="1" s="1"/>
  <c r="I90" i="1"/>
  <c r="I89" i="1" s="1"/>
  <c r="H90" i="1"/>
  <c r="H89" i="1"/>
  <c r="K89" i="1" s="1"/>
  <c r="L89" i="1" s="1"/>
  <c r="I88" i="1"/>
  <c r="H88" i="1"/>
  <c r="K88" i="1" s="1"/>
  <c r="L88" i="1" s="1"/>
  <c r="I87" i="1"/>
  <c r="H87" i="1"/>
  <c r="K87" i="1" s="1"/>
  <c r="L87" i="1" s="1"/>
  <c r="I86" i="1"/>
  <c r="I85" i="1"/>
  <c r="H85" i="1"/>
  <c r="I84" i="1"/>
  <c r="H84" i="1"/>
  <c r="I83" i="1"/>
  <c r="H83" i="1"/>
  <c r="I82" i="1"/>
  <c r="H82" i="1"/>
  <c r="I81" i="1"/>
  <c r="H81" i="1"/>
  <c r="H80" i="1"/>
  <c r="I79" i="1"/>
  <c r="H79" i="1"/>
  <c r="K79" i="1" s="1"/>
  <c r="L79" i="1" s="1"/>
  <c r="I78" i="1"/>
  <c r="H78" i="1"/>
  <c r="I77" i="1"/>
  <c r="H77" i="1"/>
  <c r="I76" i="1"/>
  <c r="H76" i="1"/>
  <c r="I75" i="1"/>
  <c r="H75" i="1"/>
  <c r="I74" i="1"/>
  <c r="H74" i="1"/>
  <c r="I73" i="1"/>
  <c r="H73" i="1"/>
  <c r="I72" i="1"/>
  <c r="H72" i="1"/>
  <c r="I71" i="1"/>
  <c r="H71" i="1"/>
  <c r="K71" i="1" s="1"/>
  <c r="L71" i="1" s="1"/>
  <c r="I70" i="1"/>
  <c r="H70" i="1"/>
  <c r="I69" i="1"/>
  <c r="H69" i="1"/>
  <c r="I68" i="1"/>
  <c r="H68" i="1"/>
  <c r="K68" i="1" s="1"/>
  <c r="L68" i="1" s="1"/>
  <c r="I67" i="1"/>
  <c r="H67" i="1"/>
  <c r="K67" i="1" s="1"/>
  <c r="L67" i="1" s="1"/>
  <c r="I66" i="1"/>
  <c r="H66" i="1"/>
  <c r="K65" i="1"/>
  <c r="L65" i="1" s="1"/>
  <c r="I65" i="1"/>
  <c r="H65" i="1"/>
  <c r="I64" i="1"/>
  <c r="H64" i="1"/>
  <c r="I63" i="1"/>
  <c r="K63" i="1" s="1"/>
  <c r="L63" i="1" s="1"/>
  <c r="H63" i="1"/>
  <c r="I62" i="1"/>
  <c r="H62" i="1"/>
  <c r="K62" i="1" s="1"/>
  <c r="L62" i="1" s="1"/>
  <c r="I61" i="1"/>
  <c r="H61" i="1"/>
  <c r="K61" i="1" s="1"/>
  <c r="L61" i="1" s="1"/>
  <c r="I60" i="1"/>
  <c r="H60" i="1"/>
  <c r="K60" i="1" s="1"/>
  <c r="L60" i="1" s="1"/>
  <c r="K59" i="1"/>
  <c r="L59" i="1" s="1"/>
  <c r="I59" i="1"/>
  <c r="H59" i="1"/>
  <c r="I58" i="1"/>
  <c r="H58" i="1"/>
  <c r="I56" i="1"/>
  <c r="H56" i="1"/>
  <c r="I55" i="1"/>
  <c r="H55" i="1"/>
  <c r="K55" i="1" s="1"/>
  <c r="L55" i="1" s="1"/>
  <c r="I54" i="1"/>
  <c r="I53" i="1" s="1"/>
  <c r="H54" i="1"/>
  <c r="H53" i="1" s="1"/>
  <c r="I52" i="1"/>
  <c r="K52" i="1" s="1"/>
  <c r="L52" i="1" s="1"/>
  <c r="H52" i="1"/>
  <c r="I51" i="1"/>
  <c r="K51" i="1" s="1"/>
  <c r="L51" i="1" s="1"/>
  <c r="H51" i="1"/>
  <c r="I50" i="1"/>
  <c r="I49" i="1" s="1"/>
  <c r="K49" i="1" s="1"/>
  <c r="L49" i="1" s="1"/>
  <c r="H50" i="1"/>
  <c r="H49" i="1"/>
  <c r="K48" i="1"/>
  <c r="L48" i="1" s="1"/>
  <c r="I48" i="1"/>
  <c r="H48" i="1"/>
  <c r="K47" i="1"/>
  <c r="L47" i="1" s="1"/>
  <c r="I47" i="1"/>
  <c r="H47" i="1"/>
  <c r="K46" i="1"/>
  <c r="L46" i="1" s="1"/>
  <c r="I46" i="1"/>
  <c r="H46" i="1"/>
  <c r="K45" i="1"/>
  <c r="L45" i="1" s="1"/>
  <c r="I45" i="1"/>
  <c r="H45" i="1"/>
  <c r="K44" i="1"/>
  <c r="L44" i="1" s="1"/>
  <c r="I44" i="1"/>
  <c r="H44" i="1"/>
  <c r="K43" i="1"/>
  <c r="L43" i="1" s="1"/>
  <c r="I43" i="1"/>
  <c r="H43" i="1"/>
  <c r="K42" i="1"/>
  <c r="L42" i="1" s="1"/>
  <c r="I42" i="1"/>
  <c r="H42" i="1"/>
  <c r="K41" i="1"/>
  <c r="L41" i="1" s="1"/>
  <c r="I41" i="1"/>
  <c r="H41" i="1"/>
  <c r="K40" i="1"/>
  <c r="L40" i="1" s="1"/>
  <c r="I40" i="1"/>
  <c r="H40" i="1"/>
  <c r="K39" i="1"/>
  <c r="L39" i="1" s="1"/>
  <c r="I39" i="1"/>
  <c r="H39" i="1"/>
  <c r="K38" i="1"/>
  <c r="L38" i="1" s="1"/>
  <c r="I38" i="1"/>
  <c r="H38" i="1"/>
  <c r="K37" i="1"/>
  <c r="L37" i="1" s="1"/>
  <c r="I37" i="1"/>
  <c r="H37" i="1"/>
  <c r="K36" i="1"/>
  <c r="L36" i="1" s="1"/>
  <c r="I36" i="1"/>
  <c r="H36" i="1"/>
  <c r="K35" i="1"/>
  <c r="L35" i="1" s="1"/>
  <c r="I35" i="1"/>
  <c r="H35" i="1"/>
  <c r="K34" i="1"/>
  <c r="L34" i="1" s="1"/>
  <c r="I34" i="1"/>
  <c r="H34" i="1"/>
  <c r="K33" i="1"/>
  <c r="L33" i="1" s="1"/>
  <c r="I33" i="1"/>
  <c r="H33" i="1"/>
  <c r="H32" i="1" s="1"/>
  <c r="I32" i="1"/>
  <c r="I31" i="1"/>
  <c r="H31" i="1"/>
  <c r="K31" i="1" s="1"/>
  <c r="L31" i="1" s="1"/>
  <c r="I30" i="1"/>
  <c r="H30" i="1"/>
  <c r="K30" i="1" s="1"/>
  <c r="L30" i="1" s="1"/>
  <c r="I29" i="1"/>
  <c r="H29" i="1"/>
  <c r="K29" i="1" s="1"/>
  <c r="L29" i="1" s="1"/>
  <c r="I28" i="1"/>
  <c r="H28" i="1"/>
  <c r="K28" i="1" s="1"/>
  <c r="L28" i="1" s="1"/>
  <c r="I27" i="1"/>
  <c r="H27" i="1"/>
  <c r="K27" i="1" s="1"/>
  <c r="L27" i="1" s="1"/>
  <c r="I26" i="1"/>
  <c r="I25" i="1" s="1"/>
  <c r="H26" i="1"/>
  <c r="K26" i="1" s="1"/>
  <c r="L26" i="1" s="1"/>
  <c r="I24" i="1"/>
  <c r="H24" i="1"/>
  <c r="K24" i="1" s="1"/>
  <c r="L24" i="1" s="1"/>
  <c r="I23" i="1"/>
  <c r="H23" i="1"/>
  <c r="K23" i="1" s="1"/>
  <c r="L23" i="1" s="1"/>
  <c r="I22" i="1"/>
  <c r="H22" i="1"/>
  <c r="K22" i="1" s="1"/>
  <c r="L22" i="1" s="1"/>
  <c r="I21" i="1"/>
  <c r="H21" i="1"/>
  <c r="K21" i="1" s="1"/>
  <c r="L21" i="1" s="1"/>
  <c r="I20" i="1"/>
  <c r="H20" i="1"/>
  <c r="K20" i="1" s="1"/>
  <c r="L20" i="1" s="1"/>
  <c r="I19" i="1"/>
  <c r="H19" i="1"/>
  <c r="K19" i="1" s="1"/>
  <c r="L19" i="1" s="1"/>
  <c r="I18" i="1"/>
  <c r="H18" i="1"/>
  <c r="K18" i="1" s="1"/>
  <c r="L18" i="1" s="1"/>
  <c r="I17" i="1"/>
  <c r="I16" i="1" s="1"/>
  <c r="H17" i="1"/>
  <c r="B9" i="1"/>
  <c r="H16" i="1" l="1"/>
  <c r="K17" i="1"/>
  <c r="L17" i="1" s="1"/>
  <c r="K54" i="1"/>
  <c r="L54" i="1" s="1"/>
  <c r="H57" i="1"/>
  <c r="H86" i="1"/>
  <c r="K86" i="1" s="1"/>
  <c r="L86" i="1" s="1"/>
  <c r="K98" i="1"/>
  <c r="L98" i="1" s="1"/>
  <c r="I113" i="1"/>
  <c r="K119" i="1"/>
  <c r="L119" i="1" s="1"/>
  <c r="K154" i="1"/>
  <c r="L154" i="1" s="1"/>
  <c r="H161" i="1"/>
  <c r="K165" i="1"/>
  <c r="L165" i="1" s="1"/>
  <c r="K175" i="1"/>
  <c r="L175" i="1" s="1"/>
  <c r="K179" i="1"/>
  <c r="L179" i="1" s="1"/>
  <c r="K185" i="1"/>
  <c r="L185" i="1" s="1"/>
  <c r="K199" i="1"/>
  <c r="L199" i="1" s="1"/>
  <c r="K205" i="1"/>
  <c r="L205" i="1" s="1"/>
  <c r="K211" i="1"/>
  <c r="L211" i="1" s="1"/>
  <c r="H221" i="1"/>
  <c r="H225" i="1"/>
  <c r="K229" i="1"/>
  <c r="L229" i="1" s="1"/>
  <c r="K235" i="1"/>
  <c r="L235" i="1" s="1"/>
  <c r="K249" i="1"/>
  <c r="L249" i="1" s="1"/>
  <c r="K253" i="1"/>
  <c r="L253" i="1" s="1"/>
  <c r="K50" i="1"/>
  <c r="L50" i="1" s="1"/>
  <c r="K66" i="1"/>
  <c r="L66" i="1" s="1"/>
  <c r="K99" i="1"/>
  <c r="L99" i="1" s="1"/>
  <c r="K120" i="1"/>
  <c r="L120" i="1" s="1"/>
  <c r="K144" i="1"/>
  <c r="L144" i="1" s="1"/>
  <c r="K148" i="1"/>
  <c r="L148" i="1" s="1"/>
  <c r="H151" i="1"/>
  <c r="K155" i="1"/>
  <c r="L155" i="1" s="1"/>
  <c r="K158" i="1"/>
  <c r="L158" i="1" s="1"/>
  <c r="K163" i="1"/>
  <c r="L163" i="1" s="1"/>
  <c r="K181" i="1"/>
  <c r="L181" i="1" s="1"/>
  <c r="H193" i="1"/>
  <c r="K197" i="1"/>
  <c r="L197" i="1" s="1"/>
  <c r="K203" i="1"/>
  <c r="L203" i="1" s="1"/>
  <c r="K209" i="1"/>
  <c r="L209" i="1" s="1"/>
  <c r="H215" i="1"/>
  <c r="K219" i="1"/>
  <c r="L219" i="1" s="1"/>
  <c r="K223" i="1"/>
  <c r="L223" i="1" s="1"/>
  <c r="K227" i="1"/>
  <c r="L227" i="1" s="1"/>
  <c r="K233" i="1"/>
  <c r="L233" i="1" s="1"/>
  <c r="H239" i="1"/>
  <c r="K243" i="1"/>
  <c r="L243" i="1" s="1"/>
  <c r="K250" i="1"/>
  <c r="L250" i="1" s="1"/>
  <c r="K64" i="1"/>
  <c r="L64" i="1" s="1"/>
  <c r="K69" i="1"/>
  <c r="L69" i="1" s="1"/>
  <c r="K75" i="1"/>
  <c r="L75" i="1" s="1"/>
  <c r="I80" i="1"/>
  <c r="K132" i="1"/>
  <c r="L132" i="1" s="1"/>
  <c r="I151" i="1"/>
  <c r="I174" i="1"/>
  <c r="I193" i="1"/>
  <c r="H288" i="1"/>
  <c r="K288" i="1" s="1"/>
  <c r="L288" i="1" s="1"/>
  <c r="H25" i="1"/>
  <c r="K25" i="1" s="1"/>
  <c r="L25" i="1" s="1"/>
  <c r="I57" i="1"/>
  <c r="H100" i="1"/>
  <c r="K100" i="1" s="1"/>
  <c r="L100" i="1" s="1"/>
  <c r="K32" i="1"/>
  <c r="L32" i="1" s="1"/>
  <c r="K53" i="1"/>
  <c r="L53" i="1" s="1"/>
  <c r="I100" i="1"/>
  <c r="H107" i="1"/>
  <c r="K107" i="1" s="1"/>
  <c r="L107" i="1" s="1"/>
  <c r="H113" i="1"/>
  <c r="K113" i="1" s="1"/>
  <c r="L113" i="1" s="1"/>
  <c r="I141" i="1"/>
  <c r="H174" i="1"/>
  <c r="I251" i="1"/>
  <c r="K289" i="1"/>
  <c r="L289" i="1" s="1"/>
  <c r="K292" i="1"/>
  <c r="L292" i="1" s="1"/>
  <c r="K53" i="3"/>
  <c r="L53" i="3" s="1"/>
  <c r="K58" i="3"/>
  <c r="L58" i="3" s="1"/>
  <c r="K141" i="3"/>
  <c r="L141" i="3" s="1"/>
  <c r="K75" i="3"/>
  <c r="L75" i="3" s="1"/>
  <c r="K151" i="3"/>
  <c r="L151" i="3" s="1"/>
  <c r="K154" i="3"/>
  <c r="L154" i="3" s="1"/>
  <c r="K174" i="3"/>
  <c r="L174" i="3" s="1"/>
  <c r="K178" i="3"/>
  <c r="L178" i="3" s="1"/>
  <c r="K16" i="3"/>
  <c r="L16" i="3" s="1"/>
  <c r="K26" i="3"/>
  <c r="L26" i="3" s="1"/>
  <c r="K50" i="3"/>
  <c r="L50" i="3" s="1"/>
  <c r="K295" i="3"/>
  <c r="L295" i="3" s="1"/>
  <c r="K76" i="3"/>
  <c r="L76" i="3" s="1"/>
  <c r="K79" i="3"/>
  <c r="L79" i="3" s="1"/>
  <c r="K96" i="3"/>
  <c r="L96" i="3" s="1"/>
  <c r="K100" i="3"/>
  <c r="L100" i="3" s="1"/>
  <c r="K139" i="3"/>
  <c r="L139" i="3" s="1"/>
  <c r="K142" i="3"/>
  <c r="L142" i="3" s="1"/>
  <c r="K155" i="3"/>
  <c r="L155" i="3" s="1"/>
  <c r="K158" i="3"/>
  <c r="L158" i="3" s="1"/>
  <c r="K221" i="3"/>
  <c r="L221" i="3" s="1"/>
  <c r="K225" i="3"/>
  <c r="L225" i="3" s="1"/>
  <c r="K179" i="3"/>
  <c r="L179" i="3" s="1"/>
  <c r="K180" i="3"/>
  <c r="L180" i="3" s="1"/>
  <c r="K239" i="3"/>
  <c r="L239" i="3" s="1"/>
  <c r="K80" i="3"/>
  <c r="L80" i="3" s="1"/>
  <c r="K121" i="3"/>
  <c r="L121" i="3" s="1"/>
  <c r="K146" i="3"/>
  <c r="L146" i="3" s="1"/>
  <c r="K159" i="3"/>
  <c r="L159" i="3" s="1"/>
  <c r="K68" i="3"/>
  <c r="L68" i="3" s="1"/>
  <c r="K74" i="3"/>
  <c r="L74" i="3" s="1"/>
  <c r="K77" i="3"/>
  <c r="L77" i="3" s="1"/>
  <c r="K137" i="3"/>
  <c r="L137" i="3" s="1"/>
  <c r="K140" i="3"/>
  <c r="L140" i="3" s="1"/>
  <c r="K153" i="3"/>
  <c r="L153" i="3" s="1"/>
  <c r="K156" i="3"/>
  <c r="L156" i="3" s="1"/>
  <c r="K176" i="3"/>
  <c r="L176" i="3" s="1"/>
  <c r="K215" i="3"/>
  <c r="L215" i="3" s="1"/>
  <c r="K251" i="3"/>
  <c r="L251" i="3" s="1"/>
  <c r="K182" i="3"/>
  <c r="L182" i="3" s="1"/>
  <c r="K184" i="3"/>
  <c r="L184" i="3" s="1"/>
  <c r="K186" i="3"/>
  <c r="L186" i="3" s="1"/>
  <c r="K194" i="3"/>
  <c r="L194" i="3" s="1"/>
  <c r="K216" i="3"/>
  <c r="L216" i="3" s="1"/>
  <c r="K222" i="3"/>
  <c r="L222" i="3" s="1"/>
  <c r="K226" i="3"/>
  <c r="L226" i="3" s="1"/>
  <c r="K240" i="3"/>
  <c r="L240" i="3" s="1"/>
  <c r="K248" i="3"/>
  <c r="L248" i="3" s="1"/>
  <c r="K286" i="3"/>
  <c r="L286" i="3" s="1"/>
  <c r="K296" i="3"/>
  <c r="L296" i="3" s="1"/>
  <c r="H104" i="1"/>
  <c r="K16" i="1"/>
  <c r="L16" i="1" s="1"/>
  <c r="K57" i="1"/>
  <c r="L57" i="1" s="1"/>
  <c r="H261" i="1"/>
  <c r="H116" i="1"/>
  <c r="K215" i="1"/>
  <c r="L215" i="1" s="1"/>
  <c r="K220" i="1"/>
  <c r="L220" i="1" s="1"/>
  <c r="K230" i="1"/>
  <c r="L230" i="1" s="1"/>
  <c r="K234" i="1"/>
  <c r="L234" i="1" s="1"/>
  <c r="K238" i="1"/>
  <c r="L238" i="1" s="1"/>
  <c r="I255" i="1"/>
  <c r="K255" i="1" s="1"/>
  <c r="L255" i="1" s="1"/>
  <c r="K256" i="1"/>
  <c r="L256" i="1" s="1"/>
  <c r="K151" i="1"/>
  <c r="L151" i="1" s="1"/>
  <c r="K58" i="1"/>
  <c r="L58" i="1" s="1"/>
  <c r="I116" i="1"/>
  <c r="K153" i="1"/>
  <c r="L153" i="1" s="1"/>
  <c r="K157" i="1"/>
  <c r="L157" i="1" s="1"/>
  <c r="K161" i="1"/>
  <c r="L161" i="1" s="1"/>
  <c r="K176" i="1"/>
  <c r="L176" i="1" s="1"/>
  <c r="K183" i="1"/>
  <c r="L183" i="1" s="1"/>
  <c r="I215" i="1"/>
  <c r="I225" i="1"/>
  <c r="K225" i="1" s="1"/>
  <c r="L225" i="1" s="1"/>
  <c r="K251" i="1"/>
  <c r="L251" i="1" s="1"/>
  <c r="H285" i="1"/>
  <c r="K285" i="1" s="1"/>
  <c r="L285" i="1" s="1"/>
  <c r="K286" i="1"/>
  <c r="L286" i="1" s="1"/>
  <c r="I104" i="1"/>
  <c r="K72" i="1"/>
  <c r="L72" i="1" s="1"/>
  <c r="K76" i="1"/>
  <c r="L76" i="1" s="1"/>
  <c r="K80" i="1"/>
  <c r="L80" i="1" s="1"/>
  <c r="K133" i="1"/>
  <c r="L133" i="1" s="1"/>
  <c r="K137" i="1"/>
  <c r="L137" i="1" s="1"/>
  <c r="K141" i="1"/>
  <c r="L141" i="1" s="1"/>
  <c r="K145" i="1"/>
  <c r="L145" i="1" s="1"/>
  <c r="K149" i="1"/>
  <c r="L149" i="1" s="1"/>
  <c r="K196" i="1"/>
  <c r="L196" i="1" s="1"/>
  <c r="K200" i="1"/>
  <c r="L200" i="1" s="1"/>
  <c r="K204" i="1"/>
  <c r="L204" i="1" s="1"/>
  <c r="K208" i="1"/>
  <c r="L208" i="1" s="1"/>
  <c r="K212" i="1"/>
  <c r="L212" i="1" s="1"/>
  <c r="K221" i="1"/>
  <c r="L221" i="1" s="1"/>
  <c r="H244" i="1"/>
  <c r="I239" i="1"/>
  <c r="K239" i="1" s="1"/>
  <c r="L239" i="1" s="1"/>
  <c r="H295" i="1"/>
  <c r="K296" i="1"/>
  <c r="L296" i="1" s="1"/>
  <c r="K169" i="1"/>
  <c r="L169" i="1" s="1"/>
  <c r="H171" i="1"/>
  <c r="K171" i="1" s="1"/>
  <c r="L171" i="1" s="1"/>
  <c r="K177" i="1"/>
  <c r="L177" i="1" s="1"/>
  <c r="H187" i="1"/>
  <c r="I221" i="1"/>
  <c r="K73" i="1"/>
  <c r="L73" i="1" s="1"/>
  <c r="K77" i="1"/>
  <c r="L77" i="1" s="1"/>
  <c r="K81" i="1"/>
  <c r="L81" i="1" s="1"/>
  <c r="H121" i="1"/>
  <c r="K134" i="1"/>
  <c r="L134" i="1" s="1"/>
  <c r="K138" i="1"/>
  <c r="L138" i="1" s="1"/>
  <c r="K142" i="1"/>
  <c r="L142" i="1" s="1"/>
  <c r="H146" i="1"/>
  <c r="K146" i="1" s="1"/>
  <c r="L146" i="1" s="1"/>
  <c r="K150" i="1"/>
  <c r="L150" i="1" s="1"/>
  <c r="I187" i="1"/>
  <c r="K218" i="1"/>
  <c r="L218" i="1" s="1"/>
  <c r="K228" i="1"/>
  <c r="L228" i="1" s="1"/>
  <c r="K232" i="1"/>
  <c r="L232" i="1" s="1"/>
  <c r="K236" i="1"/>
  <c r="L236" i="1" s="1"/>
  <c r="I247" i="1"/>
  <c r="K247" i="1" s="1"/>
  <c r="L247" i="1" s="1"/>
  <c r="I297" i="1"/>
  <c r="K174" i="1"/>
  <c r="L174" i="1" s="1"/>
  <c r="I121" i="1"/>
  <c r="I166" i="1" s="1"/>
  <c r="K70" i="1"/>
  <c r="L70" i="1" s="1"/>
  <c r="K74" i="1"/>
  <c r="L74" i="1" s="1"/>
  <c r="K78" i="1"/>
  <c r="L78" i="1" s="1"/>
  <c r="K82" i="1"/>
  <c r="L82" i="1" s="1"/>
  <c r="K131" i="1"/>
  <c r="L131" i="1" s="1"/>
  <c r="K135" i="1"/>
  <c r="L135" i="1" s="1"/>
  <c r="K139" i="1"/>
  <c r="L139" i="1" s="1"/>
  <c r="K143" i="1"/>
  <c r="L143" i="1" s="1"/>
  <c r="K147" i="1"/>
  <c r="L147" i="1" s="1"/>
  <c r="K159" i="1"/>
  <c r="L159" i="1" s="1"/>
  <c r="K193" i="1"/>
  <c r="L193" i="1" s="1"/>
  <c r="K198" i="1"/>
  <c r="L198" i="1" s="1"/>
  <c r="K202" i="1"/>
  <c r="L202" i="1" s="1"/>
  <c r="K206" i="1"/>
  <c r="L206" i="1" s="1"/>
  <c r="K210" i="1"/>
  <c r="L210" i="1" s="1"/>
  <c r="K214" i="1"/>
  <c r="L214" i="1" s="1"/>
  <c r="K224" i="1"/>
  <c r="L224" i="1" s="1"/>
  <c r="K242" i="1"/>
  <c r="L242" i="1" s="1"/>
  <c r="K152" i="1"/>
  <c r="L152" i="1" s="1"/>
  <c r="K160" i="1"/>
  <c r="L160" i="1" s="1"/>
  <c r="K162" i="1"/>
  <c r="L162" i="1" s="1"/>
  <c r="K170" i="1"/>
  <c r="L170" i="1" s="1"/>
  <c r="K178" i="1"/>
  <c r="L178" i="1" s="1"/>
  <c r="K180" i="1"/>
  <c r="L180" i="1" s="1"/>
  <c r="K182" i="1"/>
  <c r="L182" i="1" s="1"/>
  <c r="K184" i="1"/>
  <c r="L184" i="1" s="1"/>
  <c r="K186" i="1"/>
  <c r="L186" i="1" s="1"/>
  <c r="K194" i="1"/>
  <c r="L194" i="1" s="1"/>
  <c r="K216" i="1"/>
  <c r="L216" i="1" s="1"/>
  <c r="K222" i="1"/>
  <c r="L222" i="1" s="1"/>
  <c r="K226" i="1"/>
  <c r="L226" i="1" s="1"/>
  <c r="K240" i="1"/>
  <c r="L240" i="1" s="1"/>
  <c r="K248" i="1"/>
  <c r="L248" i="1" s="1"/>
  <c r="K252" i="1"/>
  <c r="L252" i="1" s="1"/>
  <c r="I261" i="1"/>
  <c r="K187" i="1" l="1"/>
  <c r="L187" i="1" s="1"/>
  <c r="K121" i="1"/>
  <c r="L121" i="1" s="1"/>
  <c r="K261" i="3"/>
  <c r="L261" i="3" s="1"/>
  <c r="K297" i="3"/>
  <c r="L297" i="3" s="1"/>
  <c r="K177" i="3"/>
  <c r="L177" i="3" s="1"/>
  <c r="K187" i="3"/>
  <c r="L187" i="3" s="1"/>
  <c r="K244" i="3"/>
  <c r="L244" i="3" s="1"/>
  <c r="I311" i="3"/>
  <c r="K161" i="3"/>
  <c r="L161" i="3" s="1"/>
  <c r="K166" i="3"/>
  <c r="L166" i="3" s="1"/>
  <c r="K169" i="3"/>
  <c r="L169" i="3" s="1"/>
  <c r="K171" i="3"/>
  <c r="L171" i="3" s="1"/>
  <c r="I244" i="1"/>
  <c r="I263" i="1" s="1"/>
  <c r="I299" i="1" s="1"/>
  <c r="K116" i="1"/>
  <c r="L116" i="1" s="1"/>
  <c r="K244" i="1"/>
  <c r="L244" i="1" s="1"/>
  <c r="H263" i="1"/>
  <c r="K263" i="1" s="1"/>
  <c r="L263" i="1" s="1"/>
  <c r="I189" i="1"/>
  <c r="I311" i="1" s="1"/>
  <c r="H166" i="1"/>
  <c r="K166" i="1" s="1"/>
  <c r="L166" i="1" s="1"/>
  <c r="K261" i="1"/>
  <c r="L261" i="1" s="1"/>
  <c r="H297" i="1"/>
  <c r="K295" i="1"/>
  <c r="L295" i="1" s="1"/>
  <c r="K104" i="1"/>
  <c r="L104" i="1" s="1"/>
  <c r="I300" i="3" l="1"/>
  <c r="I312" i="3"/>
  <c r="K300" i="3"/>
  <c r="K263" i="3"/>
  <c r="L263" i="3" s="1"/>
  <c r="K104" i="3"/>
  <c r="L104" i="3" s="1"/>
  <c r="I313" i="3"/>
  <c r="I300" i="1"/>
  <c r="I312" i="1"/>
  <c r="K300" i="1"/>
  <c r="I313" i="1"/>
  <c r="H189" i="1"/>
  <c r="K297" i="1"/>
  <c r="L297" i="1" s="1"/>
  <c r="H299" i="1"/>
  <c r="H300" i="3" l="1"/>
  <c r="H312" i="3"/>
  <c r="K299" i="3"/>
  <c r="L299" i="3" s="1"/>
  <c r="H302" i="3"/>
  <c r="K189" i="3"/>
  <c r="L189" i="3" s="1"/>
  <c r="H311" i="3"/>
  <c r="H313" i="3" s="1"/>
  <c r="H300" i="1"/>
  <c r="H312" i="1"/>
  <c r="K299" i="1"/>
  <c r="L299" i="1" s="1"/>
  <c r="H302" i="1"/>
  <c r="K189" i="1"/>
  <c r="L189" i="1" s="1"/>
  <c r="H311" i="1"/>
  <c r="H31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BPKAD-1</author>
  </authors>
  <commentList>
    <comment ref="H18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BPKAD-1:</t>
        </r>
        <r>
          <rPr>
            <sz val="9"/>
            <color indexed="81"/>
            <rFont val="Tahoma"/>
            <family val="2"/>
          </rPr>
          <t xml:space="preserve">
belum memasukkan sisa saldo kas di bend penerimaan dari PAP Cilacap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BPKAD-1</author>
  </authors>
  <commentList>
    <comment ref="H18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BPKAD-1:</t>
        </r>
        <r>
          <rPr>
            <sz val="9"/>
            <color indexed="81"/>
            <rFont val="Tahoma"/>
            <family val="2"/>
          </rPr>
          <t xml:space="preserve">
belum memasukkan sisa saldo kas di bend penerimaan dari PAP Cilacap</t>
        </r>
      </text>
    </comment>
  </commentList>
</comments>
</file>

<file path=xl/sharedStrings.xml><?xml version="1.0" encoding="utf-8"?>
<sst xmlns="http://schemas.openxmlformats.org/spreadsheetml/2006/main" count="618" uniqueCount="279">
  <si>
    <t>NERACA KOMPARATIF</t>
  </si>
  <si>
    <t xml:space="preserve">PEMERINTAH PROVINSI JAWA TENGAH </t>
  </si>
  <si>
    <t>Per 31 Desember 2021 dan 2020</t>
  </si>
  <si>
    <t>(Dalam Rupiah)</t>
  </si>
  <si>
    <t>NO</t>
  </si>
  <si>
    <t>URAIAN</t>
  </si>
  <si>
    <t>REFF</t>
  </si>
  <si>
    <t>kenaikan/ penurunan</t>
  </si>
  <si>
    <t>prosentase</t>
  </si>
  <si>
    <t xml:space="preserve">ASET </t>
  </si>
  <si>
    <t>ASET LANCAR</t>
  </si>
  <si>
    <t>Kas dan Setara Kas</t>
  </si>
  <si>
    <t>Kas di Kas Daerah</t>
  </si>
  <si>
    <t>Kas di Bendahara Penerimaan</t>
  </si>
  <si>
    <t>Kas di Bendahara Pengeluaran</t>
  </si>
  <si>
    <t>Kas di BLUD</t>
  </si>
  <si>
    <t>Kas Dana BOS</t>
  </si>
  <si>
    <t>Kas Dana Kapitasi pada FKTP</t>
  </si>
  <si>
    <t>Kas Lainnya</t>
  </si>
  <si>
    <t>Setara Kas</t>
  </si>
  <si>
    <t>Investasi Jangka Pendek</t>
  </si>
  <si>
    <t>Investasi dalam Saham</t>
  </si>
  <si>
    <t>Investasi dalam Deposito</t>
  </si>
  <si>
    <t>Investasi dalam SUN</t>
  </si>
  <si>
    <t>Investasi dalam SBI</t>
  </si>
  <si>
    <t>Investasi dalam SPN</t>
  </si>
  <si>
    <t>Investasi Jangka Pendek BLUD</t>
  </si>
  <si>
    <t>Piutang Pajak Daerah</t>
  </si>
  <si>
    <t>Piutang Pajak Kendaraan Bermotor (PKB)</t>
  </si>
  <si>
    <t>Piutang Bea Balik Nama Kendaraan Bermotor</t>
  </si>
  <si>
    <t>Piutang Pajak Bahan Bakar Kendaraan Bermotor (PBBKB)</t>
  </si>
  <si>
    <t>Piutang Pajak Air Permukaan</t>
  </si>
  <si>
    <t>Piutang Pajak Rokok</t>
  </si>
  <si>
    <t>Piutang Pajak Hotel</t>
  </si>
  <si>
    <t>Piutang Pajak Restoran</t>
  </si>
  <si>
    <t>Piutang Pajak Hiburan</t>
  </si>
  <si>
    <t>Piutang Pajak Reklame</t>
  </si>
  <si>
    <t>Piutang Pajak Penerangan Jalan</t>
  </si>
  <si>
    <t>Piutang Pajak Parkir</t>
  </si>
  <si>
    <t>Piutang Pajak Air Tanah</t>
  </si>
  <si>
    <t>Piutang Pajak Sarang Burung Walet</t>
  </si>
  <si>
    <t>Piutang Pajak Mineral Bukan Logam dan Batuan</t>
  </si>
  <si>
    <t>Piutang Pajak Bumi dan Bangunan Pedesaan dan Perkotaan (PBBP2)</t>
  </si>
  <si>
    <t>Piutang Bea Perolehan Hak Atas Tanah dan Bangunan (BPHTB)</t>
  </si>
  <si>
    <t>Piutang Retribusi Daerah</t>
  </si>
  <si>
    <t>Piutang Retribusi Jasa Umum</t>
  </si>
  <si>
    <t>Piutang Retribusi Jasa Usaha</t>
  </si>
  <si>
    <t>Piutang Retribusi Perizinan Tertentu</t>
  </si>
  <si>
    <t>Piutang Hasil Pengelolaan Kekayaan Daerah yang Dipisahkan</t>
  </si>
  <si>
    <t>Piutang Bagian Laba atas Penyertaan Modal pada BUMN</t>
  </si>
  <si>
    <t>Piutang Bagian Laba atas Penyertaan Modal pada BUMD</t>
  </si>
  <si>
    <t>Piutang Bagian Laba yang Dibagikan kepada Pemerintah Daerah (Dividen) atas Penyertaan Modal pada Perusahaan Swasta</t>
  </si>
  <si>
    <t>Piutang Lain-lain PAD yang Sah</t>
  </si>
  <si>
    <t>Piutang Hasil Penjualan BMD yang Tidak Dipisahkan</t>
  </si>
  <si>
    <t>Piutang Hasil Selisih Lebih Tukar Menukar BMD yang Tidak Dipisahkan</t>
  </si>
  <si>
    <t>Piutang Hasil Pemanfaatan BMD yang Tidak Dipisahkan</t>
  </si>
  <si>
    <t>Piutang Hasil Kerja Sama Daerah</t>
  </si>
  <si>
    <t>Piutang Jasa Giro</t>
  </si>
  <si>
    <t>Piutang Hasil Pengelolaan Dana Bergulir</t>
  </si>
  <si>
    <t>Piutang Pendapatan Bunga</t>
  </si>
  <si>
    <t>Piutang Penerimaan atas Tuntutan Ganti Kerugian Keuangan Daerah</t>
  </si>
  <si>
    <t>Piutang Penerimaan Komisi, Potongan, atau Bentuk Lain</t>
  </si>
  <si>
    <t>Piutang Penerimaan Keuntungan dari Selisih Nilai Tukar Rupiah Terhadap Mata Uang Asing</t>
  </si>
  <si>
    <t>Piutang Pendapatan Denda atas Keterlambatan Pelaksanaan Pekerjaan</t>
  </si>
  <si>
    <t>Piutang Pendapatan Denda Pajak Daerah</t>
  </si>
  <si>
    <t>Piutang Pendapatan Denda Retribusi Daerah</t>
  </si>
  <si>
    <t>Piutang Pendapatan Hasil Eksekusi atas Jaminan</t>
  </si>
  <si>
    <t>Piutang Pendapatan dari Pengembalian</t>
  </si>
  <si>
    <t>Piutang Pendapatan BLUD</t>
  </si>
  <si>
    <t>Piutang Pendapatan Denda Pemanfaatan BMD yang Tidak Dipisahkan</t>
  </si>
  <si>
    <t>Piutang Pendapatan Dana Kapitasi Jaminan Kesehatan Nasional (JKN) pada Fasilitas Kesehatan Tingkat Pertama (FKTP)</t>
  </si>
  <si>
    <t>Piutang Pendapatan Hasil Pengelolaan Dana Bergulir</t>
  </si>
  <si>
    <t>Piutang Pendapatan Berdasarkan Putusan Pengadilan (Inkracht)</t>
  </si>
  <si>
    <t>Piutang Pendapatan Denda atas Pelanggaran Peraturan Daerah</t>
  </si>
  <si>
    <t>Piutang Pendapatan Zakat, Infaq, Shadaqah, dan Wakaf</t>
  </si>
  <si>
    <t>Piutang Transfer Pemerintah Pusat</t>
  </si>
  <si>
    <t>Piutang Dana Perimbangan</t>
  </si>
  <si>
    <t>Piutang Dana Insentif Daerah (DID)</t>
  </si>
  <si>
    <t>Piutang Dana Otonomi Khusus dan Tambahan Infrastruktur</t>
  </si>
  <si>
    <t>Piutang Dana Keistimewaan</t>
  </si>
  <si>
    <t>Piutang Dana Desa</t>
  </si>
  <si>
    <t>Piutang Transfer Antar Daerah</t>
  </si>
  <si>
    <t>Piutang Bagi Hasil</t>
  </si>
  <si>
    <t>Piutang Bantuan Keuangan</t>
  </si>
  <si>
    <t>Piutang Lainnya</t>
  </si>
  <si>
    <t>Bagian Lancar Tagihan Jangka Panjang</t>
  </si>
  <si>
    <t>Bagian Lancar Tagihan Pinjaman Jangka Panjang</t>
  </si>
  <si>
    <t>Bagian Lancar Tagihan Penjualan Angsuran</t>
  </si>
  <si>
    <t>Bagian Lancar Tuntutan Ganti Kerugian Daerah</t>
  </si>
  <si>
    <t>Uang Muka</t>
  </si>
  <si>
    <t>Penyisihan Piutang</t>
  </si>
  <si>
    <t>Penyisihan Piutang Pendapatan</t>
  </si>
  <si>
    <t>Penyisihan Piutang Lainnya</t>
  </si>
  <si>
    <t>Beban Dibayar Dimuka</t>
  </si>
  <si>
    <t>Persediaan</t>
  </si>
  <si>
    <t>Barang Pakai Habis</t>
  </si>
  <si>
    <t>Barang Tak Habis Pakai</t>
  </si>
  <si>
    <t>Barang Bekas Dipakai</t>
  </si>
  <si>
    <t xml:space="preserve"> JUMLAH ASET LANCAR </t>
  </si>
  <si>
    <t>INVESTASI JANGKA PANJANG</t>
  </si>
  <si>
    <t>Investasi Jangka Panjang Non Permanen</t>
  </si>
  <si>
    <t>Investasi kepada Badan Usaha Milik Negara</t>
  </si>
  <si>
    <t>Investasi kepada Badan Usaha Milik Daerah</t>
  </si>
  <si>
    <t>Investasi dalam Obligasi</t>
  </si>
  <si>
    <t>Investasi dalam Proyek Pembangunan</t>
  </si>
  <si>
    <t>Dana Bergulir</t>
  </si>
  <si>
    <t>Investasi Jangka Panjang Permanen</t>
  </si>
  <si>
    <t>Penyertaan Modal</t>
  </si>
  <si>
    <t>Investasi-Pemberian Pinjaman Daerah</t>
  </si>
  <si>
    <t xml:space="preserve">  JUMLAH INVESTASI JANGKA PANJANG </t>
  </si>
  <si>
    <t>ASET TETAP</t>
  </si>
  <si>
    <t>Tanah</t>
  </si>
  <si>
    <t>Peralatan dan Mesin</t>
  </si>
  <si>
    <t>Alat Besar</t>
  </si>
  <si>
    <t>Alat Angkutan</t>
  </si>
  <si>
    <t>Alat Bengkel dan Alat Ukur</t>
  </si>
  <si>
    <t>Alat Pertanian</t>
  </si>
  <si>
    <t>Alat Kantor dan Rumah Tangga</t>
  </si>
  <si>
    <t>Alat Studio, Komunikasi, dan Pemancar</t>
  </si>
  <si>
    <t>Alat Kedokteran dan Kesehatan</t>
  </si>
  <si>
    <t>Alat Laboratorium</t>
  </si>
  <si>
    <t>Alat Persenjataan</t>
  </si>
  <si>
    <t>Komputer</t>
  </si>
  <si>
    <t>Alat Eksplorasi</t>
  </si>
  <si>
    <t>Alat Pengeboran</t>
  </si>
  <si>
    <t>Alat Produksi, Pengolahan, dan Pemurnian</t>
  </si>
  <si>
    <t>Alat Bantu Eksplorasi</t>
  </si>
  <si>
    <t>Alat Keselamatan Kerja</t>
  </si>
  <si>
    <t>Alat Peraga</t>
  </si>
  <si>
    <t>Peralatan Proses/Produksi</t>
  </si>
  <si>
    <t>Rambu-rambu</t>
  </si>
  <si>
    <t>Peralatan Olahraga</t>
  </si>
  <si>
    <t>Gedung dan Bangunan</t>
  </si>
  <si>
    <t>Bangunan Gedung</t>
  </si>
  <si>
    <t>Monumen</t>
  </si>
  <si>
    <t>Bangunan Menara</t>
  </si>
  <si>
    <t>Tugu Titik Kontrol/Pasti</t>
  </si>
  <si>
    <t>Jalan, Irigasi, dan Jaringan</t>
  </si>
  <si>
    <t>Jalan dan Jembatan</t>
  </si>
  <si>
    <t>Bangunan Air</t>
  </si>
  <si>
    <t>Instalasi</t>
  </si>
  <si>
    <t>Jaringan</t>
  </si>
  <si>
    <t>Aset Tetap Lainnya</t>
  </si>
  <si>
    <t>Bahan Perpustakaan</t>
  </si>
  <si>
    <t>Barang Bercorak Kesenian/Kebudayaan/ Olahraga</t>
  </si>
  <si>
    <t>Hewan</t>
  </si>
  <si>
    <t>Biota Perairan</t>
  </si>
  <si>
    <t>Tanaman</t>
  </si>
  <si>
    <t>Barang Koleksi Non Budaya</t>
  </si>
  <si>
    <t>Aset Tetap Dalam Renovasi</t>
  </si>
  <si>
    <t>Konstruksi dalam Pengerjaan</t>
  </si>
  <si>
    <t>Akumulasi Penyusutan</t>
  </si>
  <si>
    <t>Akumulasi Penyusutan Peralatan dan Mesin</t>
  </si>
  <si>
    <t>Akumulasi Penyusutan Gedung dan Bangunan</t>
  </si>
  <si>
    <t>Akumulasi Penyusutan Jalan, Jaringan, dan Irigasi</t>
  </si>
  <si>
    <t>Akumulasi Penyusutan Aset Tetap Lainnya</t>
  </si>
  <si>
    <t xml:space="preserve"> JUMLAH ASET TETAP </t>
  </si>
  <si>
    <t>DANA CADANGAN</t>
  </si>
  <si>
    <t>Dana Cadangan</t>
  </si>
  <si>
    <t xml:space="preserve"> JUMLAH DANA CADANGAN </t>
  </si>
  <si>
    <t>ASET LAINNYA</t>
  </si>
  <si>
    <t>Tagihan Jangka Panjang</t>
  </si>
  <si>
    <t>Tagihan Penjualan Angsuran</t>
  </si>
  <si>
    <t>Tuntutan Ganti Kerugian Daerah</t>
  </si>
  <si>
    <t>Kemitraan dengan Pihak Ketiga</t>
  </si>
  <si>
    <t>Aset Tak Berwujud</t>
  </si>
  <si>
    <t>Aset Lain-lain</t>
  </si>
  <si>
    <t>Aset Lain-Lain</t>
  </si>
  <si>
    <t>Akumulasi Amortisasi Aset Tidak Berwujud</t>
  </si>
  <si>
    <t>Akumulasi Penyusutan Aset Lainnya</t>
  </si>
  <si>
    <t>JUMLAH ASET LAINNYA</t>
  </si>
  <si>
    <t xml:space="preserve"> JUMLAH ASET </t>
  </si>
  <si>
    <t>KEWAJIBAN</t>
  </si>
  <si>
    <t>KEWAJIBAN JANGKA PENDEK</t>
  </si>
  <si>
    <t>Utang Perhitungan Pihak Ketiga</t>
  </si>
  <si>
    <t>Utang Taspen</t>
  </si>
  <si>
    <t>Utang Iuran Jaminan Kesehatan</t>
  </si>
  <si>
    <t>Utang Iuran Jaminan Kecelakaan Kerja</t>
  </si>
  <si>
    <t>Utang Iuran Jaminan Kematian</t>
  </si>
  <si>
    <t>Utang PPh Pusat</t>
  </si>
  <si>
    <t>Utang PPN Pusat</t>
  </si>
  <si>
    <t>Utang Taperum</t>
  </si>
  <si>
    <t>Utang Iuran Wajib Pegawai</t>
  </si>
  <si>
    <t>Utang Pihak Ketiga Lainnya</t>
  </si>
  <si>
    <t>Utang Bunga</t>
  </si>
  <si>
    <t>Utang Bunga kepada Pemerintah Pusat</t>
  </si>
  <si>
    <t>Utang Bunga kepada Pemerintah Daerah Lain</t>
  </si>
  <si>
    <t>Utang Bunga kepada Lembaga Keuangan Bank (LKB)</t>
  </si>
  <si>
    <t>Utang Bunga kepada Lembaga Keuangan Bukan Bank</t>
  </si>
  <si>
    <t>Utang Bunga kepada Masyarakat</t>
  </si>
  <si>
    <t>Utang Bunga BLUD</t>
  </si>
  <si>
    <t>Utang Pinjaman Jangka Pendek</t>
  </si>
  <si>
    <t>Utang Pinjaman dari Pemerintah Daerah</t>
  </si>
  <si>
    <t>Utang Pinjaman dari Lembaga Keuangan Bank (LKB)</t>
  </si>
  <si>
    <t>Utang Pinjaman dari Lembaga Keuangan Bukan Bank (LKBB)</t>
  </si>
  <si>
    <t>Utang Pinjaman BLUD</t>
  </si>
  <si>
    <t>Bagian Lancar Utang Jangka Panjang</t>
  </si>
  <si>
    <t>Bagian Lancar Utang Jangka Panjang dari Pemerintah Pusat</t>
  </si>
  <si>
    <t>Bagian Lancar Utang Jangka Panjang kepada Lembaga Keuangan Bank (LKB)</t>
  </si>
  <si>
    <t>Bagian Lancar Utang Jangka Panjang kepada Lembaga Keuangan Bukan Bank (LKBB)</t>
  </si>
  <si>
    <t>Bagian Lancar Utang Jangka Panjang dari Masyarakat</t>
  </si>
  <si>
    <t>Bagian Lancar Utang Jangka Pendek BLUD</t>
  </si>
  <si>
    <t>Pendapatan Dibayar Dimuka Lainnya</t>
  </si>
  <si>
    <t>Setoran Kelebihan Pembayaran Dari Pihak III</t>
  </si>
  <si>
    <t>Uang Muka Penjualan Produk Pemda Dari Pihak III</t>
  </si>
  <si>
    <t>Uang Muka Lelang Penjualan Aset Daerah</t>
  </si>
  <si>
    <t>Utang Belanja</t>
  </si>
  <si>
    <t>Utang Belanja Pegawai</t>
  </si>
  <si>
    <t>Utang Belanja Barang dan Jasa</t>
  </si>
  <si>
    <t>Utang Belanja Bunga</t>
  </si>
  <si>
    <t>Utang Belanja Subsidi</t>
  </si>
  <si>
    <t>Utang Belanja Hibah</t>
  </si>
  <si>
    <t>Utang Belanja Modal Tanah</t>
  </si>
  <si>
    <t>Utang Belanja Modal Peralatan dan Mesin</t>
  </si>
  <si>
    <t>Utang Belanja Modal Gedung dan Bangunan</t>
  </si>
  <si>
    <t>Utang Belanja Modal Jalan, Jaringan, dan Irigasi</t>
  </si>
  <si>
    <t>Utang Belanja Aset Tetap Lainnya</t>
  </si>
  <si>
    <t>Utang Belanja Tidak Terduga</t>
  </si>
  <si>
    <t>Utang Belanja Bagi Hasil</t>
  </si>
  <si>
    <t>Utang Belanja Bantuan Keuangan</t>
  </si>
  <si>
    <t>Utang Jangka Pendek Lainnya</t>
  </si>
  <si>
    <t>Utang Kelebihan Pembayaran PAD</t>
  </si>
  <si>
    <t>Utang Kelebihan Pembayaran Transfer</t>
  </si>
  <si>
    <t>Utang Kelebihan Pembayaran Lain-Lain Pendapatan Daerah yang Sah</t>
  </si>
  <si>
    <t>Utang Transfer</t>
  </si>
  <si>
    <t xml:space="preserve">          JUMLAH KEWAJIBAN JANGKA PENDEK</t>
  </si>
  <si>
    <t>KEWAJIBAN JANGKA PANJANG</t>
  </si>
  <si>
    <t>Utang kepada Pemerintah Pusat</t>
  </si>
  <si>
    <t>Utang atas Penerusan Pinjaman Dalam Negeri</t>
  </si>
  <si>
    <t>Utang atas Penerusan Pinjaman Luar Negeri</t>
  </si>
  <si>
    <t>Sumber Lainnya sesuai Ketentuan Peraturan Perundang-Undangan</t>
  </si>
  <si>
    <t>Utang kepada Lembaga Keuangan Bank (LKB)</t>
  </si>
  <si>
    <t>Utang kepada LKB-BUMN</t>
  </si>
  <si>
    <t>Utang kepada LKB-BUMD</t>
  </si>
  <si>
    <t>Utang kepada LKB-Swasta</t>
  </si>
  <si>
    <t>Utang kepada Lembaga Keuangan Bukan Bank (LKBB)</t>
  </si>
  <si>
    <t>Utang kepada LKBB-BUMN</t>
  </si>
  <si>
    <t>Utang kepada LKBB-BUMD</t>
  </si>
  <si>
    <t>Utang kepada LKBB-Swasta</t>
  </si>
  <si>
    <t>Utang kepada Masyarakat</t>
  </si>
  <si>
    <t>Obligasi</t>
  </si>
  <si>
    <t xml:space="preserve">          JUMLAH KEWAJIBAN JANGKA PANJANG</t>
  </si>
  <si>
    <t xml:space="preserve">          JUMLAH KEWAJIBAN </t>
  </si>
  <si>
    <t>EKUITAS</t>
  </si>
  <si>
    <t>EKUITAS DANA LANCAR</t>
  </si>
  <si>
    <t>Perubahan SAL</t>
  </si>
  <si>
    <t>Cadangan Piutang</t>
  </si>
  <si>
    <t>Cadangan Persediaan</t>
  </si>
  <si>
    <t>Dana yang Harus Disediakan untuk Pembayaran Utang Jangka Pendek</t>
  </si>
  <si>
    <t>EKUITAS DANA INVESTASI</t>
  </si>
  <si>
    <t>Diinvestasikan Dalam Investasi Jangka Panjang</t>
  </si>
  <si>
    <t>Diinvestasikan dalam Aset Tetap</t>
  </si>
  <si>
    <t>Diinvestasikan dalam Aset Lainnya</t>
  </si>
  <si>
    <t>EKUITAS DANA CADANGAN</t>
  </si>
  <si>
    <t>Diinvestasikan dalam Dana Cadangan</t>
  </si>
  <si>
    <t>Ekuitas Beban Dibayar Dimuka</t>
  </si>
  <si>
    <t>Ekuitas Pendapatan Dibayar Dimuka</t>
  </si>
  <si>
    <t>EKUITAS BEBAN DIBAYAR DIMUKA</t>
  </si>
  <si>
    <t>EKUITAS PENDAPATAN DITERIMA DIMUKA</t>
  </si>
  <si>
    <t xml:space="preserve">Ekuitas </t>
  </si>
  <si>
    <t>Surplus/Defisit-LO</t>
  </si>
  <si>
    <t>Ekuitas SAL</t>
  </si>
  <si>
    <t>Estimasi Pendapatan</t>
  </si>
  <si>
    <t>Estimasi Penerimaan Pembiayaan</t>
  </si>
  <si>
    <t>Apropriasi Belanja</t>
  </si>
  <si>
    <t>Apropriasi Pengeluaran Pembiayaan</t>
  </si>
  <si>
    <t>Estimasi Perubahan SAL</t>
  </si>
  <si>
    <t>Surplus/Defisit-LRA</t>
  </si>
  <si>
    <t>Ekuitas untuk Dikonsolidasikan</t>
  </si>
  <si>
    <t>RK PPKD</t>
  </si>
  <si>
    <t xml:space="preserve">          JUMLAH EKUITAS</t>
  </si>
  <si>
    <t xml:space="preserve">JUMLAH KEWAJIBAN DAN EKUITAS DANA </t>
  </si>
  <si>
    <t>*Lihat Catatan Atas Laporan Keuangan yang merupakan bagian yang tidak terpisahkan dari laporan keuangan secara keseluruhan</t>
  </si>
  <si>
    <t>Semarang,</t>
  </si>
  <si>
    <t>PENGGUNA ANGGARAN</t>
  </si>
  <si>
    <t>Dra. PENI RAHAYU, M.Si</t>
  </si>
  <si>
    <t>NIP. 19620921 198903 2 005</t>
  </si>
  <si>
    <t>02</t>
  </si>
  <si>
    <t>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</si>
</sst>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64" formatCode="_(* #,##0_);_(* \(#,##0\);_(* &quot;-&quot;_);_(@_)"/>
    <numFmt numFmtId="165" formatCode="_(* #,##0.00_);_(* \(#,##0.00\);_(* &quot;-&quot;_);_(@_)"/>
    <numFmt numFmtId="166" formatCode="_(* #,##0.00_);_(* \(#,##0.00\);_(* &quot;-&quot;??_);_(@_)"/>
    <numFmt numFmtId="167" formatCode="_-* #,##0.00_-;\-* #,##0.00_-;_-* &quot;-&quot;_-;_-@_-"/>
    <numFmt numFmtId="168" formatCode="_(* #,##0.0_);_(* \(#,##0.0\);_(* &quot;-&quot;??_);_(@_)"/>
  </numFmts>
  <fonts count="39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24"/>
      <color indexed="8"/>
      <name val="Times New Roman"/>
      <family val="1"/>
    </font>
    <font>
      <b/>
      <sz val="18"/>
      <color indexed="8"/>
      <name val="Times New Roman"/>
      <family val="1"/>
    </font>
    <font>
      <sz val="16"/>
      <color indexed="8"/>
      <name val="Times New Roman"/>
      <family val="1"/>
    </font>
    <font>
      <sz val="24"/>
      <color indexed="8"/>
      <name val="Times New Roman"/>
      <family val="1"/>
    </font>
    <font>
      <sz val="18"/>
      <color indexed="8"/>
      <name val="Times New Roman"/>
      <family val="1"/>
    </font>
    <font>
      <sz val="16"/>
      <color indexed="8"/>
      <name val="Calibri"/>
      <family val="2"/>
      <charset val="1"/>
    </font>
    <font>
      <b/>
      <sz val="16"/>
      <color indexed="8"/>
      <name val="Tahoma"/>
      <family val="2"/>
    </font>
    <font>
      <b/>
      <sz val="16"/>
      <color indexed="8"/>
      <name val="Times New Roman"/>
      <family val="1"/>
    </font>
    <font>
      <b/>
      <sz val="16"/>
      <color theme="0"/>
      <name val="Tahoma"/>
      <family val="2"/>
    </font>
    <font>
      <b/>
      <sz val="16"/>
      <color theme="0"/>
      <name val="Times New Roman"/>
      <family val="1"/>
    </font>
    <font>
      <b/>
      <sz val="16"/>
      <color indexed="10"/>
      <name val="Tahoma"/>
      <family val="2"/>
    </font>
    <font>
      <sz val="16"/>
      <color indexed="8"/>
      <name val="Tahoma"/>
      <family val="2"/>
    </font>
    <font>
      <sz val="16"/>
      <name val="Tahoma"/>
      <family val="2"/>
    </font>
    <font>
      <b/>
      <sz val="16"/>
      <name val="Tahoma"/>
      <family val="2"/>
    </font>
    <font>
      <sz val="11"/>
      <color indexed="8"/>
      <name val="Calibri"/>
      <family val="2"/>
    </font>
    <font>
      <sz val="11"/>
      <color indexed="8"/>
      <name val="Calibri"/>
      <family val="2"/>
      <charset val="1"/>
    </font>
    <font>
      <sz val="16"/>
      <color indexed="8"/>
      <name val="Tahoma"/>
      <family val="2"/>
      <charset val="1"/>
    </font>
    <font>
      <sz val="16"/>
      <color indexed="8"/>
      <name val="Times New Roman"/>
      <family val="1"/>
      <charset val="1"/>
    </font>
    <font>
      <b/>
      <sz val="16"/>
      <color indexed="8"/>
      <name val="Tahoma"/>
      <family val="2"/>
      <charset val="1"/>
    </font>
    <font>
      <b/>
      <sz val="16"/>
      <name val="Tahoma"/>
      <family val="2"/>
      <charset val="1"/>
    </font>
    <font>
      <b/>
      <sz val="16"/>
      <color indexed="8"/>
      <name val="Times New Roman"/>
      <family val="1"/>
      <charset val="1"/>
    </font>
    <font>
      <sz val="16"/>
      <name val="Tahoma"/>
      <family val="2"/>
      <charset val="1"/>
    </font>
    <font>
      <sz val="8"/>
      <color theme="1"/>
      <name val="Arial"/>
      <family val="2"/>
      <charset val="1"/>
    </font>
    <font>
      <sz val="10"/>
      <name val="Arial"/>
      <family val="2"/>
    </font>
    <font>
      <i/>
      <sz val="16"/>
      <name val="Arial Narrow"/>
      <family val="2"/>
    </font>
    <font>
      <i/>
      <sz val="16"/>
      <color indexed="8"/>
      <name val="Times New Roman"/>
      <family val="1"/>
    </font>
    <font>
      <i/>
      <sz val="16"/>
      <color indexed="8"/>
      <name val="Calibri"/>
      <family val="2"/>
      <charset val="1"/>
    </font>
    <font>
      <i/>
      <sz val="16"/>
      <color theme="0"/>
      <name val="Arial Narrow"/>
      <family val="2"/>
    </font>
    <font>
      <b/>
      <sz val="18"/>
      <color indexed="8"/>
      <name val="Calibri"/>
      <family val="2"/>
      <charset val="1"/>
    </font>
    <font>
      <b/>
      <u/>
      <sz val="18"/>
      <color indexed="8"/>
      <name val="Times New Roman"/>
      <family val="1"/>
    </font>
    <font>
      <b/>
      <sz val="18"/>
      <color theme="1"/>
      <name val="Times New Roman"/>
      <family val="1"/>
    </font>
    <font>
      <sz val="20"/>
      <color theme="1"/>
      <name val="Calibri"/>
      <family val="2"/>
      <charset val="1"/>
      <scheme val="minor"/>
    </font>
    <font>
      <sz val="18"/>
      <color theme="1"/>
      <name val="Calibri"/>
      <family val="2"/>
      <charset val="1"/>
      <scheme val="minor"/>
    </font>
    <font>
      <sz val="14"/>
      <color theme="1"/>
      <name val="Calibri"/>
      <family val="2"/>
      <charset val="1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33">
    <border>
      <left/>
      <right/>
      <top/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/>
      <top style="double">
        <color auto="1"/>
      </top>
      <bottom style="hair">
        <color auto="1"/>
      </bottom>
      <diagonal/>
    </border>
    <border>
      <left/>
      <right/>
      <top style="double">
        <color auto="1"/>
      </top>
      <bottom style="hair">
        <color auto="1"/>
      </bottom>
      <diagonal/>
    </border>
    <border>
      <left/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/>
      <right style="double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 style="double">
        <color auto="1"/>
      </right>
      <top style="hair">
        <color auto="1"/>
      </top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 style="double">
        <color auto="1"/>
      </right>
      <top/>
      <bottom style="hair">
        <color auto="1"/>
      </bottom>
      <diagonal/>
    </border>
    <border>
      <left/>
      <right/>
      <top style="hair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</borders>
  <cellStyleXfs count="10">
    <xf numFmtId="0" fontId="0" fillId="0" borderId="0"/>
    <xf numFmtId="41" fontId="1" fillId="0" borderId="0" applyFont="0" applyFill="0" applyBorder="0" applyAlignment="0" applyProtection="0"/>
    <xf numFmtId="0" fontId="1" fillId="0" borderId="0"/>
    <xf numFmtId="164" fontId="17" fillId="0" borderId="0" applyFont="0" applyFill="0" applyBorder="0" applyAlignment="0" applyProtection="0"/>
    <xf numFmtId="164" fontId="2" fillId="0" borderId="0" applyFont="0" applyFill="0" applyBorder="0" applyAlignment="0" applyProtection="0">
      <alignment vertical="center"/>
    </xf>
    <xf numFmtId="164" fontId="18" fillId="0" borderId="0" applyFont="0" applyFill="0" applyBorder="0" applyAlignment="0" applyProtection="0"/>
    <xf numFmtId="166" fontId="2" fillId="0" borderId="0" applyFont="0" applyFill="0" applyBorder="0" applyAlignment="0" applyProtection="0"/>
    <xf numFmtId="41" fontId="25" fillId="0" borderId="0" applyFont="0" applyFill="0" applyBorder="0" applyAlignment="0" applyProtection="0"/>
    <xf numFmtId="0" fontId="26" fillId="0" borderId="0"/>
    <xf numFmtId="164" fontId="17" fillId="0" borderId="0" applyFont="0" applyFill="0" applyBorder="0" applyAlignment="0" applyProtection="0"/>
  </cellStyleXfs>
  <cellXfs count="193">
    <xf numFmtId="0" fontId="0" fillId="0" borderId="0" xfId="0"/>
    <xf numFmtId="0" fontId="1" fillId="0" borderId="0" xfId="2" applyAlignment="1">
      <alignment horizontal="center" vertical="center"/>
    </xf>
    <xf numFmtId="0" fontId="1" fillId="0" borderId="0" xfId="2" applyAlignment="1">
      <alignment vertical="center"/>
    </xf>
    <xf numFmtId="0" fontId="1" fillId="0" borderId="0" xfId="2" applyAlignment="1">
      <alignment horizontal="right" vertical="center"/>
    </xf>
    <xf numFmtId="4" fontId="1" fillId="0" borderId="0" xfId="2" applyNumberFormat="1" applyAlignment="1">
      <alignment horizontal="right" vertical="center"/>
    </xf>
    <xf numFmtId="4" fontId="1" fillId="0" borderId="0" xfId="2" applyNumberFormat="1" applyAlignment="1">
      <alignment vertical="center"/>
    </xf>
    <xf numFmtId="165" fontId="1" fillId="0" borderId="0" xfId="1" applyNumberFormat="1" applyFont="1" applyAlignment="1">
      <alignment vertical="center"/>
    </xf>
    <xf numFmtId="0" fontId="4" fillId="0" borderId="0" xfId="2" applyFont="1" applyAlignment="1">
      <alignment horizontal="center" vertical="center"/>
    </xf>
    <xf numFmtId="0" fontId="5" fillId="0" borderId="0" xfId="2" applyFont="1" applyAlignment="1">
      <alignment vertical="center"/>
    </xf>
    <xf numFmtId="165" fontId="5" fillId="0" borderId="0" xfId="1" applyNumberFormat="1" applyFont="1" applyAlignment="1">
      <alignment vertical="center"/>
    </xf>
    <xf numFmtId="0" fontId="7" fillId="0" borderId="0" xfId="2" applyFont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8" fillId="0" borderId="0" xfId="2" applyFont="1" applyAlignment="1">
      <alignment vertical="center"/>
    </xf>
    <xf numFmtId="4" fontId="8" fillId="0" borderId="0" xfId="2" applyNumberFormat="1" applyFont="1" applyAlignment="1">
      <alignment horizontal="right" vertical="center"/>
    </xf>
    <xf numFmtId="0" fontId="5" fillId="0" borderId="0" xfId="2" applyFont="1" applyAlignment="1">
      <alignment horizontal="right" vertical="center"/>
    </xf>
    <xf numFmtId="165" fontId="8" fillId="0" borderId="0" xfId="1" applyNumberFormat="1" applyFont="1" applyAlignment="1">
      <alignment vertical="center"/>
    </xf>
    <xf numFmtId="0" fontId="9" fillId="2" borderId="1" xfId="2" applyFont="1" applyFill="1" applyBorder="1" applyAlignment="1">
      <alignment horizontal="center" vertical="center" wrapText="1"/>
    </xf>
    <xf numFmtId="0" fontId="9" fillId="2" borderId="5" xfId="2" applyFont="1" applyFill="1" applyBorder="1" applyAlignment="1">
      <alignment horizontal="center" vertical="center"/>
    </xf>
    <xf numFmtId="0" fontId="9" fillId="2" borderId="6" xfId="2" applyFont="1" applyFill="1" applyBorder="1" applyAlignment="1">
      <alignment horizontal="center" vertical="center"/>
    </xf>
    <xf numFmtId="0" fontId="9" fillId="2" borderId="7" xfId="2" applyFont="1" applyFill="1" applyBorder="1" applyAlignment="1">
      <alignment horizontal="center" vertical="center"/>
    </xf>
    <xf numFmtId="0" fontId="10" fillId="0" borderId="0" xfId="2" applyFont="1" applyAlignment="1">
      <alignment horizontal="center" vertical="center"/>
    </xf>
    <xf numFmtId="0" fontId="10" fillId="0" borderId="0" xfId="2" applyFont="1" applyAlignment="1">
      <alignment vertical="center"/>
    </xf>
    <xf numFmtId="165" fontId="10" fillId="0" borderId="0" xfId="1" applyNumberFormat="1" applyFont="1" applyAlignment="1">
      <alignment horizontal="center" vertical="center"/>
    </xf>
    <xf numFmtId="0" fontId="11" fillId="0" borderId="8" xfId="2" applyFont="1" applyFill="1" applyBorder="1" applyAlignment="1">
      <alignment horizontal="center" vertical="center"/>
    </xf>
    <xf numFmtId="0" fontId="11" fillId="0" borderId="12" xfId="2" applyFont="1" applyFill="1" applyBorder="1" applyAlignment="1">
      <alignment horizontal="center" vertical="center"/>
    </xf>
    <xf numFmtId="0" fontId="11" fillId="0" borderId="12" xfId="2" applyFont="1" applyFill="1" applyBorder="1" applyAlignment="1">
      <alignment horizontal="right" vertical="center"/>
    </xf>
    <xf numFmtId="0" fontId="11" fillId="0" borderId="13" xfId="2" applyFont="1" applyFill="1" applyBorder="1" applyAlignment="1">
      <alignment horizontal="right" vertical="center"/>
    </xf>
    <xf numFmtId="0" fontId="12" fillId="0" borderId="0" xfId="2" applyFont="1" applyFill="1" applyAlignment="1">
      <alignment horizontal="center" vertical="center"/>
    </xf>
    <xf numFmtId="165" fontId="12" fillId="0" borderId="0" xfId="1" applyNumberFormat="1" applyFont="1" applyFill="1" applyAlignment="1">
      <alignment horizontal="center" vertical="center"/>
    </xf>
    <xf numFmtId="0" fontId="9" fillId="0" borderId="14" xfId="2" applyFont="1" applyFill="1" applyBorder="1" applyAlignment="1">
      <alignment horizontal="center" vertical="center"/>
    </xf>
    <xf numFmtId="0" fontId="9" fillId="0" borderId="15" xfId="2" applyFont="1" applyFill="1" applyBorder="1" applyAlignment="1">
      <alignment horizontal="center" vertical="center"/>
    </xf>
    <xf numFmtId="0" fontId="9" fillId="0" borderId="16" xfId="2" applyFont="1" applyFill="1" applyBorder="1" applyAlignment="1">
      <alignment horizontal="center" vertical="center"/>
    </xf>
    <xf numFmtId="0" fontId="9" fillId="0" borderId="16" xfId="2" applyFont="1" applyFill="1" applyBorder="1" applyAlignment="1">
      <alignment horizontal="right" vertical="center"/>
    </xf>
    <xf numFmtId="0" fontId="9" fillId="0" borderId="17" xfId="2" applyFont="1" applyFill="1" applyBorder="1" applyAlignment="1">
      <alignment horizontal="right" vertical="center"/>
    </xf>
    <xf numFmtId="0" fontId="10" fillId="0" borderId="0" xfId="2" applyFont="1" applyFill="1" applyAlignment="1">
      <alignment horizontal="center" vertical="center"/>
    </xf>
    <xf numFmtId="165" fontId="10" fillId="0" borderId="0" xfId="1" applyNumberFormat="1" applyFont="1" applyFill="1" applyAlignment="1">
      <alignment horizontal="center" vertical="center"/>
    </xf>
    <xf numFmtId="0" fontId="9" fillId="0" borderId="18" xfId="2" applyFont="1" applyFill="1" applyBorder="1" applyAlignment="1">
      <alignment vertical="center"/>
    </xf>
    <xf numFmtId="0" fontId="9" fillId="0" borderId="19" xfId="2" applyFont="1" applyFill="1" applyBorder="1" applyAlignment="1">
      <alignment horizontal="center" vertical="center"/>
    </xf>
    <xf numFmtId="4" fontId="9" fillId="0" borderId="20" xfId="2" applyNumberFormat="1" applyFont="1" applyFill="1" applyBorder="1" applyAlignment="1">
      <alignment horizontal="right" vertical="center"/>
    </xf>
    <xf numFmtId="4" fontId="9" fillId="0" borderId="21" xfId="2" applyNumberFormat="1" applyFont="1" applyFill="1" applyBorder="1" applyAlignment="1">
      <alignment horizontal="right" vertical="center"/>
    </xf>
    <xf numFmtId="4" fontId="10" fillId="0" borderId="0" xfId="2" applyNumberFormat="1" applyFont="1" applyFill="1" applyAlignment="1">
      <alignment vertical="center"/>
    </xf>
    <xf numFmtId="0" fontId="10" fillId="0" borderId="0" xfId="2" applyFont="1" applyFill="1" applyAlignment="1">
      <alignment vertical="center"/>
    </xf>
    <xf numFmtId="165" fontId="10" fillId="0" borderId="0" xfId="1" applyNumberFormat="1" applyFont="1" applyFill="1" applyAlignment="1">
      <alignment vertical="center"/>
    </xf>
    <xf numFmtId="0" fontId="13" fillId="0" borderId="19" xfId="2" applyFont="1" applyFill="1" applyBorder="1" applyAlignment="1">
      <alignment horizontal="center" vertical="center"/>
    </xf>
    <xf numFmtId="165" fontId="9" fillId="0" borderId="20" xfId="2" applyNumberFormat="1" applyFont="1" applyFill="1" applyBorder="1" applyAlignment="1">
      <alignment horizontal="right" vertical="center"/>
    </xf>
    <xf numFmtId="165" fontId="9" fillId="0" borderId="21" xfId="2" applyNumberFormat="1" applyFont="1" applyFill="1" applyBorder="1" applyAlignment="1">
      <alignment horizontal="right" vertical="center"/>
    </xf>
    <xf numFmtId="2" fontId="10" fillId="0" borderId="0" xfId="2" applyNumberFormat="1" applyFont="1" applyFill="1" applyAlignment="1">
      <alignment vertical="center"/>
    </xf>
    <xf numFmtId="0" fontId="14" fillId="0" borderId="14" xfId="2" applyFont="1" applyFill="1" applyBorder="1" applyAlignment="1">
      <alignment horizontal="center" vertical="center"/>
    </xf>
    <xf numFmtId="0" fontId="14" fillId="0" borderId="18" xfId="2" applyFont="1" applyFill="1" applyBorder="1" applyAlignment="1">
      <alignment vertical="center"/>
    </xf>
    <xf numFmtId="0" fontId="15" fillId="0" borderId="19" xfId="2" applyFont="1" applyFill="1" applyBorder="1" applyAlignment="1">
      <alignment horizontal="center" vertical="center"/>
    </xf>
    <xf numFmtId="165" fontId="14" fillId="0" borderId="20" xfId="2" applyNumberFormat="1" applyFont="1" applyFill="1" applyBorder="1" applyAlignment="1">
      <alignment horizontal="right" vertical="center"/>
    </xf>
    <xf numFmtId="165" fontId="14" fillId="0" borderId="21" xfId="2" applyNumberFormat="1" applyFont="1" applyFill="1" applyBorder="1" applyAlignment="1">
      <alignment horizontal="right" vertical="center"/>
    </xf>
    <xf numFmtId="4" fontId="5" fillId="0" borderId="0" xfId="2" applyNumberFormat="1" applyFont="1" applyFill="1" applyAlignment="1">
      <alignment vertical="center"/>
    </xf>
    <xf numFmtId="165" fontId="5" fillId="0" borderId="0" xfId="1" applyNumberFormat="1" applyFont="1" applyFill="1" applyAlignment="1">
      <alignment vertical="center"/>
    </xf>
    <xf numFmtId="0" fontId="5" fillId="0" borderId="0" xfId="2" applyFont="1" applyFill="1" applyAlignment="1">
      <alignment vertical="center"/>
    </xf>
    <xf numFmtId="0" fontId="16" fillId="0" borderId="19" xfId="2" applyFont="1" applyFill="1" applyBorder="1" applyAlignment="1">
      <alignment horizontal="center" vertical="center"/>
    </xf>
    <xf numFmtId="165" fontId="9" fillId="0" borderId="19" xfId="2" applyNumberFormat="1" applyFont="1" applyFill="1" applyBorder="1" applyAlignment="1">
      <alignment horizontal="right" vertical="center"/>
    </xf>
    <xf numFmtId="165" fontId="9" fillId="0" borderId="22" xfId="2" applyNumberFormat="1" applyFont="1" applyFill="1" applyBorder="1" applyAlignment="1">
      <alignment horizontal="right" vertical="center"/>
    </xf>
    <xf numFmtId="165" fontId="5" fillId="0" borderId="0" xfId="3" applyNumberFormat="1" applyFont="1" applyFill="1" applyBorder="1" applyAlignment="1">
      <alignment vertical="center"/>
    </xf>
    <xf numFmtId="0" fontId="14" fillId="0" borderId="18" xfId="2" applyFont="1" applyFill="1" applyBorder="1" applyAlignment="1">
      <alignment horizontal="left" vertical="center"/>
    </xf>
    <xf numFmtId="165" fontId="10" fillId="0" borderId="0" xfId="3" applyNumberFormat="1" applyFont="1" applyFill="1" applyBorder="1" applyAlignment="1">
      <alignment vertical="center"/>
    </xf>
    <xf numFmtId="0" fontId="14" fillId="0" borderId="18" xfId="2" applyFont="1" applyFill="1" applyBorder="1" applyAlignment="1">
      <alignment vertical="center" wrapText="1"/>
    </xf>
    <xf numFmtId="165" fontId="5" fillId="0" borderId="0" xfId="4" applyNumberFormat="1" applyFont="1" applyFill="1" applyAlignment="1">
      <alignment vertical="center"/>
    </xf>
    <xf numFmtId="0" fontId="14" fillId="0" borderId="18" xfId="2" applyFont="1" applyFill="1" applyBorder="1" applyAlignment="1">
      <alignment horizontal="left" vertical="center" wrapText="1"/>
    </xf>
    <xf numFmtId="0" fontId="9" fillId="0" borderId="18" xfId="2" applyFont="1" applyFill="1" applyBorder="1" applyAlignment="1">
      <alignment horizontal="left" vertical="center"/>
    </xf>
    <xf numFmtId="0" fontId="9" fillId="0" borderId="18" xfId="2" applyFont="1" applyFill="1" applyBorder="1" applyAlignment="1">
      <alignment horizontal="center" vertical="center"/>
    </xf>
    <xf numFmtId="165" fontId="9" fillId="0" borderId="20" xfId="5" applyNumberFormat="1" applyFont="1" applyFill="1" applyBorder="1" applyAlignment="1">
      <alignment horizontal="right" vertical="center"/>
    </xf>
    <xf numFmtId="165" fontId="9" fillId="0" borderId="21" xfId="5" applyNumberFormat="1" applyFont="1" applyFill="1" applyBorder="1" applyAlignment="1">
      <alignment horizontal="right" vertical="center"/>
    </xf>
    <xf numFmtId="166" fontId="5" fillId="0" borderId="0" xfId="2" applyNumberFormat="1" applyFont="1" applyFill="1" applyAlignment="1">
      <alignment vertical="center"/>
    </xf>
    <xf numFmtId="0" fontId="14" fillId="0" borderId="19" xfId="2" applyFont="1" applyFill="1" applyBorder="1" applyAlignment="1">
      <alignment horizontal="center" vertical="center"/>
    </xf>
    <xf numFmtId="166" fontId="10" fillId="0" borderId="0" xfId="6" applyFont="1" applyFill="1" applyAlignment="1">
      <alignment vertical="center"/>
    </xf>
    <xf numFmtId="0" fontId="9" fillId="0" borderId="23" xfId="2" applyFont="1" applyFill="1" applyBorder="1" applyAlignment="1">
      <alignment vertical="center"/>
    </xf>
    <xf numFmtId="0" fontId="14" fillId="0" borderId="23" xfId="2" applyFont="1" applyFill="1" applyBorder="1" applyAlignment="1">
      <alignment vertical="center"/>
    </xf>
    <xf numFmtId="0" fontId="15" fillId="0" borderId="24" xfId="2" applyFont="1" applyFill="1" applyBorder="1" applyAlignment="1">
      <alignment horizontal="center" vertical="center"/>
    </xf>
    <xf numFmtId="165" fontId="14" fillId="0" borderId="25" xfId="2" applyNumberFormat="1" applyFont="1" applyFill="1" applyBorder="1" applyAlignment="1">
      <alignment horizontal="right" vertical="center"/>
    </xf>
    <xf numFmtId="165" fontId="14" fillId="0" borderId="26" xfId="2" applyNumberFormat="1" applyFont="1" applyFill="1" applyBorder="1" applyAlignment="1">
      <alignment horizontal="right" vertical="center"/>
    </xf>
    <xf numFmtId="0" fontId="9" fillId="0" borderId="23" xfId="2" applyFont="1" applyFill="1" applyBorder="1" applyAlignment="1">
      <alignment horizontal="center" vertical="center"/>
    </xf>
    <xf numFmtId="0" fontId="9" fillId="0" borderId="24" xfId="2" applyFont="1" applyFill="1" applyBorder="1" applyAlignment="1">
      <alignment horizontal="center" vertical="center"/>
    </xf>
    <xf numFmtId="165" fontId="9" fillId="0" borderId="25" xfId="2" applyNumberFormat="1" applyFont="1" applyFill="1" applyBorder="1" applyAlignment="1">
      <alignment horizontal="right" vertical="center"/>
    </xf>
    <xf numFmtId="4" fontId="10" fillId="0" borderId="0" xfId="2" applyNumberFormat="1" applyFont="1" applyFill="1" applyAlignment="1">
      <alignment horizontal="center" vertical="center"/>
    </xf>
    <xf numFmtId="0" fontId="9" fillId="0" borderId="23" xfId="2" applyFont="1" applyFill="1" applyBorder="1" applyAlignment="1">
      <alignment horizontal="right" vertical="center"/>
    </xf>
    <xf numFmtId="165" fontId="9" fillId="0" borderId="26" xfId="2" applyNumberFormat="1" applyFont="1" applyFill="1" applyBorder="1" applyAlignment="1">
      <alignment horizontal="right" vertical="center"/>
    </xf>
    <xf numFmtId="166" fontId="10" fillId="0" borderId="0" xfId="6" applyFont="1" applyFill="1" applyBorder="1" applyAlignment="1">
      <alignment vertical="center"/>
    </xf>
    <xf numFmtId="166" fontId="5" fillId="0" borderId="0" xfId="6" applyFont="1" applyFill="1" applyBorder="1" applyAlignment="1">
      <alignment vertical="center"/>
    </xf>
    <xf numFmtId="0" fontId="14" fillId="0" borderId="15" xfId="2" applyFont="1" applyFill="1" applyBorder="1" applyAlignment="1">
      <alignment vertical="center"/>
    </xf>
    <xf numFmtId="0" fontId="14" fillId="0" borderId="16" xfId="2" applyFont="1" applyFill="1" applyBorder="1" applyAlignment="1">
      <alignment horizontal="center" vertical="center"/>
    </xf>
    <xf numFmtId="165" fontId="14" fillId="0" borderId="27" xfId="2" applyNumberFormat="1" applyFont="1" applyFill="1" applyBorder="1" applyAlignment="1">
      <alignment horizontal="right" vertical="center"/>
    </xf>
    <xf numFmtId="0" fontId="9" fillId="0" borderId="15" xfId="2" applyFont="1" applyFill="1" applyBorder="1" applyAlignment="1">
      <alignment vertical="center"/>
    </xf>
    <xf numFmtId="165" fontId="9" fillId="0" borderId="27" xfId="2" applyNumberFormat="1" applyFont="1" applyFill="1" applyBorder="1" applyAlignment="1">
      <alignment horizontal="right" vertical="center"/>
    </xf>
    <xf numFmtId="0" fontId="19" fillId="0" borderId="15" xfId="2" applyFont="1" applyFill="1" applyBorder="1" applyAlignment="1">
      <alignment vertical="center"/>
    </xf>
    <xf numFmtId="0" fontId="19" fillId="0" borderId="16" xfId="2" applyFont="1" applyFill="1" applyBorder="1" applyAlignment="1">
      <alignment horizontal="center" vertical="center"/>
    </xf>
    <xf numFmtId="165" fontId="19" fillId="0" borderId="27" xfId="2" applyNumberFormat="1" applyFont="1" applyFill="1" applyBorder="1" applyAlignment="1">
      <alignment horizontal="right" vertical="center"/>
    </xf>
    <xf numFmtId="165" fontId="19" fillId="0" borderId="28" xfId="2" applyNumberFormat="1" applyFont="1" applyFill="1" applyBorder="1" applyAlignment="1">
      <alignment horizontal="right" vertical="center"/>
    </xf>
    <xf numFmtId="0" fontId="20" fillId="0" borderId="0" xfId="2" applyFont="1" applyFill="1" applyAlignment="1">
      <alignment vertical="center"/>
    </xf>
    <xf numFmtId="165" fontId="20" fillId="0" borderId="0" xfId="1" applyNumberFormat="1" applyFont="1" applyFill="1" applyAlignment="1">
      <alignment vertical="center"/>
    </xf>
    <xf numFmtId="0" fontId="16" fillId="0" borderId="16" xfId="2" applyFont="1" applyFill="1" applyBorder="1" applyAlignment="1">
      <alignment horizontal="center" vertical="center"/>
    </xf>
    <xf numFmtId="165" fontId="9" fillId="0" borderId="28" xfId="2" applyNumberFormat="1" applyFont="1" applyFill="1" applyBorder="1" applyAlignment="1">
      <alignment horizontal="right" vertical="center"/>
    </xf>
    <xf numFmtId="0" fontId="14" fillId="0" borderId="20" xfId="2" applyFont="1" applyFill="1" applyBorder="1" applyAlignment="1">
      <alignment vertical="center"/>
    </xf>
    <xf numFmtId="0" fontId="21" fillId="0" borderId="20" xfId="2" applyFont="1" applyFill="1" applyBorder="1" applyAlignment="1">
      <alignment vertical="center"/>
    </xf>
    <xf numFmtId="0" fontId="21" fillId="0" borderId="18" xfId="2" applyFont="1" applyFill="1" applyBorder="1" applyAlignment="1">
      <alignment vertical="center"/>
    </xf>
    <xf numFmtId="0" fontId="21" fillId="0" borderId="18" xfId="2" applyFont="1" applyFill="1" applyBorder="1" applyAlignment="1">
      <alignment horizontal="center" vertical="center"/>
    </xf>
    <xf numFmtId="0" fontId="22" fillId="0" borderId="19" xfId="2" applyFont="1" applyFill="1" applyBorder="1" applyAlignment="1">
      <alignment horizontal="center" vertical="center"/>
    </xf>
    <xf numFmtId="165" fontId="21" fillId="0" borderId="20" xfId="2" applyNumberFormat="1" applyFont="1" applyFill="1" applyBorder="1" applyAlignment="1">
      <alignment horizontal="right" vertical="center"/>
    </xf>
    <xf numFmtId="165" fontId="21" fillId="0" borderId="21" xfId="2" applyNumberFormat="1" applyFont="1" applyFill="1" applyBorder="1" applyAlignment="1">
      <alignment horizontal="right" vertical="center"/>
    </xf>
    <xf numFmtId="4" fontId="23" fillId="0" borderId="0" xfId="2" applyNumberFormat="1" applyFont="1" applyFill="1" applyAlignment="1">
      <alignment vertical="center"/>
    </xf>
    <xf numFmtId="0" fontId="23" fillId="0" borderId="0" xfId="2" applyFont="1" applyFill="1" applyAlignment="1">
      <alignment vertical="center"/>
    </xf>
    <xf numFmtId="165" fontId="23" fillId="0" borderId="0" xfId="1" applyNumberFormat="1" applyFont="1" applyFill="1" applyAlignment="1">
      <alignment vertical="center"/>
    </xf>
    <xf numFmtId="0" fontId="9" fillId="0" borderId="20" xfId="2" applyFont="1" applyFill="1" applyBorder="1" applyAlignment="1">
      <alignment vertical="center"/>
    </xf>
    <xf numFmtId="0" fontId="9" fillId="0" borderId="14" xfId="2" applyFont="1" applyFill="1" applyBorder="1" applyAlignment="1">
      <alignment horizontal="left" vertical="center"/>
    </xf>
    <xf numFmtId="165" fontId="10" fillId="0" borderId="0" xfId="2" applyNumberFormat="1" applyFont="1" applyFill="1" applyAlignment="1">
      <alignment vertical="center"/>
    </xf>
    <xf numFmtId="0" fontId="15" fillId="0" borderId="16" xfId="2" applyFont="1" applyFill="1" applyBorder="1" applyAlignment="1">
      <alignment horizontal="center" vertical="center"/>
    </xf>
    <xf numFmtId="165" fontId="9" fillId="0" borderId="27" xfId="5" applyNumberFormat="1" applyFont="1" applyFill="1" applyBorder="1" applyAlignment="1">
      <alignment horizontal="right" vertical="center"/>
    </xf>
    <xf numFmtId="165" fontId="9" fillId="0" borderId="28" xfId="5" applyNumberFormat="1" applyFont="1" applyFill="1" applyBorder="1" applyAlignment="1">
      <alignment horizontal="right" vertical="center"/>
    </xf>
    <xf numFmtId="0" fontId="24" fillId="0" borderId="16" xfId="2" applyFont="1" applyFill="1" applyBorder="1" applyAlignment="1">
      <alignment horizontal="center" vertical="center"/>
    </xf>
    <xf numFmtId="165" fontId="19" fillId="0" borderId="27" xfId="5" applyNumberFormat="1" applyFont="1" applyFill="1" applyBorder="1" applyAlignment="1">
      <alignment horizontal="right" vertical="center"/>
    </xf>
    <xf numFmtId="165" fontId="19" fillId="0" borderId="28" xfId="5" applyNumberFormat="1" applyFont="1" applyFill="1" applyBorder="1" applyAlignment="1">
      <alignment horizontal="right" vertical="center"/>
    </xf>
    <xf numFmtId="4" fontId="20" fillId="0" borderId="0" xfId="2" applyNumberFormat="1" applyFont="1" applyFill="1" applyAlignment="1">
      <alignment vertical="center"/>
    </xf>
    <xf numFmtId="165" fontId="9" fillId="0" borderId="27" xfId="6" applyNumberFormat="1" applyFont="1" applyFill="1" applyBorder="1" applyAlignment="1">
      <alignment horizontal="right" vertical="center"/>
    </xf>
    <xf numFmtId="165" fontId="9" fillId="0" borderId="21" xfId="6" applyNumberFormat="1" applyFont="1" applyFill="1" applyBorder="1" applyAlignment="1">
      <alignment horizontal="right" vertical="center"/>
    </xf>
    <xf numFmtId="167" fontId="10" fillId="0" borderId="0" xfId="7" applyNumberFormat="1" applyFont="1" applyFill="1" applyAlignment="1">
      <alignment vertical="center"/>
    </xf>
    <xf numFmtId="165" fontId="14" fillId="0" borderId="27" xfId="6" applyNumberFormat="1" applyFont="1" applyFill="1" applyBorder="1" applyAlignment="1">
      <alignment horizontal="right" vertical="center"/>
    </xf>
    <xf numFmtId="165" fontId="14" fillId="0" borderId="28" xfId="6" applyNumberFormat="1" applyFont="1" applyFill="1" applyBorder="1" applyAlignment="1">
      <alignment horizontal="right" vertical="center"/>
    </xf>
    <xf numFmtId="21" fontId="9" fillId="0" borderId="19" xfId="2" applyNumberFormat="1" applyFont="1" applyFill="1" applyBorder="1" applyAlignment="1">
      <alignment horizontal="center" vertical="center"/>
    </xf>
    <xf numFmtId="2" fontId="10" fillId="0" borderId="0" xfId="5" applyNumberFormat="1" applyFont="1" applyFill="1" applyBorder="1" applyAlignment="1">
      <alignment vertical="center"/>
    </xf>
    <xf numFmtId="2" fontId="5" fillId="0" borderId="0" xfId="5" applyNumberFormat="1" applyFont="1" applyFill="1" applyBorder="1" applyAlignment="1">
      <alignment vertical="center"/>
    </xf>
    <xf numFmtId="0" fontId="9" fillId="0" borderId="15" xfId="2" applyFont="1" applyFill="1" applyBorder="1" applyAlignment="1">
      <alignment horizontal="right" vertical="center"/>
    </xf>
    <xf numFmtId="165" fontId="16" fillId="0" borderId="20" xfId="2" applyNumberFormat="1" applyFont="1" applyFill="1" applyBorder="1" applyAlignment="1">
      <alignment horizontal="right" vertical="center"/>
    </xf>
    <xf numFmtId="165" fontId="16" fillId="0" borderId="21" xfId="2" applyNumberFormat="1" applyFont="1" applyFill="1" applyBorder="1" applyAlignment="1">
      <alignment horizontal="right" vertical="center"/>
    </xf>
    <xf numFmtId="165" fontId="15" fillId="0" borderId="20" xfId="2" applyNumberFormat="1" applyFont="1" applyFill="1" applyBorder="1" applyAlignment="1">
      <alignment horizontal="right" vertical="center"/>
    </xf>
    <xf numFmtId="165" fontId="15" fillId="0" borderId="21" xfId="2" applyNumberFormat="1" applyFont="1" applyFill="1" applyBorder="1" applyAlignment="1">
      <alignment horizontal="right" vertical="center"/>
    </xf>
    <xf numFmtId="165" fontId="15" fillId="0" borderId="20" xfId="6" applyNumberFormat="1" applyFont="1" applyFill="1" applyBorder="1" applyAlignment="1">
      <alignment horizontal="right" vertical="center"/>
    </xf>
    <xf numFmtId="165" fontId="15" fillId="0" borderId="21" xfId="6" applyNumberFormat="1" applyFont="1" applyFill="1" applyBorder="1" applyAlignment="1">
      <alignment horizontal="right" vertical="center"/>
    </xf>
    <xf numFmtId="164" fontId="5" fillId="0" borderId="0" xfId="2" applyNumberFormat="1" applyFont="1" applyFill="1" applyAlignment="1">
      <alignment vertical="center"/>
    </xf>
    <xf numFmtId="0" fontId="14" fillId="0" borderId="0" xfId="2" applyFont="1" applyFill="1" applyAlignment="1">
      <alignment vertical="center"/>
    </xf>
    <xf numFmtId="165" fontId="14" fillId="0" borderId="20" xfId="6" applyNumberFormat="1" applyFont="1" applyFill="1" applyBorder="1" applyAlignment="1">
      <alignment horizontal="right" vertical="center"/>
    </xf>
    <xf numFmtId="165" fontId="14" fillId="0" borderId="21" xfId="6" applyNumberFormat="1" applyFont="1" applyFill="1" applyBorder="1" applyAlignment="1">
      <alignment horizontal="right" vertical="center"/>
    </xf>
    <xf numFmtId="165" fontId="9" fillId="0" borderId="20" xfId="6" applyNumberFormat="1" applyFont="1" applyFill="1" applyBorder="1" applyAlignment="1">
      <alignment horizontal="right" vertical="center"/>
    </xf>
    <xf numFmtId="0" fontId="9" fillId="0" borderId="18" xfId="2" applyFont="1" applyFill="1" applyBorder="1" applyAlignment="1">
      <alignment horizontal="left" vertical="center" wrapText="1"/>
    </xf>
    <xf numFmtId="21" fontId="16" fillId="0" borderId="19" xfId="2" quotePrefix="1" applyNumberFormat="1" applyFont="1" applyFill="1" applyBorder="1" applyAlignment="1">
      <alignment horizontal="center" vertical="center"/>
    </xf>
    <xf numFmtId="21" fontId="15" fillId="0" borderId="19" xfId="2" applyNumberFormat="1" applyFont="1" applyFill="1" applyBorder="1" applyAlignment="1">
      <alignment horizontal="center" vertical="center"/>
    </xf>
    <xf numFmtId="2" fontId="5" fillId="0" borderId="0" xfId="2" applyNumberFormat="1" applyFont="1" applyFill="1" applyAlignment="1">
      <alignment vertical="center"/>
    </xf>
    <xf numFmtId="21" fontId="16" fillId="0" borderId="19" xfId="2" applyNumberFormat="1" applyFont="1" applyFill="1" applyBorder="1" applyAlignment="1">
      <alignment horizontal="center" vertical="center"/>
    </xf>
    <xf numFmtId="0" fontId="14" fillId="0" borderId="18" xfId="2" applyFont="1" applyFill="1" applyBorder="1" applyAlignment="1">
      <alignment horizontal="center" vertical="center"/>
    </xf>
    <xf numFmtId="165" fontId="14" fillId="0" borderId="19" xfId="2" applyNumberFormat="1" applyFont="1" applyFill="1" applyBorder="1" applyAlignment="1">
      <alignment horizontal="right" vertical="center"/>
    </xf>
    <xf numFmtId="0" fontId="9" fillId="0" borderId="29" xfId="2" applyFont="1" applyFill="1" applyBorder="1" applyAlignment="1">
      <alignment vertical="center"/>
    </xf>
    <xf numFmtId="0" fontId="9" fillId="0" borderId="29" xfId="2" applyFont="1" applyFill="1" applyBorder="1" applyAlignment="1">
      <alignment horizontal="center" vertical="center"/>
    </xf>
    <xf numFmtId="0" fontId="9" fillId="0" borderId="30" xfId="2" applyFont="1" applyFill="1" applyBorder="1" applyAlignment="1">
      <alignment horizontal="center" vertical="center"/>
    </xf>
    <xf numFmtId="165" fontId="9" fillId="0" borderId="30" xfId="2" applyNumberFormat="1" applyFont="1" applyFill="1" applyBorder="1" applyAlignment="1">
      <alignment horizontal="right" vertical="center"/>
    </xf>
    <xf numFmtId="165" fontId="9" fillId="0" borderId="31" xfId="2" applyNumberFormat="1" applyFont="1" applyFill="1" applyBorder="1" applyAlignment="1">
      <alignment horizontal="right" vertical="center"/>
    </xf>
    <xf numFmtId="0" fontId="27" fillId="0" borderId="32" xfId="8" applyFont="1" applyBorder="1" applyAlignment="1">
      <alignment vertical="center"/>
    </xf>
    <xf numFmtId="0" fontId="28" fillId="0" borderId="0" xfId="2" applyFont="1" applyAlignment="1">
      <alignment vertical="center"/>
    </xf>
    <xf numFmtId="168" fontId="29" fillId="0" borderId="0" xfId="2" applyNumberFormat="1" applyFont="1" applyAlignment="1">
      <alignment horizontal="right" vertical="center"/>
    </xf>
    <xf numFmtId="166" fontId="29" fillId="0" borderId="0" xfId="2" applyNumberFormat="1" applyFont="1" applyAlignment="1">
      <alignment horizontal="right" vertical="center"/>
    </xf>
    <xf numFmtId="0" fontId="29" fillId="0" borderId="0" xfId="2" applyFont="1" applyAlignment="1">
      <alignment vertical="center"/>
    </xf>
    <xf numFmtId="166" fontId="8" fillId="0" borderId="0" xfId="2" applyNumberFormat="1" applyFont="1" applyAlignment="1">
      <alignment vertical="center"/>
    </xf>
    <xf numFmtId="0" fontId="27" fillId="0" borderId="0" xfId="8" applyFont="1" applyAlignment="1">
      <alignment vertical="center"/>
    </xf>
    <xf numFmtId="164" fontId="27" fillId="0" borderId="0" xfId="9" applyFont="1" applyBorder="1" applyAlignment="1">
      <alignment horizontal="right" vertical="center"/>
    </xf>
    <xf numFmtId="4" fontId="27" fillId="0" borderId="0" xfId="8" applyNumberFormat="1" applyFont="1" applyAlignment="1">
      <alignment horizontal="right" vertical="center"/>
    </xf>
    <xf numFmtId="4" fontId="27" fillId="0" borderId="0" xfId="8" applyNumberFormat="1" applyFont="1" applyAlignment="1">
      <alignment vertical="center"/>
    </xf>
    <xf numFmtId="4" fontId="30" fillId="0" borderId="0" xfId="8" applyNumberFormat="1" applyFont="1" applyAlignment="1">
      <alignment horizontal="right" vertical="center"/>
    </xf>
    <xf numFmtId="0" fontId="29" fillId="0" borderId="0" xfId="2" applyFont="1" applyAlignment="1">
      <alignment horizontal="right" vertical="center"/>
    </xf>
    <xf numFmtId="165" fontId="8" fillId="0" borderId="0" xfId="2" applyNumberFormat="1" applyFont="1" applyAlignment="1">
      <alignment horizontal="right" vertical="center"/>
    </xf>
    <xf numFmtId="0" fontId="8" fillId="0" borderId="0" xfId="2" applyFont="1" applyAlignment="1">
      <alignment horizontal="right" vertical="center"/>
    </xf>
    <xf numFmtId="166" fontId="4" fillId="0" borderId="0" xfId="6" applyFont="1" applyAlignment="1">
      <alignment horizontal="center" vertical="center"/>
    </xf>
    <xf numFmtId="166" fontId="10" fillId="0" borderId="0" xfId="6" applyFont="1" applyAlignment="1">
      <alignment horizontal="center" vertical="center"/>
    </xf>
    <xf numFmtId="4" fontId="4" fillId="0" borderId="0" xfId="2" applyNumberFormat="1" applyFont="1" applyAlignment="1">
      <alignment horizontal="center" vertical="center"/>
    </xf>
    <xf numFmtId="0" fontId="31" fillId="0" borderId="0" xfId="2" applyFont="1" applyAlignment="1">
      <alignment horizontal="center" vertical="center"/>
    </xf>
    <xf numFmtId="4" fontId="34" fillId="0" borderId="0" xfId="2" applyNumberFormat="1" applyFont="1" applyAlignment="1">
      <alignment vertical="center"/>
    </xf>
    <xf numFmtId="41" fontId="1" fillId="0" borderId="0" xfId="7" applyFont="1" applyAlignment="1">
      <alignment horizontal="right" vertical="center"/>
    </xf>
    <xf numFmtId="4" fontId="35" fillId="0" borderId="0" xfId="2" applyNumberFormat="1" applyFont="1" applyAlignment="1">
      <alignment vertical="center"/>
    </xf>
    <xf numFmtId="4" fontId="36" fillId="0" borderId="0" xfId="2" applyNumberFormat="1" applyFont="1" applyAlignment="1">
      <alignment vertical="center"/>
    </xf>
    <xf numFmtId="164" fontId="34" fillId="0" borderId="0" xfId="3" applyFont="1" applyBorder="1" applyAlignment="1">
      <alignment vertical="center"/>
    </xf>
    <xf numFmtId="165" fontId="1" fillId="0" borderId="0" xfId="4" applyNumberFormat="1" applyFont="1" applyAlignment="1">
      <alignment vertical="center"/>
    </xf>
    <xf numFmtId="165" fontId="5" fillId="0" borderId="0" xfId="4" applyNumberFormat="1" applyFont="1" applyAlignment="1">
      <alignment vertical="center"/>
    </xf>
    <xf numFmtId="165" fontId="8" fillId="0" borderId="0" xfId="4" applyNumberFormat="1" applyFont="1" applyAlignment="1">
      <alignment vertical="center"/>
    </xf>
    <xf numFmtId="165" fontId="10" fillId="0" borderId="0" xfId="4" applyNumberFormat="1" applyFont="1" applyAlignment="1">
      <alignment horizontal="center" vertical="center"/>
    </xf>
    <xf numFmtId="165" fontId="12" fillId="0" borderId="0" xfId="4" applyNumberFormat="1" applyFont="1" applyFill="1" applyAlignment="1">
      <alignment horizontal="center" vertical="center"/>
    </xf>
    <xf numFmtId="165" fontId="10" fillId="0" borderId="0" xfId="4" applyNumberFormat="1" applyFont="1" applyFill="1" applyAlignment="1">
      <alignment horizontal="center" vertical="center"/>
    </xf>
    <xf numFmtId="165" fontId="10" fillId="0" borderId="0" xfId="4" applyNumberFormat="1" applyFont="1" applyFill="1" applyAlignment="1">
      <alignment vertical="center"/>
    </xf>
    <xf numFmtId="165" fontId="20" fillId="0" borderId="0" xfId="4" applyNumberFormat="1" applyFont="1" applyFill="1" applyAlignment="1">
      <alignment vertical="center"/>
    </xf>
    <xf numFmtId="165" fontId="23" fillId="0" borderId="0" xfId="4" applyNumberFormat="1" applyFont="1" applyFill="1" applyAlignment="1">
      <alignment vertical="center"/>
    </xf>
    <xf numFmtId="0" fontId="11" fillId="0" borderId="9" xfId="2" applyFont="1" applyFill="1" applyBorder="1" applyAlignment="1">
      <alignment horizontal="center" vertical="center"/>
    </xf>
    <xf numFmtId="0" fontId="11" fillId="0" borderId="10" xfId="2" applyFont="1" applyFill="1" applyBorder="1" applyAlignment="1">
      <alignment horizontal="center" vertical="center"/>
    </xf>
    <xf numFmtId="0" fontId="11" fillId="0" borderId="11" xfId="2" applyFont="1" applyFill="1" applyBorder="1" applyAlignment="1">
      <alignment horizontal="center" vertical="center"/>
    </xf>
    <xf numFmtId="0" fontId="4" fillId="0" borderId="0" xfId="2" applyFont="1" applyAlignment="1">
      <alignment horizontal="center" vertical="center"/>
    </xf>
    <xf numFmtId="0" fontId="32" fillId="0" borderId="0" xfId="2" applyFont="1" applyAlignment="1">
      <alignment horizontal="center" vertical="center"/>
    </xf>
    <xf numFmtId="0" fontId="33" fillId="0" borderId="0" xfId="2" applyFont="1" applyAlignment="1">
      <alignment horizontal="center" vertical="center"/>
    </xf>
    <xf numFmtId="0" fontId="1" fillId="0" borderId="0" xfId="2" applyAlignment="1">
      <alignment horizontal="center" vertical="center"/>
    </xf>
    <xf numFmtId="0" fontId="3" fillId="0" borderId="0" xfId="2" applyFont="1" applyAlignment="1">
      <alignment horizontal="center" vertical="center"/>
    </xf>
    <xf numFmtId="0" fontId="6" fillId="0" borderId="0" xfId="2" applyFont="1" applyAlignment="1">
      <alignment horizontal="center" vertical="center"/>
    </xf>
    <xf numFmtId="0" fontId="9" fillId="2" borderId="2" xfId="2" applyFont="1" applyFill="1" applyBorder="1" applyAlignment="1">
      <alignment horizontal="center" vertical="center"/>
    </xf>
    <xf numFmtId="0" fontId="9" fillId="2" borderId="3" xfId="2" applyFont="1" applyFill="1" applyBorder="1" applyAlignment="1">
      <alignment horizontal="center" vertical="center"/>
    </xf>
    <xf numFmtId="0" fontId="9" fillId="2" borderId="4" xfId="2" applyFont="1" applyFill="1" applyBorder="1" applyAlignment="1">
      <alignment horizontal="center" vertical="center"/>
    </xf>
  </cellXfs>
  <cellStyles count="10">
    <cellStyle name="Comma [0]" xfId="1" builtinId="6"/>
    <cellStyle name="Comma [0] 2" xfId="9" xr:uid="{00000000-0005-0000-0000-000001000000}"/>
    <cellStyle name="Comma [0] 3" xfId="7" xr:uid="{00000000-0005-0000-0000-000002000000}"/>
    <cellStyle name="Comma [0] 4" xfId="4" xr:uid="{00000000-0005-0000-0000-000003000000}"/>
    <cellStyle name="Comma [0] 4 2 2" xfId="5" xr:uid="{00000000-0005-0000-0000-000004000000}"/>
    <cellStyle name="Comma [0] 5 3" xfId="3" xr:uid="{00000000-0005-0000-0000-000005000000}"/>
    <cellStyle name="Comma 4 5 2" xfId="6" xr:uid="{00000000-0005-0000-0000-000006000000}"/>
    <cellStyle name="Normal" xfId="0" builtinId="0"/>
    <cellStyle name="Normal 2 2 2" xfId="8" xr:uid="{00000000-0005-0000-0000-000008000000}"/>
    <cellStyle name="Normal 3 2 15 2" xfId="2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5372100</xdr:colOff>
      <xdr:row>0</xdr:row>
      <xdr:rowOff>171450</xdr:rowOff>
    </xdr:from>
    <xdr:to>
      <xdr:col>6</xdr:col>
      <xdr:colOff>971550</xdr:colOff>
      <xdr:row>6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171450"/>
          <a:ext cx="1609725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5372100</xdr:colOff>
      <xdr:row>0</xdr:row>
      <xdr:rowOff>171450</xdr:rowOff>
    </xdr:from>
    <xdr:to>
      <xdr:col>6</xdr:col>
      <xdr:colOff>971550</xdr:colOff>
      <xdr:row>6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171450"/>
          <a:ext cx="1609725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%20LAPORAN%20KEUANGAN/LAPORAN%20KEUANGAN%20TAHUN%202021/2021/38.%20KK%20LK%202021%20SKPD_BAPENDA%2011.2_REVIEWED_PERSEDIAAN_OKOK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swin\Desktop\LAPKEU%202019%20AUDITED%20FIX\Lapkeu%20audited\CALK%203.%20NERACA%20TA%202019_AUDITED%20FIX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IATA%202017\PERIA%20IAN%20PERGUB%20LPP%20APBI%20TA%202017\RAPERIA%20.......%20TAHUN%202018\LAPKEU%202017%20AUIITEI%20FIX%20CETAK\CALK%203.%20NERACA%20TA%202017%20AUIITEI%20FIXS%202505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ATA%202017\PERDA%20DAN%20PERGUB%20LPP%20APBD%20TA%202017\RAPERDA%20.......%20TAHUN%202018\LAPKEU%202017%20AUDITED%20FIX%20CETAK\CALK%203.%20NERACA%20TA%202017%20AUDITED%20FIXS%20250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RA"/>
      <sheetName val="ONFACE LRA OBJEK"/>
      <sheetName val="LO KOMPILASI"/>
      <sheetName val="ONFACE LO OBJEK"/>
      <sheetName val="NERACA"/>
      <sheetName val="ONFACE NERACA OBJEK"/>
      <sheetName val="LPE"/>
      <sheetName val="SIM PERSEDIAAN OK"/>
      <sheetName val="SIM PERSEDIAAN"/>
      <sheetName val="Sheet1"/>
      <sheetName val="Kertas Kerja "/>
      <sheetName val="PDD 2020"/>
      <sheetName val="Belanja Dibayar Dimuka"/>
      <sheetName val="Persediaan"/>
      <sheetName val="Aset"/>
      <sheetName val="Penyusutan"/>
      <sheetName val="Piutang Pajak"/>
      <sheetName val="Cadangan Piutang"/>
      <sheetName val="Nota Piutang"/>
      <sheetName val="Matrix"/>
    </sheetNames>
    <sheetDataSet>
      <sheetData sheetId="0"/>
      <sheetData sheetId="1"/>
      <sheetData sheetId="2"/>
      <sheetData sheetId="3"/>
      <sheetData sheetId="4">
        <row r="4">
          <cell r="A4" t="str">
            <v>BADAN PENGELOLA PENDAPATAN DAERAH</v>
          </cell>
        </row>
        <row r="16">
          <cell r="H16">
            <v>0</v>
          </cell>
          <cell r="M16">
            <v>0</v>
          </cell>
        </row>
        <row r="20">
          <cell r="H20">
            <v>0</v>
          </cell>
          <cell r="M20">
            <v>263820803</v>
          </cell>
        </row>
        <row r="24">
          <cell r="H24">
            <v>0</v>
          </cell>
          <cell r="M24">
            <v>0</v>
          </cell>
        </row>
        <row r="28">
          <cell r="H28">
            <v>0</v>
          </cell>
          <cell r="M28">
            <v>0</v>
          </cell>
        </row>
        <row r="32">
          <cell r="H32">
            <v>0</v>
          </cell>
          <cell r="M32">
            <v>0</v>
          </cell>
        </row>
        <row r="46">
          <cell r="H46">
            <v>0</v>
          </cell>
          <cell r="M46">
            <v>0</v>
          </cell>
        </row>
        <row r="50">
          <cell r="H50">
            <v>0</v>
          </cell>
          <cell r="M50">
            <v>0</v>
          </cell>
        </row>
        <row r="54">
          <cell r="H54">
            <v>0</v>
          </cell>
          <cell r="M54">
            <v>0</v>
          </cell>
        </row>
        <row r="59">
          <cell r="H59">
            <v>0</v>
          </cell>
          <cell r="M59">
            <v>0</v>
          </cell>
        </row>
        <row r="63">
          <cell r="H63">
            <v>0</v>
          </cell>
          <cell r="M63">
            <v>0</v>
          </cell>
        </row>
        <row r="67">
          <cell r="H67">
            <v>0</v>
          </cell>
          <cell r="M67">
            <v>0</v>
          </cell>
        </row>
        <row r="71">
          <cell r="H71">
            <v>0</v>
          </cell>
          <cell r="M71">
            <v>0</v>
          </cell>
        </row>
        <row r="75">
          <cell r="H75">
            <v>0</v>
          </cell>
          <cell r="M75">
            <v>0</v>
          </cell>
        </row>
        <row r="79">
          <cell r="H79">
            <v>0</v>
          </cell>
          <cell r="M79">
            <v>0</v>
          </cell>
        </row>
        <row r="84">
          <cell r="H84">
            <v>2049759279013.3799</v>
          </cell>
          <cell r="M84">
            <v>2117058795119</v>
          </cell>
        </row>
        <row r="156">
          <cell r="H156">
            <v>0</v>
          </cell>
          <cell r="M156">
            <v>0</v>
          </cell>
        </row>
        <row r="186">
          <cell r="H186">
            <v>0</v>
          </cell>
          <cell r="M186">
            <v>0</v>
          </cell>
        </row>
        <row r="196">
          <cell r="H196">
            <v>370026269</v>
          </cell>
          <cell r="M196">
            <v>92780239</v>
          </cell>
        </row>
        <row r="200">
          <cell r="H200">
            <v>0</v>
          </cell>
          <cell r="M200">
            <v>0</v>
          </cell>
        </row>
        <row r="204">
          <cell r="H204">
            <v>0</v>
          </cell>
          <cell r="M204">
            <v>0</v>
          </cell>
        </row>
        <row r="222">
          <cell r="H222">
            <v>0</v>
          </cell>
          <cell r="M222">
            <v>0</v>
          </cell>
        </row>
        <row r="238">
          <cell r="H238">
            <v>0</v>
          </cell>
          <cell r="M238">
            <v>0</v>
          </cell>
        </row>
        <row r="260">
          <cell r="H260">
            <v>0</v>
          </cell>
          <cell r="M260">
            <v>0</v>
          </cell>
        </row>
        <row r="282">
          <cell r="H282">
            <v>0</v>
          </cell>
          <cell r="M282">
            <v>0</v>
          </cell>
        </row>
        <row r="288">
          <cell r="H288">
            <v>0</v>
          </cell>
          <cell r="M288">
            <v>0</v>
          </cell>
        </row>
        <row r="292">
          <cell r="H292">
            <v>0</v>
          </cell>
          <cell r="M292">
            <v>0</v>
          </cell>
        </row>
        <row r="296">
          <cell r="H296">
            <v>0</v>
          </cell>
          <cell r="M296">
            <v>0</v>
          </cell>
        </row>
        <row r="300">
          <cell r="H300">
            <v>0</v>
          </cell>
          <cell r="M300">
            <v>0</v>
          </cell>
        </row>
        <row r="376">
          <cell r="H376">
            <v>0</v>
          </cell>
          <cell r="M376">
            <v>0</v>
          </cell>
        </row>
        <row r="380">
          <cell r="H380">
            <v>0</v>
          </cell>
          <cell r="M380">
            <v>0</v>
          </cell>
        </row>
        <row r="387">
          <cell r="H387">
            <v>0</v>
          </cell>
          <cell r="M387">
            <v>0</v>
          </cell>
        </row>
        <row r="434">
          <cell r="H434">
            <v>0</v>
          </cell>
          <cell r="M434">
            <v>0</v>
          </cell>
        </row>
        <row r="472">
          <cell r="H472">
            <v>0</v>
          </cell>
          <cell r="M472">
            <v>0</v>
          </cell>
        </row>
        <row r="490">
          <cell r="H490">
            <v>0</v>
          </cell>
          <cell r="M490">
            <v>0</v>
          </cell>
        </row>
        <row r="494">
          <cell r="H494">
            <v>0</v>
          </cell>
          <cell r="M494">
            <v>0</v>
          </cell>
        </row>
        <row r="506">
          <cell r="H506">
            <v>0</v>
          </cell>
          <cell r="M506">
            <v>0</v>
          </cell>
        </row>
        <row r="511">
          <cell r="H511">
            <v>0</v>
          </cell>
          <cell r="M511">
            <v>0</v>
          </cell>
        </row>
        <row r="555">
          <cell r="H555">
            <v>0</v>
          </cell>
          <cell r="M555">
            <v>0</v>
          </cell>
        </row>
        <row r="599">
          <cell r="H599">
            <v>0</v>
          </cell>
          <cell r="M599">
            <v>0</v>
          </cell>
        </row>
        <row r="611">
          <cell r="H611">
            <v>0</v>
          </cell>
          <cell r="M611">
            <v>0</v>
          </cell>
        </row>
        <row r="615">
          <cell r="H615">
            <v>0</v>
          </cell>
          <cell r="M615">
            <v>0</v>
          </cell>
        </row>
        <row r="629">
          <cell r="H629">
            <v>0</v>
          </cell>
          <cell r="M629">
            <v>0</v>
          </cell>
        </row>
        <row r="633">
          <cell r="H633">
            <v>0</v>
          </cell>
          <cell r="M633">
            <v>0</v>
          </cell>
        </row>
        <row r="637">
          <cell r="H637">
            <v>0</v>
          </cell>
          <cell r="M637">
            <v>0</v>
          </cell>
        </row>
        <row r="643">
          <cell r="H643">
            <v>0</v>
          </cell>
          <cell r="M643">
            <v>0</v>
          </cell>
        </row>
        <row r="647">
          <cell r="H647">
            <v>0</v>
          </cell>
          <cell r="M647">
            <v>0</v>
          </cell>
        </row>
        <row r="651">
          <cell r="H651">
            <v>0</v>
          </cell>
          <cell r="M651">
            <v>0</v>
          </cell>
        </row>
        <row r="655">
          <cell r="H655">
            <v>0</v>
          </cell>
          <cell r="M655">
            <v>0</v>
          </cell>
        </row>
        <row r="787">
          <cell r="H787">
            <v>0</v>
          </cell>
          <cell r="M787">
            <v>0</v>
          </cell>
        </row>
        <row r="822">
          <cell r="H822">
            <v>0</v>
          </cell>
          <cell r="M822">
            <v>0</v>
          </cell>
        </row>
        <row r="826">
          <cell r="H826">
            <v>0</v>
          </cell>
          <cell r="M826">
            <v>0</v>
          </cell>
        </row>
        <row r="842">
          <cell r="H842">
            <v>0</v>
          </cell>
          <cell r="M842">
            <v>0</v>
          </cell>
        </row>
        <row r="846">
          <cell r="H846">
            <v>0</v>
          </cell>
          <cell r="M846">
            <v>0</v>
          </cell>
        </row>
        <row r="852">
          <cell r="H852">
            <v>0</v>
          </cell>
          <cell r="M852">
            <v>0</v>
          </cell>
        </row>
        <row r="856">
          <cell r="H856">
            <v>0</v>
          </cell>
          <cell r="M856">
            <v>0</v>
          </cell>
        </row>
        <row r="860">
          <cell r="H860">
            <v>0</v>
          </cell>
          <cell r="M860">
            <v>0</v>
          </cell>
        </row>
        <row r="864">
          <cell r="H864">
            <v>0</v>
          </cell>
          <cell r="M864">
            <v>0</v>
          </cell>
        </row>
        <row r="868">
          <cell r="H868">
            <v>0</v>
          </cell>
          <cell r="M868">
            <v>0</v>
          </cell>
        </row>
        <row r="883">
          <cell r="H883">
            <v>0</v>
          </cell>
          <cell r="M883">
            <v>0</v>
          </cell>
        </row>
        <row r="975">
          <cell r="H975">
            <v>0</v>
          </cell>
          <cell r="M975">
            <v>0</v>
          </cell>
        </row>
        <row r="979">
          <cell r="H979">
            <v>0</v>
          </cell>
          <cell r="M979">
            <v>0</v>
          </cell>
        </row>
        <row r="991">
          <cell r="H991">
            <v>0</v>
          </cell>
          <cell r="M991">
            <v>0</v>
          </cell>
        </row>
        <row r="995">
          <cell r="H995">
            <v>0</v>
          </cell>
          <cell r="M995">
            <v>0</v>
          </cell>
        </row>
        <row r="1000">
          <cell r="H1000">
            <v>0</v>
          </cell>
          <cell r="M1000">
            <v>0</v>
          </cell>
        </row>
        <row r="1008">
          <cell r="H1008">
            <v>0</v>
          </cell>
          <cell r="M1008">
            <v>0</v>
          </cell>
        </row>
        <row r="1019">
          <cell r="H1019">
            <v>0</v>
          </cell>
          <cell r="M1019">
            <v>0</v>
          </cell>
        </row>
        <row r="1035">
          <cell r="H1035">
            <v>0</v>
          </cell>
          <cell r="M1035">
            <v>0</v>
          </cell>
        </row>
        <row r="1051">
          <cell r="H1051">
            <v>0</v>
          </cell>
          <cell r="M1051">
            <v>0</v>
          </cell>
        </row>
        <row r="1057">
          <cell r="H1057">
            <v>0</v>
          </cell>
          <cell r="M1057">
            <v>0</v>
          </cell>
        </row>
        <row r="1063">
          <cell r="H1063">
            <v>0</v>
          </cell>
          <cell r="M1063">
            <v>0</v>
          </cell>
        </row>
        <row r="1068">
          <cell r="H1068">
            <v>-388631417415.02997</v>
          </cell>
          <cell r="M1068">
            <v>-610223862766.44995</v>
          </cell>
        </row>
        <row r="1193">
          <cell r="H1193">
            <v>0</v>
          </cell>
          <cell r="M1193">
            <v>0</v>
          </cell>
        </row>
        <row r="1212">
          <cell r="H1212">
            <v>610143573.86000001</v>
          </cell>
          <cell r="M1212">
            <v>611067805.13999999</v>
          </cell>
        </row>
        <row r="1217">
          <cell r="H1217">
            <v>4578495604</v>
          </cell>
          <cell r="M1217">
            <v>3906899791.8999996</v>
          </cell>
        </row>
        <row r="1357">
          <cell r="H1357">
            <v>0</v>
          </cell>
          <cell r="M1357">
            <v>0</v>
          </cell>
        </row>
        <row r="1387">
          <cell r="H1387">
            <v>0</v>
          </cell>
          <cell r="M1387">
            <v>0</v>
          </cell>
        </row>
        <row r="1404">
          <cell r="H1404">
            <v>0</v>
          </cell>
          <cell r="M1404">
            <v>0</v>
          </cell>
        </row>
        <row r="1408">
          <cell r="H1408">
            <v>0</v>
          </cell>
          <cell r="M1408">
            <v>0</v>
          </cell>
        </row>
        <row r="1412">
          <cell r="H1412">
            <v>0</v>
          </cell>
          <cell r="M1412">
            <v>0</v>
          </cell>
        </row>
        <row r="1416">
          <cell r="H1416">
            <v>0</v>
          </cell>
          <cell r="M1416">
            <v>0</v>
          </cell>
        </row>
        <row r="1422">
          <cell r="H1422">
            <v>0</v>
          </cell>
          <cell r="M1422">
            <v>0</v>
          </cell>
        </row>
        <row r="1431">
          <cell r="H1431">
            <v>0</v>
          </cell>
          <cell r="M1431">
            <v>0</v>
          </cell>
        </row>
        <row r="1437">
          <cell r="H1437">
            <v>0</v>
          </cell>
          <cell r="M1437">
            <v>0</v>
          </cell>
        </row>
        <row r="1454">
          <cell r="H1454">
            <v>108850722582</v>
          </cell>
          <cell r="M1454">
            <v>108850722582</v>
          </cell>
        </row>
        <row r="1495">
          <cell r="H1495">
            <v>16969681260</v>
          </cell>
          <cell r="M1495">
            <v>16331627517</v>
          </cell>
        </row>
        <row r="1534">
          <cell r="H1534">
            <v>35254848366</v>
          </cell>
          <cell r="M1534">
            <v>37512474616</v>
          </cell>
        </row>
        <row r="1565">
          <cell r="H1565">
            <v>133850000</v>
          </cell>
          <cell r="M1565">
            <v>474850000</v>
          </cell>
        </row>
        <row r="1614">
          <cell r="H1614">
            <v>0</v>
          </cell>
          <cell r="M1614">
            <v>0</v>
          </cell>
        </row>
        <row r="1627">
          <cell r="H1627">
            <v>64538031236</v>
          </cell>
          <cell r="M1627">
            <v>63295146178</v>
          </cell>
        </row>
        <row r="1651">
          <cell r="H1651">
            <v>6236405458</v>
          </cell>
          <cell r="M1651">
            <v>6118148739</v>
          </cell>
        </row>
        <row r="1729">
          <cell r="H1729">
            <v>150065000</v>
          </cell>
          <cell r="M1729">
            <v>150065000</v>
          </cell>
        </row>
        <row r="1767">
          <cell r="H1767">
            <v>91250000</v>
          </cell>
          <cell r="M1767">
            <v>23750000</v>
          </cell>
        </row>
        <row r="1917">
          <cell r="H1917">
            <v>0</v>
          </cell>
          <cell r="M1917">
            <v>0</v>
          </cell>
        </row>
        <row r="1950">
          <cell r="H1950">
            <v>52153017801</v>
          </cell>
          <cell r="M1950">
            <v>51370114852</v>
          </cell>
        </row>
        <row r="1962">
          <cell r="H1962">
            <v>0</v>
          </cell>
          <cell r="M1962">
            <v>0</v>
          </cell>
        </row>
        <row r="1973">
          <cell r="H1973">
            <v>0</v>
          </cell>
          <cell r="M1973">
            <v>0</v>
          </cell>
        </row>
        <row r="1985">
          <cell r="H1985">
            <v>78373200</v>
          </cell>
          <cell r="M1985">
            <v>78373200</v>
          </cell>
        </row>
        <row r="2000">
          <cell r="H2000">
            <v>0</v>
          </cell>
          <cell r="M2000">
            <v>0</v>
          </cell>
        </row>
        <row r="2010">
          <cell r="H2010">
            <v>0</v>
          </cell>
          <cell r="M2010">
            <v>0</v>
          </cell>
        </row>
        <row r="2036">
          <cell r="H2036">
            <v>0</v>
          </cell>
          <cell r="M2036">
            <v>0</v>
          </cell>
        </row>
        <row r="2042">
          <cell r="H2042">
            <v>0</v>
          </cell>
          <cell r="M2042">
            <v>0</v>
          </cell>
        </row>
        <row r="2071">
          <cell r="H2071">
            <v>0</v>
          </cell>
          <cell r="M2071">
            <v>0</v>
          </cell>
        </row>
        <row r="2088">
          <cell r="H2088">
            <v>694752000</v>
          </cell>
          <cell r="M2088">
            <v>694752000</v>
          </cell>
        </row>
        <row r="2098">
          <cell r="H2098">
            <v>240129715167</v>
          </cell>
          <cell r="M2098">
            <v>239380152167</v>
          </cell>
        </row>
        <row r="2152">
          <cell r="H2152">
            <v>0</v>
          </cell>
          <cell r="M2152">
            <v>0</v>
          </cell>
        </row>
        <row r="2159">
          <cell r="H2159">
            <v>34500000</v>
          </cell>
          <cell r="M2159">
            <v>34500000</v>
          </cell>
        </row>
        <row r="2167">
          <cell r="H2167">
            <v>1792711410</v>
          </cell>
          <cell r="M2167">
            <v>1792711410</v>
          </cell>
        </row>
        <row r="2176">
          <cell r="H2176">
            <v>0</v>
          </cell>
          <cell r="M2176">
            <v>0</v>
          </cell>
        </row>
        <row r="2203">
          <cell r="H2203">
            <v>184250000</v>
          </cell>
          <cell r="M2203">
            <v>184250000</v>
          </cell>
        </row>
        <row r="2263">
          <cell r="H2263">
            <v>233186880</v>
          </cell>
          <cell r="M2263">
            <v>233186880</v>
          </cell>
        </row>
        <row r="2319">
          <cell r="H2319">
            <v>0</v>
          </cell>
          <cell r="M2319">
            <v>0</v>
          </cell>
        </row>
        <row r="2344">
          <cell r="H2344">
            <v>55984000</v>
          </cell>
          <cell r="M2344">
            <v>53884000</v>
          </cell>
        </row>
        <row r="2380">
          <cell r="H2380">
            <v>418395000</v>
          </cell>
          <cell r="M2380">
            <v>418390000</v>
          </cell>
        </row>
        <row r="2395">
          <cell r="H2395">
            <v>0</v>
          </cell>
          <cell r="M2395">
            <v>0</v>
          </cell>
        </row>
        <row r="2409">
          <cell r="H2409">
            <v>0</v>
          </cell>
          <cell r="M2409">
            <v>0</v>
          </cell>
        </row>
        <row r="2431">
          <cell r="H2431">
            <v>0</v>
          </cell>
          <cell r="M2431">
            <v>0</v>
          </cell>
        </row>
        <row r="2435">
          <cell r="H2435">
            <v>0</v>
          </cell>
          <cell r="M2435">
            <v>0</v>
          </cell>
        </row>
        <row r="2445">
          <cell r="H2445">
            <v>0</v>
          </cell>
          <cell r="M2445">
            <v>0</v>
          </cell>
        </row>
        <row r="2450">
          <cell r="H2450">
            <v>0</v>
          </cell>
          <cell r="M2450">
            <v>0</v>
          </cell>
        </row>
        <row r="2455">
          <cell r="H2455">
            <v>-146248911644.72998</v>
          </cell>
          <cell r="M2455">
            <v>-155357482714.07999</v>
          </cell>
        </row>
        <row r="2987">
          <cell r="H2987">
            <v>-63583178684.360001</v>
          </cell>
          <cell r="M2987">
            <v>-67915854823.159981</v>
          </cell>
        </row>
        <row r="3057">
          <cell r="H3057">
            <v>-86392420</v>
          </cell>
          <cell r="M3057">
            <v>-98932426.530000001</v>
          </cell>
        </row>
        <row r="3199">
          <cell r="H3199">
            <v>0</v>
          </cell>
          <cell r="M3199">
            <v>0</v>
          </cell>
        </row>
        <row r="3208">
          <cell r="H3208">
            <v>0</v>
          </cell>
          <cell r="M3208">
            <v>0</v>
          </cell>
        </row>
        <row r="3215">
          <cell r="H3215">
            <v>0</v>
          </cell>
          <cell r="M3215">
            <v>0</v>
          </cell>
        </row>
        <row r="3221">
          <cell r="H3221">
            <v>0</v>
          </cell>
          <cell r="M3221">
            <v>0</v>
          </cell>
        </row>
        <row r="3228">
          <cell r="H3228">
            <v>2931597000</v>
          </cell>
          <cell r="M3228">
            <v>38940000</v>
          </cell>
        </row>
        <row r="3236">
          <cell r="H3236">
            <v>501362000</v>
          </cell>
          <cell r="M3236">
            <v>599432000</v>
          </cell>
        </row>
        <row r="3249">
          <cell r="H3249">
            <v>6553631591.0500002</v>
          </cell>
          <cell r="M3249">
            <v>11011193060</v>
          </cell>
        </row>
        <row r="3258">
          <cell r="H3258">
            <v>-461662000</v>
          </cell>
          <cell r="M3258">
            <v>-599432000</v>
          </cell>
        </row>
        <row r="3267">
          <cell r="H3267">
            <v>-7865701538</v>
          </cell>
          <cell r="M3267">
            <v>-11020181329.92</v>
          </cell>
        </row>
        <row r="3280">
          <cell r="H3280">
            <v>0</v>
          </cell>
          <cell r="M3280">
            <v>0</v>
          </cell>
        </row>
        <row r="3284">
          <cell r="H3284">
            <v>0</v>
          </cell>
          <cell r="M3284">
            <v>0</v>
          </cell>
        </row>
        <row r="3288">
          <cell r="H3288">
            <v>0</v>
          </cell>
          <cell r="M3288">
            <v>0</v>
          </cell>
        </row>
        <row r="3292">
          <cell r="H3292">
            <v>0</v>
          </cell>
          <cell r="M3292">
            <v>0</v>
          </cell>
        </row>
        <row r="3296">
          <cell r="H3296">
            <v>0</v>
          </cell>
          <cell r="M3296">
            <v>0</v>
          </cell>
        </row>
        <row r="3312">
          <cell r="H3312">
            <v>0</v>
          </cell>
          <cell r="M3312">
            <v>0</v>
          </cell>
        </row>
        <row r="3316">
          <cell r="H3316">
            <v>0</v>
          </cell>
          <cell r="M3316">
            <v>0</v>
          </cell>
        </row>
        <row r="3320">
          <cell r="H3320">
            <v>0</v>
          </cell>
          <cell r="M3320">
            <v>0</v>
          </cell>
        </row>
        <row r="3324">
          <cell r="H3324">
            <v>0</v>
          </cell>
          <cell r="M3324">
            <v>0</v>
          </cell>
        </row>
        <row r="3329">
          <cell r="H3329">
            <v>0</v>
          </cell>
          <cell r="M3329">
            <v>0</v>
          </cell>
        </row>
        <row r="3343">
          <cell r="H3343">
            <v>0</v>
          </cell>
          <cell r="M3343">
            <v>0</v>
          </cell>
        </row>
        <row r="3347">
          <cell r="H3347">
            <v>0</v>
          </cell>
          <cell r="M3347">
            <v>0</v>
          </cell>
        </row>
        <row r="3367">
          <cell r="H3367">
            <v>0</v>
          </cell>
          <cell r="M3367">
            <v>0</v>
          </cell>
        </row>
        <row r="3387">
          <cell r="H3387">
            <v>0</v>
          </cell>
          <cell r="M3387">
            <v>0</v>
          </cell>
        </row>
        <row r="3391">
          <cell r="H3391">
            <v>0</v>
          </cell>
          <cell r="M3391">
            <v>0</v>
          </cell>
        </row>
        <row r="3400">
          <cell r="H3400">
            <v>0</v>
          </cell>
          <cell r="M3400">
            <v>0</v>
          </cell>
        </row>
        <row r="3404">
          <cell r="H3404">
            <v>0</v>
          </cell>
          <cell r="M3404">
            <v>0</v>
          </cell>
        </row>
        <row r="3412">
          <cell r="H3412">
            <v>0</v>
          </cell>
          <cell r="M3412">
            <v>0</v>
          </cell>
        </row>
        <row r="3420">
          <cell r="H3420">
            <v>0</v>
          </cell>
          <cell r="M3420">
            <v>0</v>
          </cell>
        </row>
        <row r="3425">
          <cell r="H3425">
            <v>0</v>
          </cell>
          <cell r="M3425">
            <v>0</v>
          </cell>
        </row>
        <row r="3439">
          <cell r="H3439">
            <v>0</v>
          </cell>
          <cell r="M3439">
            <v>0</v>
          </cell>
        </row>
        <row r="3453">
          <cell r="H3453">
            <v>0</v>
          </cell>
          <cell r="M3453">
            <v>0</v>
          </cell>
        </row>
        <row r="3467">
          <cell r="H3467">
            <v>0</v>
          </cell>
          <cell r="M3467">
            <v>0</v>
          </cell>
        </row>
        <row r="3471">
          <cell r="H3471">
            <v>0</v>
          </cell>
          <cell r="M3471">
            <v>0</v>
          </cell>
        </row>
        <row r="3478">
          <cell r="H3478">
            <v>0</v>
          </cell>
          <cell r="M3478">
            <v>0</v>
          </cell>
        </row>
        <row r="3482">
          <cell r="H3482">
            <v>36066667825</v>
          </cell>
          <cell r="M3482">
            <v>37348700000</v>
          </cell>
        </row>
        <row r="3486">
          <cell r="H3486">
            <v>0</v>
          </cell>
          <cell r="M3486">
            <v>0</v>
          </cell>
        </row>
        <row r="3491">
          <cell r="H3491">
            <v>0</v>
          </cell>
          <cell r="M3491">
            <v>0</v>
          </cell>
        </row>
        <row r="3662">
          <cell r="H3662">
            <v>0</v>
          </cell>
          <cell r="M3662">
            <v>0</v>
          </cell>
        </row>
        <row r="5607">
          <cell r="H5607">
            <v>0</v>
          </cell>
          <cell r="M5607">
            <v>0</v>
          </cell>
        </row>
        <row r="5644">
          <cell r="H5644">
            <v>0</v>
          </cell>
          <cell r="M5644">
            <v>0</v>
          </cell>
        </row>
        <row r="5654">
          <cell r="H5654">
            <v>0</v>
          </cell>
          <cell r="M5654">
            <v>0</v>
          </cell>
        </row>
        <row r="5692">
          <cell r="H5692">
            <v>0</v>
          </cell>
          <cell r="M5692">
            <v>0</v>
          </cell>
        </row>
        <row r="5730">
          <cell r="H5730">
            <v>0</v>
          </cell>
          <cell r="M5730">
            <v>0</v>
          </cell>
        </row>
        <row r="6259">
          <cell r="H6259">
            <v>0</v>
          </cell>
          <cell r="M6259">
            <v>0</v>
          </cell>
        </row>
        <row r="6329">
          <cell r="H6329">
            <v>0</v>
          </cell>
          <cell r="M6329">
            <v>0</v>
          </cell>
        </row>
        <row r="6471">
          <cell r="H6471">
            <v>0</v>
          </cell>
          <cell r="M6471">
            <v>0</v>
          </cell>
        </row>
        <row r="6545">
          <cell r="H6545">
            <v>0</v>
          </cell>
          <cell r="M6545">
            <v>0</v>
          </cell>
        </row>
        <row r="6550">
          <cell r="H6550">
            <v>0</v>
          </cell>
          <cell r="M6550">
            <v>0</v>
          </cell>
        </row>
        <row r="6560">
          <cell r="H6560">
            <v>0</v>
          </cell>
          <cell r="M6560">
            <v>0</v>
          </cell>
        </row>
        <row r="6585">
          <cell r="H6585">
            <v>0</v>
          </cell>
          <cell r="M6585">
            <v>0</v>
          </cell>
        </row>
        <row r="6634">
          <cell r="H6634">
            <v>0</v>
          </cell>
          <cell r="M6634">
            <v>0</v>
          </cell>
        </row>
        <row r="6645">
          <cell r="H6645">
            <v>0</v>
          </cell>
          <cell r="M6645">
            <v>0</v>
          </cell>
        </row>
        <row r="6655">
          <cell r="H6655">
            <v>0</v>
          </cell>
          <cell r="M6655">
            <v>0</v>
          </cell>
        </row>
        <row r="6671">
          <cell r="H6671">
            <v>0</v>
          </cell>
          <cell r="M6671">
            <v>0</v>
          </cell>
        </row>
        <row r="6677">
          <cell r="H6677">
            <v>0</v>
          </cell>
          <cell r="M6677">
            <v>0</v>
          </cell>
        </row>
        <row r="6683">
          <cell r="H6683">
            <v>0</v>
          </cell>
          <cell r="M6683">
            <v>0</v>
          </cell>
        </row>
        <row r="6690">
          <cell r="H6690">
            <v>0</v>
          </cell>
          <cell r="M6690">
            <v>0</v>
          </cell>
        </row>
        <row r="6696">
          <cell r="H6696">
            <v>0</v>
          </cell>
          <cell r="M6696">
            <v>0</v>
          </cell>
        </row>
        <row r="6702">
          <cell r="H6702">
            <v>0</v>
          </cell>
          <cell r="M6702">
            <v>0</v>
          </cell>
        </row>
        <row r="6709">
          <cell r="H6709">
            <v>0</v>
          </cell>
          <cell r="M6709">
            <v>0</v>
          </cell>
        </row>
        <row r="6715">
          <cell r="H6715">
            <v>0</v>
          </cell>
          <cell r="M6715">
            <v>0</v>
          </cell>
        </row>
        <row r="6721">
          <cell r="H6721">
            <v>0</v>
          </cell>
          <cell r="M6721">
            <v>0</v>
          </cell>
        </row>
        <row r="6728">
          <cell r="H6728">
            <v>0</v>
          </cell>
        </row>
        <row r="6738">
          <cell r="H6738">
            <v>1817591944804.48</v>
          </cell>
        </row>
        <row r="6741">
          <cell r="H6741">
            <v>11091136750540.699</v>
          </cell>
        </row>
        <row r="6743">
          <cell r="L6743">
            <v>11994336852395.65</v>
          </cell>
        </row>
        <row r="6746">
          <cell r="H6746">
            <v>0</v>
          </cell>
          <cell r="M6746">
            <v>0</v>
          </cell>
        </row>
        <row r="6749">
          <cell r="H6749">
            <v>0</v>
          </cell>
          <cell r="M6749">
            <v>0</v>
          </cell>
        </row>
        <row r="6752">
          <cell r="H6752">
            <v>0</v>
          </cell>
          <cell r="M6752">
            <v>0</v>
          </cell>
        </row>
        <row r="6755">
          <cell r="H6755">
            <v>0</v>
          </cell>
          <cell r="M6755">
            <v>0</v>
          </cell>
        </row>
        <row r="6758">
          <cell r="H6758">
            <v>0</v>
          </cell>
          <cell r="M6758">
            <v>0</v>
          </cell>
        </row>
        <row r="6761">
          <cell r="H6761">
            <v>0</v>
          </cell>
          <cell r="M6761">
            <v>0</v>
          </cell>
        </row>
        <row r="6766">
          <cell r="H6766">
            <v>-10958368352461</v>
          </cell>
        </row>
        <row r="6768">
          <cell r="K6768">
            <v>11615982543550</v>
          </cell>
          <cell r="L6768">
            <v>263820803</v>
          </cell>
        </row>
        <row r="6769">
          <cell r="H6769">
            <v>1950360342884.1797</v>
          </cell>
        </row>
        <row r="6771">
          <cell r="H6771">
            <v>1986427010709.1797</v>
          </cell>
        </row>
      </sheetData>
      <sheetData sheetId="5"/>
      <sheetData sheetId="6">
        <row r="16">
          <cell r="D16">
            <v>-550962890633.93005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NFACE NERACA"/>
      <sheetName val="NERACA ASET"/>
      <sheetName val="NERACA KEWJ &amp; EKUITAS"/>
      <sheetName val="KET ASET EKSTRAKONTABEL FIX"/>
      <sheetName val="KET ASET LAINNYA FIX"/>
      <sheetName val="KET UTANG BH FIX"/>
      <sheetName val="KET OBAT EXP FIX"/>
      <sheetName val="PENJ MUTASI AST TETAP FIX"/>
      <sheetName val="PENJ MUTASI PENYS AST TETAP FIX"/>
      <sheetName val="KET PENYERTAAN MODAL FIX"/>
      <sheetName val="Bant _ Tdk Trsangka"/>
      <sheetName val="Pembiayaan"/>
      <sheetName val="Rekap Belanja"/>
      <sheetName val="HSP"/>
      <sheetName val="ONFACE NERACA OBJEK PERMEN 90"/>
      <sheetName val="CALK NERACA"/>
      <sheetName val="NERACA"/>
      <sheetName val="Sheet1"/>
      <sheetName val="NERACA KOMPILASI"/>
      <sheetName val="DIKBUDPAR"/>
    </sheetNames>
    <sheetDataSet>
      <sheetData sheetId="0" refreshError="1"/>
      <sheetData sheetId="1" refreshError="1">
        <row r="22">
          <cell r="C22">
            <v>237445123013</v>
          </cell>
        </row>
        <row r="955">
          <cell r="F955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RACA KEWJ &amp; EKUITAS"/>
      <sheetName val="DIKBUDPAR"/>
      <sheetName val="NERACA"/>
      <sheetName val="LRA"/>
      <sheetName val="LO"/>
      <sheetName val="LPE"/>
      <sheetName val="PERTANIAN"/>
      <sheetName val="HSP"/>
      <sheetName val="NERACA ASET"/>
    </sheetNames>
    <sheetDataSet>
      <sheetData sheetId="0" refreshError="1"/>
      <sheetData sheetId="1" refreshError="1"/>
      <sheetData sheetId="2" refreshError="1">
        <row r="77">
          <cell r="C77" t="str">
            <v>02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NFACE NERACA "/>
      <sheetName val="NERACA ASET"/>
      <sheetName val="NERACA KEWJ &amp; EKUITAS"/>
      <sheetName val="PENYERTAAN MODAL"/>
      <sheetName val="Sheet1"/>
      <sheetName val="NERACA KEWD &amp; EKUITAS"/>
      <sheetName val="NERACA"/>
      <sheetName val="LRA"/>
      <sheetName val="LO"/>
      <sheetName val="LPE"/>
      <sheetName val="kode barang"/>
      <sheetName val="Reken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1">
          <cell r="C21">
            <v>29298716441.330002</v>
          </cell>
        </row>
        <row r="77">
          <cell r="I77">
            <v>0</v>
          </cell>
        </row>
        <row r="78">
          <cell r="C78">
            <v>0</v>
          </cell>
          <cell r="I78">
            <v>0</v>
          </cell>
        </row>
        <row r="79">
          <cell r="C79" t="str">
            <v>02</v>
          </cell>
          <cell r="I79">
            <v>0</v>
          </cell>
        </row>
        <row r="80">
          <cell r="C80" t="str">
            <v>02</v>
          </cell>
          <cell r="I80">
            <v>0</v>
          </cell>
        </row>
        <row r="81">
          <cell r="C81" t="str">
            <v>02</v>
          </cell>
        </row>
        <row r="82">
          <cell r="C82">
            <v>0</v>
          </cell>
          <cell r="I82">
            <v>0</v>
          </cell>
        </row>
        <row r="83">
          <cell r="C83" t="str">
            <v>03</v>
          </cell>
          <cell r="I83">
            <v>0</v>
          </cell>
        </row>
        <row r="84">
          <cell r="C84" t="str">
            <v>03</v>
          </cell>
          <cell r="I84">
            <v>0</v>
          </cell>
        </row>
        <row r="85">
          <cell r="C85" t="str">
            <v>03</v>
          </cell>
          <cell r="I85">
            <v>0</v>
          </cell>
        </row>
        <row r="86">
          <cell r="C86" t="str">
            <v>03</v>
          </cell>
          <cell r="I86">
            <v>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O318"/>
  <sheetViews>
    <sheetView tabSelected="1" topLeftCell="A133" zoomScale="40" zoomScaleNormal="40" workbookViewId="0">
      <selection activeCell="L8" sqref="L8"/>
    </sheetView>
  </sheetViews>
  <sheetFormatPr defaultColWidth="10" defaultRowHeight="15" x14ac:dyDescent="0.25"/>
  <cols>
    <col min="1" max="1" width="10" style="2"/>
    <col min="2" max="2" width="13" style="1" customWidth="1"/>
    <col min="3" max="3" width="3.85546875" style="2" customWidth="1"/>
    <col min="4" max="4" width="4" style="2" customWidth="1"/>
    <col min="5" max="5" width="4.42578125" style="2" customWidth="1"/>
    <col min="6" max="6" width="91.85546875" style="2" customWidth="1"/>
    <col min="7" max="7" width="21.85546875" style="2" customWidth="1"/>
    <col min="8" max="8" width="58.42578125" style="3" bestFit="1" customWidth="1"/>
    <col min="9" max="9" width="56.5703125" style="3" bestFit="1" customWidth="1"/>
    <col min="10" max="10" width="3.85546875" style="2" customWidth="1"/>
    <col min="11" max="11" width="43.42578125" style="2" bestFit="1" customWidth="1"/>
    <col min="12" max="12" width="17.140625" style="2" bestFit="1" customWidth="1"/>
    <col min="13" max="13" width="38.140625" style="2" bestFit="1" customWidth="1"/>
    <col min="14" max="14" width="37.85546875" style="6" bestFit="1" customWidth="1"/>
    <col min="15" max="15" width="35.140625" style="6" bestFit="1" customWidth="1"/>
    <col min="16" max="16384" width="10" style="2"/>
  </cols>
  <sheetData>
    <row r="3" spans="2:15" x14ac:dyDescent="0.25">
      <c r="I3" s="4"/>
      <c r="J3" s="5"/>
    </row>
    <row r="5" spans="2:15" x14ac:dyDescent="0.25">
      <c r="D5" s="187"/>
      <c r="E5" s="187"/>
      <c r="F5" s="187"/>
      <c r="G5" s="187"/>
      <c r="H5" s="187"/>
      <c r="I5" s="187"/>
      <c r="J5" s="1"/>
    </row>
    <row r="6" spans="2:15" x14ac:dyDescent="0.25">
      <c r="D6" s="1"/>
      <c r="E6" s="1"/>
      <c r="F6" s="1"/>
      <c r="G6" s="1"/>
      <c r="J6" s="1"/>
    </row>
    <row r="7" spans="2:15" s="8" customFormat="1" ht="30" x14ac:dyDescent="0.25">
      <c r="B7" s="188" t="s">
        <v>0</v>
      </c>
      <c r="C7" s="188"/>
      <c r="D7" s="188"/>
      <c r="E7" s="188"/>
      <c r="F7" s="188"/>
      <c r="G7" s="188"/>
      <c r="H7" s="188"/>
      <c r="I7" s="188"/>
      <c r="J7" s="7"/>
      <c r="N7" s="9"/>
      <c r="O7" s="9"/>
    </row>
    <row r="8" spans="2:15" s="8" customFormat="1" ht="30" x14ac:dyDescent="0.25">
      <c r="B8" s="188" t="s">
        <v>1</v>
      </c>
      <c r="C8" s="188"/>
      <c r="D8" s="188"/>
      <c r="E8" s="188"/>
      <c r="F8" s="188"/>
      <c r="G8" s="188"/>
      <c r="H8" s="188"/>
      <c r="I8" s="188"/>
      <c r="J8" s="7"/>
      <c r="N8" s="9"/>
      <c r="O8" s="9"/>
    </row>
    <row r="9" spans="2:15" s="8" customFormat="1" ht="30.75" x14ac:dyDescent="0.25">
      <c r="B9" s="189" t="str">
        <f>[1]NERACA!A4</f>
        <v>BADAN PENGELOLA PENDAPATAN DAERAH</v>
      </c>
      <c r="C9" s="189"/>
      <c r="D9" s="189"/>
      <c r="E9" s="189"/>
      <c r="F9" s="189"/>
      <c r="G9" s="189"/>
      <c r="H9" s="189"/>
      <c r="I9" s="189"/>
      <c r="J9" s="10"/>
      <c r="N9" s="9"/>
      <c r="O9" s="9"/>
    </row>
    <row r="10" spans="2:15" s="8" customFormat="1" ht="19.5" customHeight="1" x14ac:dyDescent="0.25">
      <c r="B10" s="189" t="s">
        <v>2</v>
      </c>
      <c r="C10" s="189"/>
      <c r="D10" s="189"/>
      <c r="E10" s="189"/>
      <c r="F10" s="189"/>
      <c r="G10" s="189"/>
      <c r="H10" s="189"/>
      <c r="I10" s="189"/>
      <c r="J10" s="7"/>
      <c r="N10" s="9"/>
      <c r="O10" s="9"/>
    </row>
    <row r="11" spans="2:15" s="12" customFormat="1" ht="21.75" thickBot="1" x14ac:dyDescent="0.3">
      <c r="B11" s="11"/>
      <c r="H11" s="13"/>
      <c r="I11" s="14" t="s">
        <v>3</v>
      </c>
      <c r="J11" s="14"/>
      <c r="N11" s="15"/>
      <c r="O11" s="15"/>
    </row>
    <row r="12" spans="2:15" s="20" customFormat="1" ht="43.5" customHeight="1" thickTop="1" x14ac:dyDescent="0.25">
      <c r="B12" s="16" t="s">
        <v>4</v>
      </c>
      <c r="C12" s="190" t="s">
        <v>5</v>
      </c>
      <c r="D12" s="191"/>
      <c r="E12" s="191"/>
      <c r="F12" s="192"/>
      <c r="G12" s="17" t="s">
        <v>6</v>
      </c>
      <c r="H12" s="18">
        <v>2021</v>
      </c>
      <c r="I12" s="19">
        <v>2020</v>
      </c>
      <c r="K12" s="20" t="s">
        <v>7</v>
      </c>
      <c r="L12" s="21" t="s">
        <v>8</v>
      </c>
      <c r="N12" s="22"/>
      <c r="O12" s="22"/>
    </row>
    <row r="13" spans="2:15" s="27" customFormat="1" ht="20.25" x14ac:dyDescent="0.25">
      <c r="B13" s="23">
        <v>1</v>
      </c>
      <c r="C13" s="181">
        <v>2</v>
      </c>
      <c r="D13" s="182"/>
      <c r="E13" s="182"/>
      <c r="F13" s="183"/>
      <c r="G13" s="24">
        <v>3</v>
      </c>
      <c r="H13" s="25">
        <v>4</v>
      </c>
      <c r="I13" s="26">
        <v>5</v>
      </c>
      <c r="N13" s="28"/>
      <c r="O13" s="28"/>
    </row>
    <row r="14" spans="2:15" s="34" customFormat="1" ht="20.25" x14ac:dyDescent="0.25">
      <c r="B14" s="29">
        <v>1</v>
      </c>
      <c r="C14" s="30"/>
      <c r="D14" s="30" t="s">
        <v>9</v>
      </c>
      <c r="E14" s="30"/>
      <c r="F14" s="30"/>
      <c r="G14" s="31"/>
      <c r="H14" s="32"/>
      <c r="I14" s="33"/>
      <c r="N14" s="35"/>
      <c r="O14" s="35"/>
    </row>
    <row r="15" spans="2:15" s="41" customFormat="1" ht="20.25" x14ac:dyDescent="0.25">
      <c r="B15" s="29">
        <v>2</v>
      </c>
      <c r="C15" s="36"/>
      <c r="D15" s="36" t="s">
        <v>10</v>
      </c>
      <c r="E15" s="36"/>
      <c r="F15" s="36"/>
      <c r="G15" s="37"/>
      <c r="H15" s="38"/>
      <c r="I15" s="39"/>
      <c r="J15" s="40"/>
      <c r="N15" s="42"/>
      <c r="O15" s="42"/>
    </row>
    <row r="16" spans="2:15" s="41" customFormat="1" ht="20.25" x14ac:dyDescent="0.25">
      <c r="B16" s="29">
        <v>3</v>
      </c>
      <c r="C16" s="36"/>
      <c r="D16" s="36"/>
      <c r="E16" s="36" t="s">
        <v>11</v>
      </c>
      <c r="F16" s="36"/>
      <c r="G16" s="43"/>
      <c r="H16" s="44">
        <f>SUM(H17:H24)</f>
        <v>263820803</v>
      </c>
      <c r="I16" s="45">
        <f>SUM(I17:I24)</f>
        <v>0</v>
      </c>
      <c r="J16" s="40"/>
      <c r="K16" s="40">
        <f t="shared" ref="K16:K91" si="0">+H16-I16</f>
        <v>263820803</v>
      </c>
      <c r="L16" s="46" t="e">
        <f t="shared" ref="L16:L91" si="1">+K16/I16*100</f>
        <v>#DIV/0!</v>
      </c>
      <c r="N16" s="42"/>
      <c r="O16" s="42"/>
    </row>
    <row r="17" spans="2:15" s="54" customFormat="1" ht="20.25" x14ac:dyDescent="0.25">
      <c r="B17" s="47">
        <v>4</v>
      </c>
      <c r="C17" s="48"/>
      <c r="D17" s="48"/>
      <c r="E17" s="48"/>
      <c r="F17" s="48" t="s">
        <v>12</v>
      </c>
      <c r="G17" s="49"/>
      <c r="H17" s="50">
        <f>[1]NERACA!M16</f>
        <v>0</v>
      </c>
      <c r="I17" s="51">
        <f>[1]NERACA!H16</f>
        <v>0</v>
      </c>
      <c r="J17" s="52"/>
      <c r="K17" s="40">
        <f t="shared" si="0"/>
        <v>0</v>
      </c>
      <c r="L17" s="46" t="e">
        <f t="shared" si="1"/>
        <v>#DIV/0!</v>
      </c>
      <c r="M17" s="52"/>
      <c r="N17" s="53"/>
      <c r="O17" s="53"/>
    </row>
    <row r="18" spans="2:15" s="54" customFormat="1" ht="20.25" x14ac:dyDescent="0.25">
      <c r="B18" s="47">
        <v>5</v>
      </c>
      <c r="C18" s="48"/>
      <c r="D18" s="48"/>
      <c r="E18" s="48"/>
      <c r="F18" s="48" t="s">
        <v>13</v>
      </c>
      <c r="G18" s="49"/>
      <c r="H18" s="50">
        <f>[1]NERACA!M20</f>
        <v>263820803</v>
      </c>
      <c r="I18" s="51">
        <f>[1]NERACA!H20</f>
        <v>0</v>
      </c>
      <c r="J18" s="52"/>
      <c r="K18" s="40">
        <f t="shared" si="0"/>
        <v>263820803</v>
      </c>
      <c r="L18" s="46" t="e">
        <f t="shared" si="1"/>
        <v>#DIV/0!</v>
      </c>
      <c r="N18" s="53"/>
      <c r="O18" s="53"/>
    </row>
    <row r="19" spans="2:15" s="54" customFormat="1" ht="20.25" x14ac:dyDescent="0.25">
      <c r="B19" s="47">
        <v>6</v>
      </c>
      <c r="C19" s="48"/>
      <c r="D19" s="48"/>
      <c r="E19" s="48"/>
      <c r="F19" s="48" t="s">
        <v>14</v>
      </c>
      <c r="G19" s="49"/>
      <c r="H19" s="50">
        <f>[1]NERACA!M24</f>
        <v>0</v>
      </c>
      <c r="I19" s="51">
        <f>[1]NERACA!H24</f>
        <v>0</v>
      </c>
      <c r="J19" s="52"/>
      <c r="K19" s="40">
        <f t="shared" si="0"/>
        <v>0</v>
      </c>
      <c r="L19" s="46" t="e">
        <f t="shared" si="1"/>
        <v>#DIV/0!</v>
      </c>
      <c r="N19" s="53"/>
      <c r="O19" s="53"/>
    </row>
    <row r="20" spans="2:15" s="54" customFormat="1" ht="20.25" x14ac:dyDescent="0.25">
      <c r="B20" s="47">
        <v>7</v>
      </c>
      <c r="C20" s="48"/>
      <c r="D20" s="48"/>
      <c r="E20" s="48"/>
      <c r="F20" s="48" t="s">
        <v>15</v>
      </c>
      <c r="G20" s="49"/>
      <c r="H20" s="50">
        <f>[1]NERACA!M28</f>
        <v>0</v>
      </c>
      <c r="I20" s="51">
        <f>[1]NERACA!H28</f>
        <v>0</v>
      </c>
      <c r="J20" s="52"/>
      <c r="K20" s="40">
        <f t="shared" si="0"/>
        <v>0</v>
      </c>
      <c r="L20" s="46" t="e">
        <f t="shared" si="1"/>
        <v>#DIV/0!</v>
      </c>
      <c r="N20" s="53"/>
      <c r="O20" s="53"/>
    </row>
    <row r="21" spans="2:15" s="54" customFormat="1" ht="20.25" x14ac:dyDescent="0.25">
      <c r="B21" s="47">
        <v>8</v>
      </c>
      <c r="C21" s="48"/>
      <c r="D21" s="48"/>
      <c r="E21" s="48"/>
      <c r="F21" s="48" t="s">
        <v>16</v>
      </c>
      <c r="G21" s="49"/>
      <c r="H21" s="50">
        <f>[1]NERACA!M32</f>
        <v>0</v>
      </c>
      <c r="I21" s="51">
        <f>[1]NERACA!H32</f>
        <v>0</v>
      </c>
      <c r="J21" s="52"/>
      <c r="K21" s="40">
        <f t="shared" si="0"/>
        <v>0</v>
      </c>
      <c r="L21" s="46" t="e">
        <f t="shared" si="1"/>
        <v>#DIV/0!</v>
      </c>
      <c r="N21" s="53"/>
      <c r="O21" s="53"/>
    </row>
    <row r="22" spans="2:15" s="54" customFormat="1" ht="20.25" x14ac:dyDescent="0.25">
      <c r="B22" s="47">
        <v>9</v>
      </c>
      <c r="C22" s="48"/>
      <c r="D22" s="48"/>
      <c r="E22" s="48"/>
      <c r="F22" s="48" t="s">
        <v>17</v>
      </c>
      <c r="G22" s="49"/>
      <c r="H22" s="50">
        <f>[1]NERACA!M46</f>
        <v>0</v>
      </c>
      <c r="I22" s="51">
        <f>[1]NERACA!H46</f>
        <v>0</v>
      </c>
      <c r="J22" s="52"/>
      <c r="K22" s="40">
        <f t="shared" si="0"/>
        <v>0</v>
      </c>
      <c r="L22" s="46" t="e">
        <f t="shared" si="1"/>
        <v>#DIV/0!</v>
      </c>
      <c r="N22" s="53"/>
      <c r="O22" s="53"/>
    </row>
    <row r="23" spans="2:15" s="54" customFormat="1" ht="20.25" x14ac:dyDescent="0.25">
      <c r="B23" s="47">
        <v>10</v>
      </c>
      <c r="C23" s="48"/>
      <c r="D23" s="48"/>
      <c r="E23" s="48"/>
      <c r="F23" s="48" t="s">
        <v>18</v>
      </c>
      <c r="G23" s="49"/>
      <c r="H23" s="50">
        <f>[1]NERACA!M50</f>
        <v>0</v>
      </c>
      <c r="I23" s="51">
        <f>[1]NERACA!H50</f>
        <v>0</v>
      </c>
      <c r="J23" s="52"/>
      <c r="K23" s="40">
        <f t="shared" si="0"/>
        <v>0</v>
      </c>
      <c r="L23" s="46" t="e">
        <f t="shared" si="1"/>
        <v>#DIV/0!</v>
      </c>
      <c r="N23" s="53"/>
      <c r="O23" s="53"/>
    </row>
    <row r="24" spans="2:15" s="54" customFormat="1" ht="20.25" x14ac:dyDescent="0.25">
      <c r="B24" s="47">
        <v>11</v>
      </c>
      <c r="C24" s="48"/>
      <c r="D24" s="48"/>
      <c r="E24" s="48"/>
      <c r="F24" s="48" t="s">
        <v>19</v>
      </c>
      <c r="G24" s="49"/>
      <c r="H24" s="50">
        <f>[1]NERACA!M54</f>
        <v>0</v>
      </c>
      <c r="I24" s="51">
        <f>[1]NERACA!H54</f>
        <v>0</v>
      </c>
      <c r="J24" s="52"/>
      <c r="K24" s="40">
        <f t="shared" si="0"/>
        <v>0</v>
      </c>
      <c r="L24" s="46" t="e">
        <f t="shared" si="1"/>
        <v>#DIV/0!</v>
      </c>
      <c r="N24" s="53"/>
      <c r="O24" s="53"/>
    </row>
    <row r="25" spans="2:15" s="41" customFormat="1" ht="20.25" x14ac:dyDescent="0.25">
      <c r="B25" s="29">
        <v>12</v>
      </c>
      <c r="C25" s="36"/>
      <c r="D25" s="36"/>
      <c r="E25" s="36" t="s">
        <v>20</v>
      </c>
      <c r="F25" s="36"/>
      <c r="G25" s="55"/>
      <c r="H25" s="44">
        <f>SUM(H26:H31)</f>
        <v>0</v>
      </c>
      <c r="I25" s="45">
        <f>SUM(I26:I31)</f>
        <v>0</v>
      </c>
      <c r="J25" s="40"/>
      <c r="K25" s="40">
        <f t="shared" si="0"/>
        <v>0</v>
      </c>
      <c r="L25" s="46" t="e">
        <f t="shared" si="1"/>
        <v>#DIV/0!</v>
      </c>
      <c r="N25" s="42"/>
      <c r="O25" s="42"/>
    </row>
    <row r="26" spans="2:15" s="41" customFormat="1" ht="20.25" x14ac:dyDescent="0.25">
      <c r="B26" s="47">
        <v>13</v>
      </c>
      <c r="C26" s="36"/>
      <c r="D26" s="36"/>
      <c r="E26" s="36"/>
      <c r="F26" s="48" t="s">
        <v>21</v>
      </c>
      <c r="G26" s="55"/>
      <c r="H26" s="44">
        <f>[1]NERACA!M59</f>
        <v>0</v>
      </c>
      <c r="I26" s="45">
        <f>[1]NERACA!H59</f>
        <v>0</v>
      </c>
      <c r="J26" s="40"/>
      <c r="K26" s="40">
        <f t="shared" si="0"/>
        <v>0</v>
      </c>
      <c r="L26" s="46" t="e">
        <f t="shared" si="1"/>
        <v>#DIV/0!</v>
      </c>
      <c r="N26" s="42"/>
      <c r="O26" s="42"/>
    </row>
    <row r="27" spans="2:15" s="41" customFormat="1" ht="20.25" x14ac:dyDescent="0.25">
      <c r="B27" s="47">
        <v>14</v>
      </c>
      <c r="C27" s="36"/>
      <c r="D27" s="36"/>
      <c r="E27" s="36"/>
      <c r="F27" s="48" t="s">
        <v>22</v>
      </c>
      <c r="G27" s="55"/>
      <c r="H27" s="44">
        <f>[1]NERACA!M63</f>
        <v>0</v>
      </c>
      <c r="I27" s="45">
        <f>[1]NERACA!H63</f>
        <v>0</v>
      </c>
      <c r="J27" s="40"/>
      <c r="K27" s="40">
        <f t="shared" si="0"/>
        <v>0</v>
      </c>
      <c r="L27" s="46" t="e">
        <f t="shared" si="1"/>
        <v>#DIV/0!</v>
      </c>
      <c r="N27" s="42"/>
      <c r="O27" s="42"/>
    </row>
    <row r="28" spans="2:15" s="41" customFormat="1" ht="20.25" x14ac:dyDescent="0.25">
      <c r="B28" s="47">
        <v>15</v>
      </c>
      <c r="C28" s="36"/>
      <c r="D28" s="36"/>
      <c r="E28" s="36"/>
      <c r="F28" s="48" t="s">
        <v>23</v>
      </c>
      <c r="G28" s="55"/>
      <c r="H28" s="44">
        <f>[1]NERACA!M67</f>
        <v>0</v>
      </c>
      <c r="I28" s="45">
        <f>[1]NERACA!H67</f>
        <v>0</v>
      </c>
      <c r="J28" s="40"/>
      <c r="K28" s="40">
        <f t="shared" si="0"/>
        <v>0</v>
      </c>
      <c r="L28" s="46" t="e">
        <f t="shared" si="1"/>
        <v>#DIV/0!</v>
      </c>
      <c r="N28" s="42"/>
      <c r="O28" s="42"/>
    </row>
    <row r="29" spans="2:15" s="41" customFormat="1" ht="20.25" x14ac:dyDescent="0.25">
      <c r="B29" s="47">
        <v>16</v>
      </c>
      <c r="C29" s="36"/>
      <c r="D29" s="36"/>
      <c r="E29" s="36"/>
      <c r="F29" s="48" t="s">
        <v>24</v>
      </c>
      <c r="G29" s="55"/>
      <c r="H29" s="44">
        <f>[1]NERACA!M71</f>
        <v>0</v>
      </c>
      <c r="I29" s="45">
        <f>[1]NERACA!H71</f>
        <v>0</v>
      </c>
      <c r="J29" s="40"/>
      <c r="K29" s="40">
        <f t="shared" si="0"/>
        <v>0</v>
      </c>
      <c r="L29" s="46" t="e">
        <f t="shared" si="1"/>
        <v>#DIV/0!</v>
      </c>
      <c r="N29" s="42"/>
      <c r="O29" s="42"/>
    </row>
    <row r="30" spans="2:15" s="41" customFormat="1" ht="20.25" x14ac:dyDescent="0.25">
      <c r="B30" s="47">
        <v>17</v>
      </c>
      <c r="C30" s="36"/>
      <c r="D30" s="36"/>
      <c r="E30" s="36"/>
      <c r="F30" s="48" t="s">
        <v>25</v>
      </c>
      <c r="G30" s="55"/>
      <c r="H30" s="44">
        <f>[1]NERACA!M75</f>
        <v>0</v>
      </c>
      <c r="I30" s="45">
        <f>[1]NERACA!H75</f>
        <v>0</v>
      </c>
      <c r="J30" s="40"/>
      <c r="K30" s="40">
        <f t="shared" si="0"/>
        <v>0</v>
      </c>
      <c r="L30" s="46" t="e">
        <f t="shared" si="1"/>
        <v>#DIV/0!</v>
      </c>
      <c r="N30" s="42"/>
      <c r="O30" s="42"/>
    </row>
    <row r="31" spans="2:15" s="54" customFormat="1" ht="20.25" x14ac:dyDescent="0.25">
      <c r="B31" s="47">
        <v>18</v>
      </c>
      <c r="C31" s="48"/>
      <c r="D31" s="48"/>
      <c r="E31" s="48"/>
      <c r="F31" s="48" t="s">
        <v>26</v>
      </c>
      <c r="G31" s="49"/>
      <c r="H31" s="50">
        <f>[1]NERACA!M79</f>
        <v>0</v>
      </c>
      <c r="I31" s="51">
        <f>[1]NERACA!H79</f>
        <v>0</v>
      </c>
      <c r="J31" s="52"/>
      <c r="K31" s="40">
        <f t="shared" si="0"/>
        <v>0</v>
      </c>
      <c r="L31" s="46" t="e">
        <f t="shared" si="1"/>
        <v>#DIV/0!</v>
      </c>
      <c r="N31" s="53"/>
      <c r="O31" s="53"/>
    </row>
    <row r="32" spans="2:15" s="41" customFormat="1" ht="20.25" x14ac:dyDescent="0.25">
      <c r="B32" s="29">
        <v>19</v>
      </c>
      <c r="C32" s="36"/>
      <c r="D32" s="36"/>
      <c r="E32" s="36" t="s">
        <v>27</v>
      </c>
      <c r="F32" s="36"/>
      <c r="G32" s="37"/>
      <c r="H32" s="56">
        <f>SUM(H33:H48)</f>
        <v>2117151575358</v>
      </c>
      <c r="I32" s="57">
        <f>SUM(I33:I48)</f>
        <v>2050129305282.3799</v>
      </c>
      <c r="J32" s="40"/>
      <c r="K32" s="40">
        <f t="shared" si="0"/>
        <v>67022270075.620117</v>
      </c>
      <c r="L32" s="46">
        <f t="shared" si="1"/>
        <v>3.2691728225595331</v>
      </c>
      <c r="N32" s="42"/>
      <c r="O32" s="42"/>
    </row>
    <row r="33" spans="2:15" s="54" customFormat="1" ht="20.25" x14ac:dyDescent="0.25">
      <c r="B33" s="47">
        <v>20</v>
      </c>
      <c r="C33" s="48"/>
      <c r="D33" s="48"/>
      <c r="E33" s="48"/>
      <c r="F33" s="48" t="s">
        <v>28</v>
      </c>
      <c r="G33" s="49"/>
      <c r="H33" s="50">
        <f>[1]NERACA!M84</f>
        <v>2117058795119</v>
      </c>
      <c r="I33" s="51">
        <f>[1]NERACA!H84</f>
        <v>2049759279013.3799</v>
      </c>
      <c r="J33" s="52"/>
      <c r="K33" s="40">
        <f t="shared" si="0"/>
        <v>67299516105.620117</v>
      </c>
      <c r="L33" s="46">
        <f t="shared" si="1"/>
        <v>3.2832887644257283</v>
      </c>
      <c r="N33" s="53"/>
      <c r="O33" s="53"/>
    </row>
    <row r="34" spans="2:15" s="54" customFormat="1" ht="20.25" x14ac:dyDescent="0.25">
      <c r="B34" s="47">
        <v>21</v>
      </c>
      <c r="C34" s="48"/>
      <c r="D34" s="48"/>
      <c r="E34" s="48"/>
      <c r="F34" s="48" t="s">
        <v>29</v>
      </c>
      <c r="G34" s="49"/>
      <c r="H34" s="50">
        <f>[1]NERACA!M156</f>
        <v>0</v>
      </c>
      <c r="I34" s="51">
        <f>[1]NERACA!H156</f>
        <v>0</v>
      </c>
      <c r="J34" s="58"/>
      <c r="K34" s="40">
        <f t="shared" si="0"/>
        <v>0</v>
      </c>
      <c r="L34" s="46" t="e">
        <f t="shared" si="1"/>
        <v>#DIV/0!</v>
      </c>
      <c r="N34" s="53"/>
      <c r="O34" s="53"/>
    </row>
    <row r="35" spans="2:15" s="54" customFormat="1" ht="20.25" x14ac:dyDescent="0.25">
      <c r="B35" s="47">
        <v>22</v>
      </c>
      <c r="C35" s="48"/>
      <c r="D35" s="48"/>
      <c r="E35" s="48"/>
      <c r="F35" s="59" t="s">
        <v>30</v>
      </c>
      <c r="G35" s="49"/>
      <c r="H35" s="50">
        <f>[1]NERACA!M186</f>
        <v>0</v>
      </c>
      <c r="I35" s="51">
        <f>[1]NERACA!H186</f>
        <v>0</v>
      </c>
      <c r="J35" s="52"/>
      <c r="K35" s="40">
        <f t="shared" si="0"/>
        <v>0</v>
      </c>
      <c r="L35" s="46" t="e">
        <f t="shared" si="1"/>
        <v>#DIV/0!</v>
      </c>
      <c r="N35" s="53"/>
      <c r="O35" s="53"/>
    </row>
    <row r="36" spans="2:15" s="54" customFormat="1" ht="20.25" x14ac:dyDescent="0.25">
      <c r="B36" s="47">
        <v>23</v>
      </c>
      <c r="C36" s="48"/>
      <c r="D36" s="48"/>
      <c r="E36" s="48"/>
      <c r="F36" s="48" t="s">
        <v>31</v>
      </c>
      <c r="G36" s="49"/>
      <c r="H36" s="50">
        <f>[1]NERACA!M196</f>
        <v>92780239</v>
      </c>
      <c r="I36" s="51">
        <f>[1]NERACA!H196</f>
        <v>370026269</v>
      </c>
      <c r="J36" s="52"/>
      <c r="K36" s="40">
        <f t="shared" si="0"/>
        <v>-277246030</v>
      </c>
      <c r="L36" s="46">
        <f t="shared" si="1"/>
        <v>-74.926039913128434</v>
      </c>
      <c r="N36" s="53"/>
      <c r="O36" s="53"/>
    </row>
    <row r="37" spans="2:15" s="54" customFormat="1" ht="20.25" x14ac:dyDescent="0.25">
      <c r="B37" s="47">
        <v>24</v>
      </c>
      <c r="C37" s="48"/>
      <c r="D37" s="48"/>
      <c r="E37" s="48"/>
      <c r="F37" s="48" t="s">
        <v>32</v>
      </c>
      <c r="G37" s="49"/>
      <c r="H37" s="50">
        <f>[1]NERACA!M200</f>
        <v>0</v>
      </c>
      <c r="I37" s="51">
        <f>[1]NERACA!H200</f>
        <v>0</v>
      </c>
      <c r="J37" s="58"/>
      <c r="K37" s="40">
        <f t="shared" si="0"/>
        <v>0</v>
      </c>
      <c r="L37" s="46" t="e">
        <f t="shared" si="1"/>
        <v>#DIV/0!</v>
      </c>
      <c r="N37" s="53"/>
      <c r="O37" s="53"/>
    </row>
    <row r="38" spans="2:15" s="54" customFormat="1" ht="20.25" hidden="1" x14ac:dyDescent="0.25">
      <c r="B38" s="47">
        <v>25</v>
      </c>
      <c r="C38" s="48"/>
      <c r="D38" s="48"/>
      <c r="E38" s="48"/>
      <c r="F38" s="48" t="s">
        <v>33</v>
      </c>
      <c r="G38" s="49"/>
      <c r="H38" s="50">
        <f>[1]NERACA!M204</f>
        <v>0</v>
      </c>
      <c r="I38" s="51">
        <f>[1]NERACA!H204</f>
        <v>0</v>
      </c>
      <c r="J38" s="58"/>
      <c r="K38" s="40">
        <f t="shared" si="0"/>
        <v>0</v>
      </c>
      <c r="L38" s="46" t="e">
        <f t="shared" si="1"/>
        <v>#DIV/0!</v>
      </c>
      <c r="N38" s="53"/>
      <c r="O38" s="53"/>
    </row>
    <row r="39" spans="2:15" s="54" customFormat="1" ht="20.25" hidden="1" x14ac:dyDescent="0.25">
      <c r="B39" s="47">
        <v>26</v>
      </c>
      <c r="C39" s="48"/>
      <c r="D39" s="48"/>
      <c r="E39" s="48"/>
      <c r="F39" s="48" t="s">
        <v>34</v>
      </c>
      <c r="G39" s="49"/>
      <c r="H39" s="50">
        <f>[1]NERACA!M222</f>
        <v>0</v>
      </c>
      <c r="I39" s="51">
        <f>[1]NERACA!H222</f>
        <v>0</v>
      </c>
      <c r="J39" s="58"/>
      <c r="K39" s="40">
        <f t="shared" si="0"/>
        <v>0</v>
      </c>
      <c r="L39" s="46" t="e">
        <f t="shared" si="1"/>
        <v>#DIV/0!</v>
      </c>
      <c r="N39" s="53"/>
      <c r="O39" s="53"/>
    </row>
    <row r="40" spans="2:15" s="54" customFormat="1" ht="20.25" hidden="1" x14ac:dyDescent="0.25">
      <c r="B40" s="47">
        <v>27</v>
      </c>
      <c r="C40" s="48"/>
      <c r="D40" s="48"/>
      <c r="E40" s="48"/>
      <c r="F40" s="48" t="s">
        <v>35</v>
      </c>
      <c r="G40" s="49"/>
      <c r="H40" s="50">
        <f>[1]NERACA!M238</f>
        <v>0</v>
      </c>
      <c r="I40" s="51">
        <f>[1]NERACA!H238</f>
        <v>0</v>
      </c>
      <c r="J40" s="58"/>
      <c r="K40" s="40">
        <f t="shared" si="0"/>
        <v>0</v>
      </c>
      <c r="L40" s="46" t="e">
        <f t="shared" si="1"/>
        <v>#DIV/0!</v>
      </c>
      <c r="N40" s="53"/>
      <c r="O40" s="53"/>
    </row>
    <row r="41" spans="2:15" s="54" customFormat="1" ht="20.25" hidden="1" x14ac:dyDescent="0.25">
      <c r="B41" s="47">
        <v>28</v>
      </c>
      <c r="C41" s="48"/>
      <c r="D41" s="48"/>
      <c r="E41" s="48"/>
      <c r="F41" s="48" t="s">
        <v>36</v>
      </c>
      <c r="G41" s="49"/>
      <c r="H41" s="50">
        <f>[1]NERACA!M260</f>
        <v>0</v>
      </c>
      <c r="I41" s="51">
        <f>[1]NERACA!H260</f>
        <v>0</v>
      </c>
      <c r="J41" s="58"/>
      <c r="K41" s="40">
        <f t="shared" si="0"/>
        <v>0</v>
      </c>
      <c r="L41" s="46" t="e">
        <f t="shared" si="1"/>
        <v>#DIV/0!</v>
      </c>
      <c r="N41" s="53"/>
      <c r="O41" s="53"/>
    </row>
    <row r="42" spans="2:15" s="54" customFormat="1" ht="20.25" hidden="1" x14ac:dyDescent="0.25">
      <c r="B42" s="47">
        <v>29</v>
      </c>
      <c r="C42" s="48"/>
      <c r="D42" s="48"/>
      <c r="E42" s="48"/>
      <c r="F42" s="48" t="s">
        <v>37</v>
      </c>
      <c r="G42" s="49"/>
      <c r="H42" s="50">
        <f>[1]NERACA!M282</f>
        <v>0</v>
      </c>
      <c r="I42" s="51">
        <f>[1]NERACA!H282</f>
        <v>0</v>
      </c>
      <c r="J42" s="58"/>
      <c r="K42" s="40">
        <f t="shared" si="0"/>
        <v>0</v>
      </c>
      <c r="L42" s="46" t="e">
        <f t="shared" si="1"/>
        <v>#DIV/0!</v>
      </c>
      <c r="N42" s="53"/>
      <c r="O42" s="53"/>
    </row>
    <row r="43" spans="2:15" s="54" customFormat="1" ht="20.25" hidden="1" x14ac:dyDescent="0.25">
      <c r="B43" s="47">
        <v>30</v>
      </c>
      <c r="C43" s="48"/>
      <c r="D43" s="48"/>
      <c r="E43" s="48"/>
      <c r="F43" s="48" t="s">
        <v>38</v>
      </c>
      <c r="G43" s="49"/>
      <c r="H43" s="50">
        <f>[1]NERACA!M288</f>
        <v>0</v>
      </c>
      <c r="I43" s="51">
        <f>[1]NERACA!H288</f>
        <v>0</v>
      </c>
      <c r="J43" s="58"/>
      <c r="K43" s="40">
        <f t="shared" si="0"/>
        <v>0</v>
      </c>
      <c r="L43" s="46" t="e">
        <f t="shared" si="1"/>
        <v>#DIV/0!</v>
      </c>
      <c r="N43" s="53"/>
      <c r="O43" s="53"/>
    </row>
    <row r="44" spans="2:15" s="54" customFormat="1" ht="20.25" hidden="1" x14ac:dyDescent="0.25">
      <c r="B44" s="47">
        <v>31</v>
      </c>
      <c r="C44" s="48"/>
      <c r="D44" s="48"/>
      <c r="E44" s="48"/>
      <c r="F44" s="48" t="s">
        <v>39</v>
      </c>
      <c r="G44" s="49"/>
      <c r="H44" s="50">
        <f>[1]NERACA!M292</f>
        <v>0</v>
      </c>
      <c r="I44" s="51">
        <f>[1]NERACA!H292</f>
        <v>0</v>
      </c>
      <c r="J44" s="58"/>
      <c r="K44" s="40">
        <f t="shared" si="0"/>
        <v>0</v>
      </c>
      <c r="L44" s="46" t="e">
        <f t="shared" si="1"/>
        <v>#DIV/0!</v>
      </c>
      <c r="N44" s="53"/>
      <c r="O44" s="53"/>
    </row>
    <row r="45" spans="2:15" s="54" customFormat="1" ht="20.25" hidden="1" x14ac:dyDescent="0.25">
      <c r="B45" s="47">
        <v>32</v>
      </c>
      <c r="C45" s="48"/>
      <c r="D45" s="48"/>
      <c r="E45" s="48"/>
      <c r="F45" s="48" t="s">
        <v>40</v>
      </c>
      <c r="G45" s="49"/>
      <c r="H45" s="50">
        <f>[1]NERACA!M296</f>
        <v>0</v>
      </c>
      <c r="I45" s="51">
        <f>[1]NERACA!H296</f>
        <v>0</v>
      </c>
      <c r="J45" s="58"/>
      <c r="K45" s="40">
        <f t="shared" si="0"/>
        <v>0</v>
      </c>
      <c r="L45" s="46" t="e">
        <f t="shared" si="1"/>
        <v>#DIV/0!</v>
      </c>
      <c r="N45" s="53"/>
      <c r="O45" s="53"/>
    </row>
    <row r="46" spans="2:15" s="54" customFormat="1" ht="20.25" hidden="1" x14ac:dyDescent="0.25">
      <c r="B46" s="47">
        <v>33</v>
      </c>
      <c r="C46" s="48"/>
      <c r="D46" s="48"/>
      <c r="E46" s="48"/>
      <c r="F46" s="48" t="s">
        <v>41</v>
      </c>
      <c r="G46" s="49"/>
      <c r="H46" s="50">
        <f>[1]NERACA!M300</f>
        <v>0</v>
      </c>
      <c r="I46" s="51">
        <f>[1]NERACA!H300</f>
        <v>0</v>
      </c>
      <c r="J46" s="58"/>
      <c r="K46" s="40">
        <f t="shared" si="0"/>
        <v>0</v>
      </c>
      <c r="L46" s="46" t="e">
        <f t="shared" si="1"/>
        <v>#DIV/0!</v>
      </c>
      <c r="N46" s="53"/>
      <c r="O46" s="53"/>
    </row>
    <row r="47" spans="2:15" s="54" customFormat="1" ht="20.25" hidden="1" x14ac:dyDescent="0.25">
      <c r="B47" s="47">
        <v>34</v>
      </c>
      <c r="C47" s="48"/>
      <c r="D47" s="48"/>
      <c r="E47" s="48"/>
      <c r="F47" s="48" t="s">
        <v>42</v>
      </c>
      <c r="G47" s="49"/>
      <c r="H47" s="50">
        <f>[1]NERACA!M376</f>
        <v>0</v>
      </c>
      <c r="I47" s="51">
        <f>[1]NERACA!H376</f>
        <v>0</v>
      </c>
      <c r="J47" s="58"/>
      <c r="K47" s="40">
        <f t="shared" si="0"/>
        <v>0</v>
      </c>
      <c r="L47" s="46" t="e">
        <f t="shared" si="1"/>
        <v>#DIV/0!</v>
      </c>
      <c r="N47" s="53"/>
      <c r="O47" s="53"/>
    </row>
    <row r="48" spans="2:15" s="54" customFormat="1" ht="20.25" hidden="1" x14ac:dyDescent="0.25">
      <c r="B48" s="47">
        <v>35</v>
      </c>
      <c r="C48" s="48"/>
      <c r="D48" s="48"/>
      <c r="E48" s="48"/>
      <c r="F48" s="48" t="s">
        <v>43</v>
      </c>
      <c r="G48" s="49"/>
      <c r="H48" s="50">
        <f>[1]NERACA!M380</f>
        <v>0</v>
      </c>
      <c r="I48" s="51">
        <f>[1]NERACA!H380</f>
        <v>0</v>
      </c>
      <c r="J48" s="58"/>
      <c r="K48" s="40">
        <f t="shared" si="0"/>
        <v>0</v>
      </c>
      <c r="L48" s="46" t="e">
        <f t="shared" si="1"/>
        <v>#DIV/0!</v>
      </c>
      <c r="N48" s="53"/>
      <c r="O48" s="53"/>
    </row>
    <row r="49" spans="2:15" s="41" customFormat="1" ht="20.25" x14ac:dyDescent="0.25">
      <c r="B49" s="29">
        <v>36</v>
      </c>
      <c r="C49" s="36"/>
      <c r="D49" s="36"/>
      <c r="E49" s="36" t="s">
        <v>44</v>
      </c>
      <c r="F49" s="36"/>
      <c r="G49" s="55"/>
      <c r="H49" s="44">
        <f>SUM(H50:H52)</f>
        <v>0</v>
      </c>
      <c r="I49" s="45">
        <f>SUM(I50:I52)</f>
        <v>0</v>
      </c>
      <c r="J49" s="60"/>
      <c r="K49" s="40">
        <f t="shared" si="0"/>
        <v>0</v>
      </c>
      <c r="L49" s="46" t="e">
        <f t="shared" si="1"/>
        <v>#DIV/0!</v>
      </c>
      <c r="N49" s="42"/>
      <c r="O49" s="42"/>
    </row>
    <row r="50" spans="2:15" s="54" customFormat="1" ht="20.25" x14ac:dyDescent="0.25">
      <c r="B50" s="47">
        <v>37</v>
      </c>
      <c r="C50" s="48"/>
      <c r="D50" s="48"/>
      <c r="E50" s="48"/>
      <c r="F50" s="48" t="s">
        <v>45</v>
      </c>
      <c r="G50" s="49"/>
      <c r="H50" s="50">
        <f>[1]NERACA!M387</f>
        <v>0</v>
      </c>
      <c r="I50" s="51">
        <f>[1]NERACA!H387</f>
        <v>0</v>
      </c>
      <c r="J50" s="58"/>
      <c r="K50" s="40">
        <f t="shared" si="0"/>
        <v>0</v>
      </c>
      <c r="L50" s="46" t="e">
        <f t="shared" si="1"/>
        <v>#DIV/0!</v>
      </c>
      <c r="N50" s="53"/>
      <c r="O50" s="53"/>
    </row>
    <row r="51" spans="2:15" s="54" customFormat="1" ht="20.25" x14ac:dyDescent="0.25">
      <c r="B51" s="47">
        <v>38</v>
      </c>
      <c r="C51" s="48"/>
      <c r="D51" s="48"/>
      <c r="E51" s="48"/>
      <c r="F51" s="48" t="s">
        <v>46</v>
      </c>
      <c r="G51" s="49"/>
      <c r="H51" s="50">
        <f>[1]NERACA!M434</f>
        <v>0</v>
      </c>
      <c r="I51" s="51">
        <f>[1]NERACA!H434</f>
        <v>0</v>
      </c>
      <c r="J51" s="58"/>
      <c r="K51" s="40">
        <f t="shared" si="0"/>
        <v>0</v>
      </c>
      <c r="L51" s="46" t="e">
        <f t="shared" si="1"/>
        <v>#DIV/0!</v>
      </c>
      <c r="N51" s="53"/>
      <c r="O51" s="53"/>
    </row>
    <row r="52" spans="2:15" s="54" customFormat="1" ht="20.25" x14ac:dyDescent="0.25">
      <c r="B52" s="47">
        <v>39</v>
      </c>
      <c r="C52" s="48"/>
      <c r="D52" s="48"/>
      <c r="E52" s="48"/>
      <c r="F52" s="48" t="s">
        <v>47</v>
      </c>
      <c r="G52" s="49"/>
      <c r="H52" s="50">
        <f>[1]NERACA!M472</f>
        <v>0</v>
      </c>
      <c r="I52" s="51">
        <f>[1]NERACA!H472</f>
        <v>0</v>
      </c>
      <c r="J52" s="58"/>
      <c r="K52" s="40">
        <f t="shared" si="0"/>
        <v>0</v>
      </c>
      <c r="L52" s="46" t="e">
        <f t="shared" si="1"/>
        <v>#DIV/0!</v>
      </c>
      <c r="N52" s="53"/>
      <c r="O52" s="53"/>
    </row>
    <row r="53" spans="2:15" s="41" customFormat="1" ht="20.25" x14ac:dyDescent="0.25">
      <c r="B53" s="29">
        <v>40</v>
      </c>
      <c r="C53" s="36"/>
      <c r="D53" s="36"/>
      <c r="E53" s="36" t="s">
        <v>48</v>
      </c>
      <c r="F53" s="36"/>
      <c r="G53" s="55"/>
      <c r="H53" s="44">
        <f>SUM(H54:H56)</f>
        <v>0</v>
      </c>
      <c r="I53" s="45">
        <f>SUM(I54:I56)</f>
        <v>0</v>
      </c>
      <c r="J53" s="60"/>
      <c r="K53" s="40">
        <f t="shared" si="0"/>
        <v>0</v>
      </c>
      <c r="L53" s="46" t="e">
        <f t="shared" si="1"/>
        <v>#DIV/0!</v>
      </c>
      <c r="N53" s="42"/>
      <c r="O53" s="42"/>
    </row>
    <row r="54" spans="2:15" s="54" customFormat="1" ht="20.25" x14ac:dyDescent="0.25">
      <c r="B54" s="47">
        <v>41</v>
      </c>
      <c r="C54" s="48"/>
      <c r="D54" s="48"/>
      <c r="E54" s="48"/>
      <c r="F54" s="48" t="s">
        <v>49</v>
      </c>
      <c r="G54" s="49"/>
      <c r="H54" s="50">
        <f>[1]NERACA!M490</f>
        <v>0</v>
      </c>
      <c r="I54" s="51">
        <f>[1]NERACA!H490</f>
        <v>0</v>
      </c>
      <c r="J54" s="58"/>
      <c r="K54" s="40">
        <f t="shared" si="0"/>
        <v>0</v>
      </c>
      <c r="L54" s="46" t="e">
        <f t="shared" si="1"/>
        <v>#DIV/0!</v>
      </c>
      <c r="N54" s="53"/>
      <c r="O54" s="53"/>
    </row>
    <row r="55" spans="2:15" s="54" customFormat="1" ht="20.25" x14ac:dyDescent="0.25">
      <c r="B55" s="47">
        <v>42</v>
      </c>
      <c r="C55" s="48"/>
      <c r="D55" s="48"/>
      <c r="E55" s="48"/>
      <c r="F55" s="48" t="s">
        <v>50</v>
      </c>
      <c r="G55" s="49"/>
      <c r="H55" s="50">
        <f>[1]NERACA!M494</f>
        <v>0</v>
      </c>
      <c r="I55" s="51">
        <f>[1]NERACA!H494</f>
        <v>0</v>
      </c>
      <c r="J55" s="58"/>
      <c r="K55" s="40">
        <f t="shared" si="0"/>
        <v>0</v>
      </c>
      <c r="L55" s="46" t="e">
        <f t="shared" si="1"/>
        <v>#DIV/0!</v>
      </c>
      <c r="N55" s="53"/>
      <c r="O55" s="53"/>
    </row>
    <row r="56" spans="2:15" s="54" customFormat="1" ht="58.5" x14ac:dyDescent="0.25">
      <c r="B56" s="47">
        <v>43</v>
      </c>
      <c r="C56" s="48"/>
      <c r="D56" s="48"/>
      <c r="E56" s="48"/>
      <c r="F56" s="61" t="s">
        <v>51</v>
      </c>
      <c r="G56" s="49"/>
      <c r="H56" s="50">
        <f>[1]NERACA!M506</f>
        <v>0</v>
      </c>
      <c r="I56" s="51">
        <f>[1]NERACA!H506</f>
        <v>0</v>
      </c>
      <c r="J56" s="58"/>
      <c r="K56" s="40"/>
      <c r="L56" s="46"/>
      <c r="N56" s="62"/>
      <c r="O56" s="62"/>
    </row>
    <row r="57" spans="2:15" s="41" customFormat="1" ht="20.25" x14ac:dyDescent="0.25">
      <c r="B57" s="29">
        <v>44</v>
      </c>
      <c r="C57" s="36"/>
      <c r="D57" s="36"/>
      <c r="E57" s="36" t="s">
        <v>52</v>
      </c>
      <c r="F57" s="36"/>
      <c r="G57" s="55"/>
      <c r="H57" s="44">
        <f>SUM(H58:H79)</f>
        <v>0</v>
      </c>
      <c r="I57" s="45">
        <f>SUM(I58:I79)</f>
        <v>0</v>
      </c>
      <c r="J57" s="60"/>
      <c r="K57" s="40">
        <f t="shared" si="0"/>
        <v>0</v>
      </c>
      <c r="L57" s="46" t="e">
        <f t="shared" si="1"/>
        <v>#DIV/0!</v>
      </c>
      <c r="N57" s="42"/>
      <c r="O57" s="42"/>
    </row>
    <row r="58" spans="2:15" s="54" customFormat="1" ht="20.25" x14ac:dyDescent="0.25">
      <c r="B58" s="47">
        <v>45</v>
      </c>
      <c r="C58" s="48"/>
      <c r="D58" s="48"/>
      <c r="E58" s="48"/>
      <c r="F58" s="48" t="s">
        <v>53</v>
      </c>
      <c r="G58" s="49"/>
      <c r="H58" s="50">
        <f>[1]NERACA!M511</f>
        <v>0</v>
      </c>
      <c r="I58" s="51">
        <f>[1]NERACA!H511</f>
        <v>0</v>
      </c>
      <c r="J58" s="58"/>
      <c r="K58" s="40">
        <f t="shared" si="0"/>
        <v>0</v>
      </c>
      <c r="L58" s="46" t="e">
        <f t="shared" si="1"/>
        <v>#DIV/0!</v>
      </c>
      <c r="N58" s="53"/>
      <c r="O58" s="53"/>
    </row>
    <row r="59" spans="2:15" s="54" customFormat="1" ht="39" x14ac:dyDescent="0.25">
      <c r="B59" s="47">
        <v>46</v>
      </c>
      <c r="C59" s="48"/>
      <c r="D59" s="48"/>
      <c r="E59" s="48"/>
      <c r="F59" s="61" t="s">
        <v>54</v>
      </c>
      <c r="G59" s="49"/>
      <c r="H59" s="50">
        <f>[1]NERACA!M555</f>
        <v>0</v>
      </c>
      <c r="I59" s="51">
        <f>[1]NERACA!H555</f>
        <v>0</v>
      </c>
      <c r="J59" s="58"/>
      <c r="K59" s="40">
        <f t="shared" si="0"/>
        <v>0</v>
      </c>
      <c r="L59" s="46" t="e">
        <f t="shared" si="1"/>
        <v>#DIV/0!</v>
      </c>
      <c r="N59" s="53"/>
      <c r="O59" s="53"/>
    </row>
    <row r="60" spans="2:15" s="54" customFormat="1" ht="20.25" x14ac:dyDescent="0.25">
      <c r="B60" s="47">
        <v>47</v>
      </c>
      <c r="C60" s="48"/>
      <c r="D60" s="48"/>
      <c r="E60" s="48"/>
      <c r="F60" s="48" t="s">
        <v>55</v>
      </c>
      <c r="G60" s="49"/>
      <c r="H60" s="50">
        <f>[1]NERACA!M599</f>
        <v>0</v>
      </c>
      <c r="I60" s="51">
        <f>[1]NERACA!H599</f>
        <v>0</v>
      </c>
      <c r="J60" s="58"/>
      <c r="K60" s="40">
        <f t="shared" si="0"/>
        <v>0</v>
      </c>
      <c r="L60" s="46" t="e">
        <f t="shared" si="1"/>
        <v>#DIV/0!</v>
      </c>
      <c r="N60" s="53"/>
      <c r="O60" s="53"/>
    </row>
    <row r="61" spans="2:15" s="54" customFormat="1" ht="20.25" x14ac:dyDescent="0.25">
      <c r="B61" s="47">
        <v>48</v>
      </c>
      <c r="C61" s="48"/>
      <c r="D61" s="48"/>
      <c r="E61" s="48"/>
      <c r="F61" s="48" t="s">
        <v>56</v>
      </c>
      <c r="G61" s="49"/>
      <c r="H61" s="50">
        <f>[1]NERACA!M611</f>
        <v>0</v>
      </c>
      <c r="I61" s="51">
        <f>[1]NERACA!H611</f>
        <v>0</v>
      </c>
      <c r="J61" s="58"/>
      <c r="K61" s="40">
        <f t="shared" si="0"/>
        <v>0</v>
      </c>
      <c r="L61" s="46" t="e">
        <f t="shared" si="1"/>
        <v>#DIV/0!</v>
      </c>
      <c r="N61" s="53"/>
      <c r="O61" s="53"/>
    </row>
    <row r="62" spans="2:15" s="54" customFormat="1" ht="20.25" x14ac:dyDescent="0.25">
      <c r="B62" s="47">
        <v>49</v>
      </c>
      <c r="C62" s="48"/>
      <c r="D62" s="48"/>
      <c r="E62" s="48"/>
      <c r="F62" s="48" t="s">
        <v>57</v>
      </c>
      <c r="G62" s="49"/>
      <c r="H62" s="50">
        <f>[1]NERACA!M615</f>
        <v>0</v>
      </c>
      <c r="I62" s="51">
        <f>[1]NERACA!H615</f>
        <v>0</v>
      </c>
      <c r="J62" s="58"/>
      <c r="K62" s="40">
        <f t="shared" si="0"/>
        <v>0</v>
      </c>
      <c r="L62" s="46" t="e">
        <f t="shared" si="1"/>
        <v>#DIV/0!</v>
      </c>
      <c r="N62" s="53"/>
      <c r="O62" s="53"/>
    </row>
    <row r="63" spans="2:15" s="54" customFormat="1" ht="20.25" x14ac:dyDescent="0.25">
      <c r="B63" s="47">
        <v>50</v>
      </c>
      <c r="C63" s="48"/>
      <c r="D63" s="48"/>
      <c r="E63" s="48"/>
      <c r="F63" s="48" t="s">
        <v>58</v>
      </c>
      <c r="G63" s="49"/>
      <c r="H63" s="50">
        <f>[1]NERACA!M629</f>
        <v>0</v>
      </c>
      <c r="I63" s="51">
        <f>[1]NERACA!H629</f>
        <v>0</v>
      </c>
      <c r="J63" s="58"/>
      <c r="K63" s="40">
        <f t="shared" si="0"/>
        <v>0</v>
      </c>
      <c r="L63" s="46" t="e">
        <f t="shared" si="1"/>
        <v>#DIV/0!</v>
      </c>
      <c r="N63" s="53"/>
      <c r="O63" s="53"/>
    </row>
    <row r="64" spans="2:15" s="54" customFormat="1" ht="20.25" x14ac:dyDescent="0.25">
      <c r="B64" s="47">
        <v>51</v>
      </c>
      <c r="C64" s="48"/>
      <c r="D64" s="48"/>
      <c r="E64" s="48"/>
      <c r="F64" s="48" t="s">
        <v>59</v>
      </c>
      <c r="G64" s="49"/>
      <c r="H64" s="50">
        <f>[1]NERACA!M633</f>
        <v>0</v>
      </c>
      <c r="I64" s="51">
        <f>[1]NERACA!H633</f>
        <v>0</v>
      </c>
      <c r="J64" s="58"/>
      <c r="K64" s="40">
        <f t="shared" si="0"/>
        <v>0</v>
      </c>
      <c r="L64" s="46" t="e">
        <f t="shared" si="1"/>
        <v>#DIV/0!</v>
      </c>
      <c r="N64" s="53"/>
      <c r="O64" s="53"/>
    </row>
    <row r="65" spans="2:15" s="54" customFormat="1" ht="39" x14ac:dyDescent="0.25">
      <c r="B65" s="47">
        <v>52</v>
      </c>
      <c r="C65" s="48"/>
      <c r="D65" s="48"/>
      <c r="E65" s="48"/>
      <c r="F65" s="63" t="s">
        <v>60</v>
      </c>
      <c r="G65" s="49"/>
      <c r="H65" s="50">
        <f>[1]NERACA!M637</f>
        <v>0</v>
      </c>
      <c r="I65" s="51">
        <f>[1]NERACA!H637</f>
        <v>0</v>
      </c>
      <c r="J65" s="52"/>
      <c r="K65" s="40">
        <f t="shared" si="0"/>
        <v>0</v>
      </c>
      <c r="L65" s="46" t="e">
        <f t="shared" si="1"/>
        <v>#DIV/0!</v>
      </c>
      <c r="N65" s="53"/>
      <c r="O65" s="53"/>
    </row>
    <row r="66" spans="2:15" s="54" customFormat="1" ht="20.25" x14ac:dyDescent="0.25">
      <c r="B66" s="47">
        <v>53</v>
      </c>
      <c r="C66" s="48"/>
      <c r="D66" s="48"/>
      <c r="E66" s="48"/>
      <c r="F66" s="61" t="s">
        <v>61</v>
      </c>
      <c r="G66" s="49"/>
      <c r="H66" s="50">
        <f>[1]NERACA!M643</f>
        <v>0</v>
      </c>
      <c r="I66" s="51">
        <f>[1]NERACA!H643</f>
        <v>0</v>
      </c>
      <c r="J66" s="52"/>
      <c r="K66" s="40">
        <f t="shared" si="0"/>
        <v>0</v>
      </c>
      <c r="L66" s="46" t="e">
        <f t="shared" si="1"/>
        <v>#DIV/0!</v>
      </c>
      <c r="N66" s="53"/>
      <c r="O66" s="53"/>
    </row>
    <row r="67" spans="2:15" s="54" customFormat="1" ht="39" x14ac:dyDescent="0.25">
      <c r="B67" s="47">
        <v>54</v>
      </c>
      <c r="C67" s="48"/>
      <c r="D67" s="48"/>
      <c r="E67" s="48"/>
      <c r="F67" s="61" t="s">
        <v>62</v>
      </c>
      <c r="G67" s="49"/>
      <c r="H67" s="50">
        <f>[1]NERACA!M647</f>
        <v>0</v>
      </c>
      <c r="I67" s="51">
        <f>[1]NERACA!H647</f>
        <v>0</v>
      </c>
      <c r="J67" s="58"/>
      <c r="K67" s="40">
        <f t="shared" si="0"/>
        <v>0</v>
      </c>
      <c r="L67" s="46" t="e">
        <f t="shared" si="1"/>
        <v>#DIV/0!</v>
      </c>
      <c r="M67" s="52"/>
      <c r="N67" s="53"/>
      <c r="O67" s="53"/>
    </row>
    <row r="68" spans="2:15" s="54" customFormat="1" ht="39" x14ac:dyDescent="0.25">
      <c r="B68" s="47">
        <v>55</v>
      </c>
      <c r="C68" s="48"/>
      <c r="D68" s="48"/>
      <c r="E68" s="48"/>
      <c r="F68" s="63" t="s">
        <v>63</v>
      </c>
      <c r="G68" s="49"/>
      <c r="H68" s="50">
        <f>[1]NERACA!M651</f>
        <v>0</v>
      </c>
      <c r="I68" s="51">
        <f>[1]NERACA!H651</f>
        <v>0</v>
      </c>
      <c r="J68" s="58"/>
      <c r="K68" s="40">
        <f t="shared" si="0"/>
        <v>0</v>
      </c>
      <c r="L68" s="46" t="e">
        <f t="shared" si="1"/>
        <v>#DIV/0!</v>
      </c>
      <c r="N68" s="53"/>
      <c r="O68" s="53"/>
    </row>
    <row r="69" spans="2:15" s="54" customFormat="1" ht="20.25" x14ac:dyDescent="0.25">
      <c r="B69" s="47">
        <v>56</v>
      </c>
      <c r="C69" s="48"/>
      <c r="D69" s="48"/>
      <c r="E69" s="48"/>
      <c r="F69" s="61" t="s">
        <v>64</v>
      </c>
      <c r="G69" s="49"/>
      <c r="H69" s="50">
        <f>[1]NERACA!M655</f>
        <v>0</v>
      </c>
      <c r="I69" s="51">
        <f>[1]NERACA!H655</f>
        <v>0</v>
      </c>
      <c r="J69" s="52"/>
      <c r="K69" s="40">
        <f t="shared" si="0"/>
        <v>0</v>
      </c>
      <c r="L69" s="46" t="e">
        <f t="shared" si="1"/>
        <v>#DIV/0!</v>
      </c>
      <c r="N69" s="53"/>
      <c r="O69" s="53"/>
    </row>
    <row r="70" spans="2:15" s="54" customFormat="1" ht="20.25" x14ac:dyDescent="0.25">
      <c r="B70" s="47">
        <v>57</v>
      </c>
      <c r="C70" s="48"/>
      <c r="D70" s="48"/>
      <c r="E70" s="48"/>
      <c r="F70" s="61" t="s">
        <v>65</v>
      </c>
      <c r="G70" s="49"/>
      <c r="H70" s="50">
        <f>[1]NERACA!M787</f>
        <v>0</v>
      </c>
      <c r="I70" s="51">
        <f>[1]NERACA!H787</f>
        <v>0</v>
      </c>
      <c r="J70" s="58"/>
      <c r="K70" s="40">
        <f t="shared" si="0"/>
        <v>0</v>
      </c>
      <c r="L70" s="46" t="e">
        <f t="shared" si="1"/>
        <v>#DIV/0!</v>
      </c>
      <c r="M70" s="52"/>
      <c r="N70" s="53"/>
      <c r="O70" s="53"/>
    </row>
    <row r="71" spans="2:15" s="54" customFormat="1" ht="20.25" x14ac:dyDescent="0.25">
      <c r="B71" s="47">
        <v>58</v>
      </c>
      <c r="C71" s="48"/>
      <c r="D71" s="48"/>
      <c r="E71" s="48"/>
      <c r="F71" s="63" t="s">
        <v>66</v>
      </c>
      <c r="G71" s="49"/>
      <c r="H71" s="50">
        <f>[1]NERACA!M822</f>
        <v>0</v>
      </c>
      <c r="I71" s="51">
        <f>[1]NERACA!H822</f>
        <v>0</v>
      </c>
      <c r="J71" s="58"/>
      <c r="K71" s="40">
        <f t="shared" si="0"/>
        <v>0</v>
      </c>
      <c r="L71" s="46" t="e">
        <f t="shared" si="1"/>
        <v>#DIV/0!</v>
      </c>
      <c r="N71" s="53"/>
      <c r="O71" s="53"/>
    </row>
    <row r="72" spans="2:15" s="54" customFormat="1" ht="20.25" x14ac:dyDescent="0.25">
      <c r="B72" s="47">
        <v>59</v>
      </c>
      <c r="C72" s="48"/>
      <c r="D72" s="48"/>
      <c r="E72" s="48"/>
      <c r="F72" s="48" t="s">
        <v>67</v>
      </c>
      <c r="G72" s="49"/>
      <c r="H72" s="50">
        <f>[1]NERACA!M826</f>
        <v>0</v>
      </c>
      <c r="I72" s="51">
        <f>[1]NERACA!H826</f>
        <v>0</v>
      </c>
      <c r="J72" s="52"/>
      <c r="K72" s="40">
        <f t="shared" si="0"/>
        <v>0</v>
      </c>
      <c r="L72" s="46" t="e">
        <f t="shared" si="1"/>
        <v>#DIV/0!</v>
      </c>
      <c r="N72" s="53"/>
      <c r="O72" s="53"/>
    </row>
    <row r="73" spans="2:15" s="54" customFormat="1" ht="20.25" x14ac:dyDescent="0.25">
      <c r="B73" s="47">
        <v>60</v>
      </c>
      <c r="C73" s="48"/>
      <c r="D73" s="48"/>
      <c r="E73" s="48"/>
      <c r="F73" s="48" t="s">
        <v>68</v>
      </c>
      <c r="G73" s="49"/>
      <c r="H73" s="50">
        <f>[1]NERACA!M842</f>
        <v>0</v>
      </c>
      <c r="I73" s="51">
        <f>[1]NERACA!H842</f>
        <v>0</v>
      </c>
      <c r="J73" s="58"/>
      <c r="K73" s="40">
        <f t="shared" si="0"/>
        <v>0</v>
      </c>
      <c r="L73" s="46" t="e">
        <f t="shared" si="1"/>
        <v>#DIV/0!</v>
      </c>
      <c r="M73" s="52"/>
      <c r="N73" s="53"/>
      <c r="O73" s="53"/>
    </row>
    <row r="74" spans="2:15" s="54" customFormat="1" ht="39" x14ac:dyDescent="0.25">
      <c r="B74" s="47">
        <v>61</v>
      </c>
      <c r="C74" s="48"/>
      <c r="D74" s="48"/>
      <c r="E74" s="48"/>
      <c r="F74" s="63" t="s">
        <v>69</v>
      </c>
      <c r="G74" s="49"/>
      <c r="H74" s="50">
        <f>[1]NERACA!M846</f>
        <v>0</v>
      </c>
      <c r="I74" s="51">
        <f>[1]NERACA!H846</f>
        <v>0</v>
      </c>
      <c r="J74" s="58"/>
      <c r="K74" s="40">
        <f t="shared" si="0"/>
        <v>0</v>
      </c>
      <c r="L74" s="46" t="e">
        <f t="shared" si="1"/>
        <v>#DIV/0!</v>
      </c>
      <c r="N74" s="53"/>
      <c r="O74" s="53"/>
    </row>
    <row r="75" spans="2:15" s="54" customFormat="1" ht="40.35" customHeight="1" x14ac:dyDescent="0.25">
      <c r="B75" s="47">
        <v>62</v>
      </c>
      <c r="C75" s="48"/>
      <c r="D75" s="48"/>
      <c r="E75" s="48"/>
      <c r="F75" s="61" t="s">
        <v>70</v>
      </c>
      <c r="G75" s="49"/>
      <c r="H75" s="50">
        <f>[1]NERACA!M852</f>
        <v>0</v>
      </c>
      <c r="I75" s="51">
        <f>[1]NERACA!H852</f>
        <v>0</v>
      </c>
      <c r="J75" s="52"/>
      <c r="K75" s="40">
        <f t="shared" si="0"/>
        <v>0</v>
      </c>
      <c r="L75" s="46" t="e">
        <f t="shared" si="1"/>
        <v>#DIV/0!</v>
      </c>
      <c r="N75" s="53"/>
      <c r="O75" s="53"/>
    </row>
    <row r="76" spans="2:15" s="54" customFormat="1" ht="20.25" x14ac:dyDescent="0.25">
      <c r="B76" s="47">
        <v>63</v>
      </c>
      <c r="C76" s="48"/>
      <c r="D76" s="48"/>
      <c r="E76" s="48"/>
      <c r="F76" s="48" t="s">
        <v>71</v>
      </c>
      <c r="G76" s="49"/>
      <c r="H76" s="50">
        <f>[1]NERACA!M856</f>
        <v>0</v>
      </c>
      <c r="I76" s="51">
        <f>[1]NERACA!H856</f>
        <v>0</v>
      </c>
      <c r="J76" s="58"/>
      <c r="K76" s="40">
        <f t="shared" si="0"/>
        <v>0</v>
      </c>
      <c r="L76" s="46" t="e">
        <f t="shared" si="1"/>
        <v>#DIV/0!</v>
      </c>
      <c r="M76" s="52"/>
      <c r="N76" s="53"/>
      <c r="O76" s="53"/>
    </row>
    <row r="77" spans="2:15" s="54" customFormat="1" ht="20.25" x14ac:dyDescent="0.25">
      <c r="B77" s="47">
        <v>64</v>
      </c>
      <c r="C77" s="48"/>
      <c r="D77" s="48"/>
      <c r="E77" s="48"/>
      <c r="F77" s="48" t="s">
        <v>72</v>
      </c>
      <c r="G77" s="49"/>
      <c r="H77" s="50">
        <f>[1]NERACA!M860</f>
        <v>0</v>
      </c>
      <c r="I77" s="51">
        <f>[1]NERACA!H860</f>
        <v>0</v>
      </c>
      <c r="J77" s="58"/>
      <c r="K77" s="40">
        <f t="shared" si="0"/>
        <v>0</v>
      </c>
      <c r="L77" s="46" t="e">
        <f t="shared" si="1"/>
        <v>#DIV/0!</v>
      </c>
      <c r="M77" s="52"/>
      <c r="N77" s="53"/>
      <c r="O77" s="53"/>
    </row>
    <row r="78" spans="2:15" s="54" customFormat="1" ht="20.25" x14ac:dyDescent="0.25">
      <c r="B78" s="47">
        <v>65</v>
      </c>
      <c r="C78" s="48"/>
      <c r="D78" s="48"/>
      <c r="E78" s="48"/>
      <c r="F78" s="48" t="s">
        <v>73</v>
      </c>
      <c r="G78" s="49"/>
      <c r="H78" s="50">
        <f>[1]NERACA!M864</f>
        <v>0</v>
      </c>
      <c r="I78" s="51">
        <f>[1]NERACA!H864</f>
        <v>0</v>
      </c>
      <c r="J78" s="58"/>
      <c r="K78" s="40">
        <f t="shared" si="0"/>
        <v>0</v>
      </c>
      <c r="L78" s="46" t="e">
        <f t="shared" si="1"/>
        <v>#DIV/0!</v>
      </c>
      <c r="M78" s="52"/>
      <c r="N78" s="53"/>
      <c r="O78" s="53"/>
    </row>
    <row r="79" spans="2:15" s="54" customFormat="1" ht="20.25" x14ac:dyDescent="0.25">
      <c r="B79" s="47">
        <v>66</v>
      </c>
      <c r="C79" s="48"/>
      <c r="D79" s="48"/>
      <c r="E79" s="48"/>
      <c r="F79" s="59" t="s">
        <v>74</v>
      </c>
      <c r="G79" s="49"/>
      <c r="H79" s="50">
        <f>[1]NERACA!M868</f>
        <v>0</v>
      </c>
      <c r="I79" s="51">
        <f>[1]NERACA!H868</f>
        <v>0</v>
      </c>
      <c r="J79" s="58"/>
      <c r="K79" s="40">
        <f t="shared" si="0"/>
        <v>0</v>
      </c>
      <c r="L79" s="46" t="e">
        <f t="shared" si="1"/>
        <v>#DIV/0!</v>
      </c>
      <c r="N79" s="53"/>
      <c r="O79" s="53"/>
    </row>
    <row r="80" spans="2:15" s="41" customFormat="1" ht="20.25" x14ac:dyDescent="0.25">
      <c r="B80" s="29">
        <v>67</v>
      </c>
      <c r="C80" s="36"/>
      <c r="D80" s="36"/>
      <c r="E80" s="36" t="s">
        <v>75</v>
      </c>
      <c r="F80" s="64"/>
      <c r="G80" s="55"/>
      <c r="H80" s="56">
        <f>SUM(H81:H85)</f>
        <v>0</v>
      </c>
      <c r="I80" s="57">
        <f>SUM(I81:I85)</f>
        <v>0</v>
      </c>
      <c r="J80" s="60"/>
      <c r="K80" s="40">
        <f t="shared" si="0"/>
        <v>0</v>
      </c>
      <c r="L80" s="46" t="e">
        <f t="shared" si="1"/>
        <v>#DIV/0!</v>
      </c>
      <c r="N80" s="42"/>
      <c r="O80" s="42"/>
    </row>
    <row r="81" spans="2:15" s="54" customFormat="1" ht="20.25" x14ac:dyDescent="0.25">
      <c r="B81" s="47">
        <v>68</v>
      </c>
      <c r="C81" s="48"/>
      <c r="D81" s="48"/>
      <c r="E81" s="48"/>
      <c r="F81" s="59" t="s">
        <v>76</v>
      </c>
      <c r="G81" s="49"/>
      <c r="H81" s="50">
        <f>[1]NERACA!M883</f>
        <v>0</v>
      </c>
      <c r="I81" s="51">
        <f>[1]NERACA!H883</f>
        <v>0</v>
      </c>
      <c r="J81" s="58"/>
      <c r="K81" s="40">
        <f t="shared" si="0"/>
        <v>0</v>
      </c>
      <c r="L81" s="46" t="e">
        <f t="shared" si="1"/>
        <v>#DIV/0!</v>
      </c>
      <c r="N81" s="53"/>
      <c r="O81" s="53"/>
    </row>
    <row r="82" spans="2:15" s="54" customFormat="1" ht="20.25" x14ac:dyDescent="0.25">
      <c r="B82" s="47">
        <v>69</v>
      </c>
      <c r="C82" s="48"/>
      <c r="D82" s="48"/>
      <c r="E82" s="48"/>
      <c r="F82" s="59" t="s">
        <v>77</v>
      </c>
      <c r="G82" s="49"/>
      <c r="H82" s="50">
        <f>[1]NERACA!M975</f>
        <v>0</v>
      </c>
      <c r="I82" s="51">
        <f>[1]NERACA!H975</f>
        <v>0</v>
      </c>
      <c r="J82" s="58"/>
      <c r="K82" s="40">
        <f t="shared" si="0"/>
        <v>0</v>
      </c>
      <c r="L82" s="46" t="e">
        <f t="shared" si="1"/>
        <v>#DIV/0!</v>
      </c>
      <c r="N82" s="53"/>
      <c r="O82" s="53"/>
    </row>
    <row r="83" spans="2:15" s="54" customFormat="1" ht="20.25" x14ac:dyDescent="0.25">
      <c r="B83" s="47">
        <v>70</v>
      </c>
      <c r="C83" s="48"/>
      <c r="D83" s="48"/>
      <c r="E83" s="48"/>
      <c r="F83" s="59" t="s">
        <v>78</v>
      </c>
      <c r="G83" s="49"/>
      <c r="H83" s="50">
        <f>[1]NERACA!M979</f>
        <v>0</v>
      </c>
      <c r="I83" s="51">
        <f>[1]NERACA!H979</f>
        <v>0</v>
      </c>
      <c r="J83" s="58"/>
      <c r="K83" s="40"/>
      <c r="L83" s="46"/>
      <c r="N83" s="62"/>
      <c r="O83" s="62"/>
    </row>
    <row r="84" spans="2:15" s="54" customFormat="1" ht="20.25" x14ac:dyDescent="0.25">
      <c r="B84" s="47">
        <v>71</v>
      </c>
      <c r="C84" s="48"/>
      <c r="D84" s="48"/>
      <c r="E84" s="48"/>
      <c r="F84" s="59" t="s">
        <v>79</v>
      </c>
      <c r="G84" s="49"/>
      <c r="H84" s="50">
        <f>[1]NERACA!M991</f>
        <v>0</v>
      </c>
      <c r="I84" s="51">
        <f>[1]NERACA!H991</f>
        <v>0</v>
      </c>
      <c r="J84" s="58"/>
      <c r="K84" s="40"/>
      <c r="L84" s="46"/>
      <c r="N84" s="62"/>
      <c r="O84" s="62"/>
    </row>
    <row r="85" spans="2:15" s="54" customFormat="1" ht="20.25" x14ac:dyDescent="0.25">
      <c r="B85" s="47">
        <v>72</v>
      </c>
      <c r="C85" s="48"/>
      <c r="D85" s="48"/>
      <c r="E85" s="48"/>
      <c r="F85" s="59" t="s">
        <v>80</v>
      </c>
      <c r="G85" s="49"/>
      <c r="H85" s="50">
        <f>[1]NERACA!M995</f>
        <v>0</v>
      </c>
      <c r="I85" s="51">
        <f>[1]NERACA!H995</f>
        <v>0</v>
      </c>
      <c r="J85" s="58"/>
      <c r="K85" s="40"/>
      <c r="L85" s="46"/>
      <c r="N85" s="62"/>
      <c r="O85" s="62"/>
    </row>
    <row r="86" spans="2:15" s="41" customFormat="1" ht="20.25" x14ac:dyDescent="0.25">
      <c r="B86" s="29">
        <v>73</v>
      </c>
      <c r="C86" s="36"/>
      <c r="D86" s="36"/>
      <c r="E86" s="36" t="s">
        <v>81</v>
      </c>
      <c r="F86" s="64"/>
      <c r="G86" s="55"/>
      <c r="H86" s="44">
        <f>SUM(H87:H88)</f>
        <v>0</v>
      </c>
      <c r="I86" s="45">
        <f>SUM(I87:I88)</f>
        <v>0</v>
      </c>
      <c r="J86" s="60"/>
      <c r="K86" s="40">
        <f t="shared" si="0"/>
        <v>0</v>
      </c>
      <c r="L86" s="46" t="e">
        <f t="shared" si="1"/>
        <v>#DIV/0!</v>
      </c>
      <c r="N86" s="42"/>
      <c r="O86" s="42"/>
    </row>
    <row r="87" spans="2:15" s="54" customFormat="1" ht="20.25" x14ac:dyDescent="0.25">
      <c r="B87" s="47">
        <v>74</v>
      </c>
      <c r="C87" s="48"/>
      <c r="D87" s="48"/>
      <c r="E87" s="48"/>
      <c r="F87" s="59" t="s">
        <v>82</v>
      </c>
      <c r="G87" s="49"/>
      <c r="H87" s="50">
        <f>[1]NERACA!M1000</f>
        <v>0</v>
      </c>
      <c r="I87" s="51">
        <f>[1]NERACA!H1000</f>
        <v>0</v>
      </c>
      <c r="J87" s="58"/>
      <c r="K87" s="40">
        <f t="shared" si="0"/>
        <v>0</v>
      </c>
      <c r="L87" s="46" t="e">
        <f t="shared" si="1"/>
        <v>#DIV/0!</v>
      </c>
      <c r="N87" s="53"/>
      <c r="O87" s="53"/>
    </row>
    <row r="88" spans="2:15" s="54" customFormat="1" ht="20.25" x14ac:dyDescent="0.25">
      <c r="B88" s="47">
        <v>75</v>
      </c>
      <c r="C88" s="48"/>
      <c r="D88" s="48"/>
      <c r="E88" s="48"/>
      <c r="F88" s="59" t="s">
        <v>83</v>
      </c>
      <c r="G88" s="49"/>
      <c r="H88" s="50">
        <f>[1]NERACA!M1008</f>
        <v>0</v>
      </c>
      <c r="I88" s="51">
        <f>[1]NERACA!H1008</f>
        <v>0</v>
      </c>
      <c r="J88" s="58"/>
      <c r="K88" s="40">
        <f t="shared" si="0"/>
        <v>0</v>
      </c>
      <c r="L88" s="46" t="e">
        <f t="shared" si="1"/>
        <v>#DIV/0!</v>
      </c>
      <c r="N88" s="53"/>
      <c r="O88" s="53"/>
    </row>
    <row r="89" spans="2:15" s="41" customFormat="1" ht="20.25" x14ac:dyDescent="0.25">
      <c r="B89" s="29">
        <v>76</v>
      </c>
      <c r="C89" s="36"/>
      <c r="D89" s="36"/>
      <c r="E89" s="36" t="s">
        <v>84</v>
      </c>
      <c r="F89" s="64"/>
      <c r="G89" s="55"/>
      <c r="H89" s="44">
        <f>SUM(H90:H94)</f>
        <v>0</v>
      </c>
      <c r="I89" s="45">
        <f>SUM(I90:I94)</f>
        <v>0</v>
      </c>
      <c r="J89" s="60"/>
      <c r="K89" s="40">
        <f t="shared" si="0"/>
        <v>0</v>
      </c>
      <c r="L89" s="46" t="e">
        <f t="shared" si="1"/>
        <v>#DIV/0!</v>
      </c>
      <c r="N89" s="42"/>
      <c r="O89" s="42"/>
    </row>
    <row r="90" spans="2:15" s="54" customFormat="1" ht="20.25" x14ac:dyDescent="0.25">
      <c r="B90" s="47">
        <v>77</v>
      </c>
      <c r="C90" s="48"/>
      <c r="D90" s="48"/>
      <c r="E90" s="48"/>
      <c r="F90" s="59" t="s">
        <v>85</v>
      </c>
      <c r="G90" s="49"/>
      <c r="H90" s="50">
        <f>[1]NERACA!M1019</f>
        <v>0</v>
      </c>
      <c r="I90" s="51">
        <f>[1]NERACA!H1019</f>
        <v>0</v>
      </c>
      <c r="J90" s="58"/>
      <c r="K90" s="40">
        <f t="shared" si="0"/>
        <v>0</v>
      </c>
      <c r="L90" s="46" t="e">
        <f t="shared" si="1"/>
        <v>#DIV/0!</v>
      </c>
      <c r="N90" s="53"/>
      <c r="O90" s="53"/>
    </row>
    <row r="91" spans="2:15" s="54" customFormat="1" ht="20.25" x14ac:dyDescent="0.25">
      <c r="B91" s="47">
        <v>78</v>
      </c>
      <c r="C91" s="48"/>
      <c r="D91" s="48"/>
      <c r="E91" s="48"/>
      <c r="F91" s="59" t="s">
        <v>86</v>
      </c>
      <c r="G91" s="49"/>
      <c r="H91" s="50">
        <f>[1]NERACA!M1035</f>
        <v>0</v>
      </c>
      <c r="I91" s="51">
        <f>[1]NERACA!H1035</f>
        <v>0</v>
      </c>
      <c r="J91" s="58"/>
      <c r="K91" s="40">
        <f t="shared" si="0"/>
        <v>0</v>
      </c>
      <c r="L91" s="46" t="e">
        <f t="shared" si="1"/>
        <v>#DIV/0!</v>
      </c>
      <c r="N91" s="53"/>
      <c r="O91" s="53"/>
    </row>
    <row r="92" spans="2:15" s="54" customFormat="1" ht="20.25" x14ac:dyDescent="0.25">
      <c r="B92" s="47">
        <v>79</v>
      </c>
      <c r="C92" s="48"/>
      <c r="D92" s="48"/>
      <c r="E92" s="48"/>
      <c r="F92" s="59" t="s">
        <v>87</v>
      </c>
      <c r="G92" s="49"/>
      <c r="H92" s="50">
        <f>[1]NERACA!M1051</f>
        <v>0</v>
      </c>
      <c r="I92" s="51">
        <f>[1]NERACA!H1051</f>
        <v>0</v>
      </c>
      <c r="J92" s="58"/>
      <c r="K92" s="40">
        <f t="shared" ref="K92:K155" si="2">+H92-I92</f>
        <v>0</v>
      </c>
      <c r="L92" s="46" t="e">
        <f t="shared" ref="L92:L155" si="3">+K92/I92*100</f>
        <v>#DIV/0!</v>
      </c>
      <c r="N92" s="53"/>
      <c r="O92" s="53"/>
    </row>
    <row r="93" spans="2:15" s="54" customFormat="1" ht="20.25" x14ac:dyDescent="0.25">
      <c r="B93" s="47">
        <v>80</v>
      </c>
      <c r="C93" s="48"/>
      <c r="D93" s="48"/>
      <c r="E93" s="48"/>
      <c r="F93" s="59" t="s">
        <v>88</v>
      </c>
      <c r="G93" s="49"/>
      <c r="H93" s="50">
        <f>[1]NERACA!M1057</f>
        <v>0</v>
      </c>
      <c r="I93" s="51">
        <f>[1]NERACA!H1057</f>
        <v>0</v>
      </c>
      <c r="J93" s="58"/>
      <c r="K93" s="40">
        <f t="shared" si="2"/>
        <v>0</v>
      </c>
      <c r="L93" s="46" t="e">
        <f t="shared" si="3"/>
        <v>#DIV/0!</v>
      </c>
      <c r="N93" s="53"/>
      <c r="O93" s="53"/>
    </row>
    <row r="94" spans="2:15" s="54" customFormat="1" ht="20.25" x14ac:dyDescent="0.25">
      <c r="B94" s="47">
        <v>81</v>
      </c>
      <c r="C94" s="48"/>
      <c r="D94" s="48"/>
      <c r="E94" s="48"/>
      <c r="F94" s="59" t="s">
        <v>89</v>
      </c>
      <c r="G94" s="49"/>
      <c r="H94" s="50">
        <f>[1]NERACA!M1063</f>
        <v>0</v>
      </c>
      <c r="I94" s="51">
        <f>[1]NERACA!H1063</f>
        <v>0</v>
      </c>
      <c r="J94" s="58"/>
      <c r="K94" s="40">
        <f t="shared" si="2"/>
        <v>0</v>
      </c>
      <c r="L94" s="46" t="e">
        <f t="shared" si="3"/>
        <v>#DIV/0!</v>
      </c>
      <c r="N94" s="53"/>
      <c r="O94" s="53"/>
    </row>
    <row r="95" spans="2:15" s="41" customFormat="1" ht="20.25" x14ac:dyDescent="0.25">
      <c r="B95" s="29">
        <v>82</v>
      </c>
      <c r="C95" s="36"/>
      <c r="D95" s="36"/>
      <c r="E95" s="36" t="s">
        <v>90</v>
      </c>
      <c r="F95" s="64"/>
      <c r="G95" s="55"/>
      <c r="H95" s="44">
        <f>SUM(H96:H97)</f>
        <v>-610223862766.44995</v>
      </c>
      <c r="I95" s="45">
        <f>SUM(I96:I97)</f>
        <v>-388631417415.02997</v>
      </c>
      <c r="J95" s="60"/>
      <c r="K95" s="40">
        <f t="shared" si="2"/>
        <v>-221592445351.41998</v>
      </c>
      <c r="L95" s="46">
        <f t="shared" si="3"/>
        <v>57.018664838096569</v>
      </c>
      <c r="N95" s="42"/>
      <c r="O95" s="42"/>
    </row>
    <row r="96" spans="2:15" s="54" customFormat="1" ht="20.25" x14ac:dyDescent="0.25">
      <c r="B96" s="47">
        <v>83</v>
      </c>
      <c r="C96" s="48"/>
      <c r="D96" s="48"/>
      <c r="E96" s="48"/>
      <c r="F96" s="59" t="s">
        <v>91</v>
      </c>
      <c r="G96" s="49"/>
      <c r="H96" s="50">
        <f>[1]NERACA!M1068</f>
        <v>-610223862766.44995</v>
      </c>
      <c r="I96" s="51">
        <f>[1]NERACA!H1068</f>
        <v>-388631417415.02997</v>
      </c>
      <c r="J96" s="58"/>
      <c r="K96" s="40">
        <f t="shared" si="2"/>
        <v>-221592445351.41998</v>
      </c>
      <c r="L96" s="46">
        <f t="shared" si="3"/>
        <v>57.018664838096569</v>
      </c>
      <c r="N96" s="53"/>
      <c r="O96" s="53"/>
    </row>
    <row r="97" spans="2:15" s="54" customFormat="1" ht="20.25" x14ac:dyDescent="0.25">
      <c r="B97" s="47">
        <v>84</v>
      </c>
      <c r="C97" s="48"/>
      <c r="D97" s="48"/>
      <c r="E97" s="48"/>
      <c r="F97" s="59" t="s">
        <v>92</v>
      </c>
      <c r="G97" s="49"/>
      <c r="H97" s="50">
        <f>[1]NERACA!M1193</f>
        <v>0</v>
      </c>
      <c r="I97" s="51">
        <f>[1]NERACA!H1193</f>
        <v>0</v>
      </c>
      <c r="J97" s="58"/>
      <c r="K97" s="40">
        <f t="shared" si="2"/>
        <v>0</v>
      </c>
      <c r="L97" s="46" t="e">
        <f t="shared" si="3"/>
        <v>#DIV/0!</v>
      </c>
      <c r="N97" s="53"/>
      <c r="O97" s="53"/>
    </row>
    <row r="98" spans="2:15" s="41" customFormat="1" ht="20.25" x14ac:dyDescent="0.25">
      <c r="B98" s="47">
        <v>85</v>
      </c>
      <c r="C98" s="36"/>
      <c r="D98" s="36"/>
      <c r="E98" s="36" t="s">
        <v>93</v>
      </c>
      <c r="F98" s="65"/>
      <c r="G98" s="55"/>
      <c r="H98" s="44">
        <f t="shared" ref="H98" si="4">+H99</f>
        <v>611067805.13999999</v>
      </c>
      <c r="I98" s="45">
        <f>+I99</f>
        <v>610143573.86000001</v>
      </c>
      <c r="J98" s="60"/>
      <c r="K98" s="40">
        <f t="shared" si="2"/>
        <v>924231.27999997139</v>
      </c>
      <c r="L98" s="46">
        <f t="shared" si="3"/>
        <v>0.15147767174747631</v>
      </c>
      <c r="N98" s="42"/>
      <c r="O98" s="53"/>
    </row>
    <row r="99" spans="2:15" s="54" customFormat="1" ht="20.25" x14ac:dyDescent="0.25">
      <c r="B99" s="47">
        <v>86</v>
      </c>
      <c r="C99" s="48"/>
      <c r="D99" s="48"/>
      <c r="E99" s="48"/>
      <c r="F99" s="48" t="s">
        <v>93</v>
      </c>
      <c r="G99" s="49"/>
      <c r="H99" s="50">
        <f>[1]NERACA!M1212</f>
        <v>611067805.13999999</v>
      </c>
      <c r="I99" s="51">
        <f>[1]NERACA!H1212</f>
        <v>610143573.86000001</v>
      </c>
      <c r="J99" s="52"/>
      <c r="K99" s="40">
        <f t="shared" si="2"/>
        <v>924231.27999997139</v>
      </c>
      <c r="L99" s="46">
        <f t="shared" si="3"/>
        <v>0.15147767174747631</v>
      </c>
      <c r="N99" s="53"/>
      <c r="O99" s="53"/>
    </row>
    <row r="100" spans="2:15" s="41" customFormat="1" ht="20.25" x14ac:dyDescent="0.25">
      <c r="B100" s="29">
        <v>87</v>
      </c>
      <c r="C100" s="36"/>
      <c r="D100" s="36"/>
      <c r="E100" s="36" t="s">
        <v>94</v>
      </c>
      <c r="F100" s="36"/>
      <c r="G100" s="55"/>
      <c r="H100" s="56">
        <f>SUM(H101:H103)</f>
        <v>3906899791.8999996</v>
      </c>
      <c r="I100" s="57">
        <f>SUM(I101:I103)</f>
        <v>4578495604</v>
      </c>
      <c r="J100" s="40"/>
      <c r="K100" s="40">
        <f t="shared" si="2"/>
        <v>-671595812.10000038</v>
      </c>
      <c r="L100" s="46">
        <f t="shared" si="3"/>
        <v>-14.668482186883855</v>
      </c>
      <c r="N100" s="42"/>
      <c r="O100" s="42"/>
    </row>
    <row r="101" spans="2:15" s="54" customFormat="1" ht="20.25" x14ac:dyDescent="0.25">
      <c r="B101" s="47">
        <v>88</v>
      </c>
      <c r="C101" s="48"/>
      <c r="D101" s="48"/>
      <c r="E101" s="48"/>
      <c r="F101" s="48" t="s">
        <v>95</v>
      </c>
      <c r="G101" s="49"/>
      <c r="H101" s="50">
        <f>[1]NERACA!M1217</f>
        <v>3906899791.8999996</v>
      </c>
      <c r="I101" s="51">
        <f>[1]NERACA!H1217</f>
        <v>4578495604</v>
      </c>
      <c r="J101" s="52"/>
      <c r="K101" s="40">
        <f t="shared" si="2"/>
        <v>-671595812.10000038</v>
      </c>
      <c r="L101" s="46">
        <f t="shared" si="3"/>
        <v>-14.668482186883855</v>
      </c>
      <c r="N101" s="53"/>
      <c r="O101" s="53"/>
    </row>
    <row r="102" spans="2:15" s="54" customFormat="1" ht="20.25" x14ac:dyDescent="0.25">
      <c r="B102" s="47">
        <v>89</v>
      </c>
      <c r="C102" s="48"/>
      <c r="D102" s="48"/>
      <c r="E102" s="48"/>
      <c r="F102" s="48" t="s">
        <v>96</v>
      </c>
      <c r="G102" s="49"/>
      <c r="H102" s="50">
        <f>[1]NERACA!M1357</f>
        <v>0</v>
      </c>
      <c r="I102" s="51">
        <f>[1]NERACA!H1357</f>
        <v>0</v>
      </c>
      <c r="J102" s="52"/>
      <c r="K102" s="40"/>
      <c r="L102" s="46"/>
      <c r="N102" s="53"/>
      <c r="O102" s="53"/>
    </row>
    <row r="103" spans="2:15" s="54" customFormat="1" ht="20.25" x14ac:dyDescent="0.25">
      <c r="B103" s="47">
        <v>90</v>
      </c>
      <c r="C103" s="48"/>
      <c r="D103" s="48"/>
      <c r="E103" s="48"/>
      <c r="F103" s="48" t="s">
        <v>97</v>
      </c>
      <c r="G103" s="49"/>
      <c r="H103" s="50">
        <f>[1]NERACA!M1387</f>
        <v>0</v>
      </c>
      <c r="I103" s="51">
        <f>[1]NERACA!H1387</f>
        <v>0</v>
      </c>
      <c r="J103" s="52"/>
      <c r="K103" s="40"/>
      <c r="L103" s="46"/>
      <c r="N103" s="53"/>
      <c r="O103" s="53"/>
    </row>
    <row r="104" spans="2:15" s="41" customFormat="1" ht="20.25" x14ac:dyDescent="0.25">
      <c r="B104" s="29">
        <v>91</v>
      </c>
      <c r="C104" s="36"/>
      <c r="D104" s="36"/>
      <c r="E104" s="36"/>
      <c r="F104" s="65" t="s">
        <v>98</v>
      </c>
      <c r="G104" s="37"/>
      <c r="H104" s="44">
        <f>+H16+H25+H32+H98+H100+H49+H53+H57+H80+H86+H89+H95</f>
        <v>1511709500991.5898</v>
      </c>
      <c r="I104" s="45">
        <f>+I16+I25+I32+I98+I100+I49+I53+I57+I80+I86+I89+I95+0.01</f>
        <v>1666686527045.22</v>
      </c>
      <c r="J104" s="40"/>
      <c r="K104" s="40">
        <f t="shared" si="2"/>
        <v>-154977026053.63013</v>
      </c>
      <c r="L104" s="46">
        <f t="shared" si="3"/>
        <v>-9.2985107600516024</v>
      </c>
      <c r="N104" s="42"/>
      <c r="O104" s="42"/>
    </row>
    <row r="105" spans="2:15" s="41" customFormat="1" ht="20.25" x14ac:dyDescent="0.25">
      <c r="B105" s="47">
        <v>92</v>
      </c>
      <c r="C105" s="36"/>
      <c r="D105" s="36"/>
      <c r="E105" s="36"/>
      <c r="F105" s="36"/>
      <c r="G105" s="37"/>
      <c r="H105" s="66"/>
      <c r="I105" s="67"/>
      <c r="K105" s="40"/>
      <c r="L105" s="46"/>
      <c r="N105" s="42"/>
      <c r="O105" s="53"/>
    </row>
    <row r="106" spans="2:15" s="41" customFormat="1" ht="20.25" x14ac:dyDescent="0.25">
      <c r="B106" s="29">
        <v>93</v>
      </c>
      <c r="C106" s="36"/>
      <c r="D106" s="36" t="s">
        <v>99</v>
      </c>
      <c r="E106" s="36"/>
      <c r="F106" s="36"/>
      <c r="G106" s="37"/>
      <c r="H106" s="44"/>
      <c r="I106" s="45"/>
      <c r="K106" s="40"/>
      <c r="L106" s="46"/>
      <c r="N106" s="42"/>
      <c r="O106" s="42"/>
    </row>
    <row r="107" spans="2:15" s="41" customFormat="1" ht="20.25" x14ac:dyDescent="0.25">
      <c r="B107" s="29">
        <v>94</v>
      </c>
      <c r="C107" s="36"/>
      <c r="D107" s="36"/>
      <c r="E107" s="36" t="s">
        <v>100</v>
      </c>
      <c r="F107" s="36"/>
      <c r="G107" s="37"/>
      <c r="H107" s="44">
        <f>SUM(H108:H112)</f>
        <v>0</v>
      </c>
      <c r="I107" s="45">
        <f>SUM(I108:I112)</f>
        <v>0</v>
      </c>
      <c r="J107" s="40"/>
      <c r="K107" s="40">
        <f t="shared" si="2"/>
        <v>0</v>
      </c>
      <c r="L107" s="46" t="e">
        <f t="shared" si="3"/>
        <v>#DIV/0!</v>
      </c>
      <c r="N107" s="42"/>
      <c r="O107" s="42"/>
    </row>
    <row r="108" spans="2:15" s="54" customFormat="1" ht="20.25" x14ac:dyDescent="0.25">
      <c r="B108" s="47">
        <v>95</v>
      </c>
      <c r="C108" s="48"/>
      <c r="D108" s="48"/>
      <c r="E108" s="48"/>
      <c r="F108" s="48" t="s">
        <v>101</v>
      </c>
      <c r="G108" s="49"/>
      <c r="H108" s="50">
        <f>[1]NERACA!M1404</f>
        <v>0</v>
      </c>
      <c r="I108" s="51">
        <f>[1]NERACA!H1404</f>
        <v>0</v>
      </c>
      <c r="J108" s="52"/>
      <c r="K108" s="40">
        <f t="shared" si="2"/>
        <v>0</v>
      </c>
      <c r="L108" s="46" t="e">
        <f t="shared" si="3"/>
        <v>#DIV/0!</v>
      </c>
      <c r="N108" s="53"/>
      <c r="O108" s="53"/>
    </row>
    <row r="109" spans="2:15" s="54" customFormat="1" ht="20.25" x14ac:dyDescent="0.25">
      <c r="B109" s="47">
        <v>96</v>
      </c>
      <c r="C109" s="48"/>
      <c r="D109" s="48"/>
      <c r="E109" s="48"/>
      <c r="F109" s="48" t="s">
        <v>102</v>
      </c>
      <c r="G109" s="49"/>
      <c r="H109" s="50">
        <f>[1]NERACA!M1408</f>
        <v>0</v>
      </c>
      <c r="I109" s="51">
        <f>[1]NERACA!H1408</f>
        <v>0</v>
      </c>
      <c r="J109" s="68"/>
      <c r="K109" s="40">
        <f t="shared" si="2"/>
        <v>0</v>
      </c>
      <c r="L109" s="46" t="e">
        <f t="shared" si="3"/>
        <v>#DIV/0!</v>
      </c>
      <c r="N109" s="53"/>
      <c r="O109" s="53"/>
    </row>
    <row r="110" spans="2:15" s="54" customFormat="1" ht="20.25" x14ac:dyDescent="0.25">
      <c r="B110" s="47">
        <v>97</v>
      </c>
      <c r="C110" s="48"/>
      <c r="D110" s="48"/>
      <c r="E110" s="48"/>
      <c r="F110" s="48" t="s">
        <v>103</v>
      </c>
      <c r="G110" s="49"/>
      <c r="H110" s="50">
        <f>[1]NERACA!M1412</f>
        <v>0</v>
      </c>
      <c r="I110" s="51">
        <f>[1]NERACA!H1412</f>
        <v>0</v>
      </c>
      <c r="J110" s="68"/>
      <c r="K110" s="40">
        <f t="shared" si="2"/>
        <v>0</v>
      </c>
      <c r="L110" s="46" t="e">
        <f t="shared" si="3"/>
        <v>#DIV/0!</v>
      </c>
      <c r="N110" s="53"/>
      <c r="O110" s="53"/>
    </row>
    <row r="111" spans="2:15" s="54" customFormat="1" ht="20.25" x14ac:dyDescent="0.25">
      <c r="B111" s="47">
        <v>98</v>
      </c>
      <c r="C111" s="48"/>
      <c r="D111" s="48"/>
      <c r="E111" s="48"/>
      <c r="F111" s="48" t="s">
        <v>104</v>
      </c>
      <c r="G111" s="49"/>
      <c r="H111" s="50">
        <f>[1]NERACA!M1416</f>
        <v>0</v>
      </c>
      <c r="I111" s="51">
        <f>[1]NERACA!H1416</f>
        <v>0</v>
      </c>
      <c r="J111" s="68"/>
      <c r="K111" s="40">
        <f t="shared" si="2"/>
        <v>0</v>
      </c>
      <c r="L111" s="46" t="e">
        <f t="shared" si="3"/>
        <v>#DIV/0!</v>
      </c>
      <c r="N111" s="53"/>
      <c r="O111" s="53"/>
    </row>
    <row r="112" spans="2:15" s="54" customFormat="1" ht="20.25" x14ac:dyDescent="0.25">
      <c r="B112" s="47">
        <v>99</v>
      </c>
      <c r="C112" s="48"/>
      <c r="D112" s="48"/>
      <c r="E112" s="48"/>
      <c r="F112" s="48" t="s">
        <v>105</v>
      </c>
      <c r="G112" s="49"/>
      <c r="H112" s="50">
        <f>[1]NERACA!M1422</f>
        <v>0</v>
      </c>
      <c r="I112" s="51">
        <f>[1]NERACA!H1422</f>
        <v>0</v>
      </c>
      <c r="J112" s="68"/>
      <c r="K112" s="40">
        <f t="shared" si="2"/>
        <v>0</v>
      </c>
      <c r="L112" s="46" t="e">
        <f t="shared" si="3"/>
        <v>#DIV/0!</v>
      </c>
      <c r="N112" s="53"/>
      <c r="O112" s="53"/>
    </row>
    <row r="113" spans="2:15" s="41" customFormat="1" ht="20.25" x14ac:dyDescent="0.25">
      <c r="B113" s="29">
        <v>100</v>
      </c>
      <c r="C113" s="36"/>
      <c r="D113" s="36"/>
      <c r="E113" s="36" t="s">
        <v>106</v>
      </c>
      <c r="F113" s="36"/>
      <c r="G113" s="37"/>
      <c r="H113" s="44">
        <f>SUM(H114:H115)</f>
        <v>0</v>
      </c>
      <c r="I113" s="45">
        <f>SUM(I114:I115)</f>
        <v>0</v>
      </c>
      <c r="J113" s="40"/>
      <c r="K113" s="40">
        <f t="shared" si="2"/>
        <v>0</v>
      </c>
      <c r="L113" s="46" t="e">
        <f t="shared" si="3"/>
        <v>#DIV/0!</v>
      </c>
      <c r="N113" s="42"/>
      <c r="O113" s="42"/>
    </row>
    <row r="114" spans="2:15" s="54" customFormat="1" ht="20.25" x14ac:dyDescent="0.25">
      <c r="B114" s="47">
        <v>101</v>
      </c>
      <c r="C114" s="48"/>
      <c r="D114" s="48"/>
      <c r="E114" s="48"/>
      <c r="F114" s="48" t="s">
        <v>107</v>
      </c>
      <c r="G114" s="49"/>
      <c r="H114" s="50">
        <f>[1]NERACA!M1431</f>
        <v>0</v>
      </c>
      <c r="I114" s="51">
        <f>[1]NERACA!H1431</f>
        <v>0</v>
      </c>
      <c r="J114" s="52"/>
      <c r="K114" s="40">
        <f t="shared" si="2"/>
        <v>0</v>
      </c>
      <c r="L114" s="46" t="e">
        <f t="shared" si="3"/>
        <v>#DIV/0!</v>
      </c>
      <c r="N114" s="53"/>
      <c r="O114" s="53"/>
    </row>
    <row r="115" spans="2:15" s="54" customFormat="1" ht="20.25" x14ac:dyDescent="0.25">
      <c r="B115" s="47">
        <v>102</v>
      </c>
      <c r="C115" s="48"/>
      <c r="D115" s="48"/>
      <c r="E115" s="48"/>
      <c r="F115" s="48" t="s">
        <v>108</v>
      </c>
      <c r="G115" s="49"/>
      <c r="H115" s="50">
        <f>[1]NERACA!M1437</f>
        <v>0</v>
      </c>
      <c r="I115" s="51">
        <f>[1]NERACA!H1437</f>
        <v>0</v>
      </c>
      <c r="J115" s="52"/>
      <c r="K115" s="40">
        <f t="shared" si="2"/>
        <v>0</v>
      </c>
      <c r="L115" s="46" t="e">
        <f t="shared" si="3"/>
        <v>#DIV/0!</v>
      </c>
      <c r="N115" s="53"/>
      <c r="O115" s="53"/>
    </row>
    <row r="116" spans="2:15" s="41" customFormat="1" ht="20.25" x14ac:dyDescent="0.25">
      <c r="B116" s="29">
        <v>103</v>
      </c>
      <c r="C116" s="36"/>
      <c r="D116" s="36"/>
      <c r="E116" s="36"/>
      <c r="F116" s="65" t="s">
        <v>109</v>
      </c>
      <c r="G116" s="37"/>
      <c r="H116" s="44">
        <f>+H107+H113</f>
        <v>0</v>
      </c>
      <c r="I116" s="45">
        <f>+I107+I113</f>
        <v>0</v>
      </c>
      <c r="J116" s="40"/>
      <c r="K116" s="40">
        <f t="shared" si="2"/>
        <v>0</v>
      </c>
      <c r="L116" s="46" t="e">
        <f t="shared" si="3"/>
        <v>#DIV/0!</v>
      </c>
      <c r="N116" s="42"/>
      <c r="O116" s="42"/>
    </row>
    <row r="117" spans="2:15" s="54" customFormat="1" ht="20.25" x14ac:dyDescent="0.25">
      <c r="B117" s="47">
        <v>104</v>
      </c>
      <c r="C117" s="48"/>
      <c r="D117" s="48"/>
      <c r="E117" s="48"/>
      <c r="F117" s="48"/>
      <c r="G117" s="69"/>
      <c r="H117" s="50"/>
      <c r="I117" s="51"/>
      <c r="K117" s="40"/>
      <c r="L117" s="46"/>
      <c r="N117" s="53"/>
      <c r="O117" s="53"/>
    </row>
    <row r="118" spans="2:15" s="41" customFormat="1" ht="20.25" x14ac:dyDescent="0.25">
      <c r="B118" s="29">
        <v>105</v>
      </c>
      <c r="C118" s="36"/>
      <c r="D118" s="36" t="s">
        <v>110</v>
      </c>
      <c r="E118" s="36"/>
      <c r="F118" s="36"/>
      <c r="G118" s="37"/>
      <c r="H118" s="44"/>
      <c r="I118" s="45"/>
      <c r="K118" s="40"/>
      <c r="L118" s="46"/>
      <c r="N118" s="42"/>
      <c r="O118" s="42"/>
    </row>
    <row r="119" spans="2:15" s="41" customFormat="1" ht="20.25" x14ac:dyDescent="0.25">
      <c r="B119" s="29">
        <v>106</v>
      </c>
      <c r="C119" s="36"/>
      <c r="D119" s="36"/>
      <c r="E119" s="36" t="s">
        <v>111</v>
      </c>
      <c r="F119" s="36"/>
      <c r="G119" s="55"/>
      <c r="H119" s="44">
        <f>SUM(H120:H120)</f>
        <v>108850722582</v>
      </c>
      <c r="I119" s="45">
        <f>SUM(I120:I120)</f>
        <v>108850722582</v>
      </c>
      <c r="J119" s="40"/>
      <c r="K119" s="40">
        <f t="shared" si="2"/>
        <v>0</v>
      </c>
      <c r="L119" s="46">
        <f t="shared" si="3"/>
        <v>0</v>
      </c>
      <c r="M119" s="70"/>
      <c r="N119" s="42"/>
      <c r="O119" s="42"/>
    </row>
    <row r="120" spans="2:15" s="41" customFormat="1" ht="20.25" x14ac:dyDescent="0.25">
      <c r="B120" s="47">
        <v>107</v>
      </c>
      <c r="C120" s="36"/>
      <c r="D120" s="36"/>
      <c r="E120" s="48"/>
      <c r="F120" s="48" t="s">
        <v>111</v>
      </c>
      <c r="G120" s="49"/>
      <c r="H120" s="50">
        <f>[1]NERACA!M1454</f>
        <v>108850722582</v>
      </c>
      <c r="I120" s="51">
        <f>[1]NERACA!H1454</f>
        <v>108850722582</v>
      </c>
      <c r="J120" s="40"/>
      <c r="K120" s="40">
        <f t="shared" si="2"/>
        <v>0</v>
      </c>
      <c r="L120" s="46">
        <f t="shared" si="3"/>
        <v>0</v>
      </c>
      <c r="M120" s="70"/>
      <c r="N120" s="42"/>
      <c r="O120" s="42"/>
    </row>
    <row r="121" spans="2:15" s="41" customFormat="1" ht="20.25" x14ac:dyDescent="0.25">
      <c r="B121" s="29">
        <v>108</v>
      </c>
      <c r="C121" s="36"/>
      <c r="D121" s="36"/>
      <c r="E121" s="36" t="s">
        <v>112</v>
      </c>
      <c r="F121" s="36"/>
      <c r="G121" s="55"/>
      <c r="H121" s="44">
        <f>SUM(H122:H140)</f>
        <v>176049302102</v>
      </c>
      <c r="I121" s="45">
        <f>SUM(I122:I140)</f>
        <v>176300274321</v>
      </c>
      <c r="J121" s="40"/>
      <c r="K121" s="40">
        <f t="shared" si="2"/>
        <v>-250972219</v>
      </c>
      <c r="L121" s="46">
        <f t="shared" si="3"/>
        <v>-0.14235497929120661</v>
      </c>
      <c r="M121" s="70"/>
      <c r="N121" s="42"/>
      <c r="O121" s="42"/>
    </row>
    <row r="122" spans="2:15" s="41" customFormat="1" ht="20.25" x14ac:dyDescent="0.25">
      <c r="B122" s="47">
        <v>109</v>
      </c>
      <c r="C122" s="36"/>
      <c r="D122" s="36"/>
      <c r="E122" s="48"/>
      <c r="F122" s="48" t="s">
        <v>113</v>
      </c>
      <c r="G122" s="49"/>
      <c r="H122" s="50">
        <f>[1]NERACA!M1495</f>
        <v>16331627517</v>
      </c>
      <c r="I122" s="51">
        <f>[1]NERACA!H1495</f>
        <v>16969681260</v>
      </c>
      <c r="J122" s="40"/>
      <c r="K122" s="40">
        <f t="shared" si="2"/>
        <v>-638053743</v>
      </c>
      <c r="L122" s="46">
        <f t="shared" si="3"/>
        <v>-3.7599630377500679</v>
      </c>
      <c r="M122" s="70"/>
      <c r="N122" s="42"/>
      <c r="O122" s="42"/>
    </row>
    <row r="123" spans="2:15" s="41" customFormat="1" ht="20.25" x14ac:dyDescent="0.25">
      <c r="B123" s="47">
        <v>110</v>
      </c>
      <c r="C123" s="36"/>
      <c r="D123" s="36"/>
      <c r="E123" s="48"/>
      <c r="F123" s="48" t="s">
        <v>114</v>
      </c>
      <c r="G123" s="49"/>
      <c r="H123" s="50">
        <f>[1]NERACA!M1534</f>
        <v>37512474616</v>
      </c>
      <c r="I123" s="51">
        <f>[1]NERACA!H1534</f>
        <v>35254848366</v>
      </c>
      <c r="J123" s="40"/>
      <c r="K123" s="40">
        <f t="shared" si="2"/>
        <v>2257626250</v>
      </c>
      <c r="L123" s="46">
        <f t="shared" si="3"/>
        <v>6.403732691068015</v>
      </c>
      <c r="M123" s="70"/>
      <c r="N123" s="42"/>
      <c r="O123" s="42"/>
    </row>
    <row r="124" spans="2:15" s="41" customFormat="1" ht="20.25" x14ac:dyDescent="0.25">
      <c r="B124" s="47">
        <v>111</v>
      </c>
      <c r="C124" s="36"/>
      <c r="D124" s="36"/>
      <c r="E124" s="48"/>
      <c r="F124" s="48" t="s">
        <v>115</v>
      </c>
      <c r="G124" s="49"/>
      <c r="H124" s="50">
        <f>[1]NERACA!M1565</f>
        <v>474850000</v>
      </c>
      <c r="I124" s="51">
        <f>[1]NERACA!H1565</f>
        <v>133850000</v>
      </c>
      <c r="J124" s="40"/>
      <c r="K124" s="40">
        <f t="shared" si="2"/>
        <v>341000000</v>
      </c>
      <c r="L124" s="46">
        <f t="shared" si="3"/>
        <v>254.76279417258124</v>
      </c>
      <c r="M124" s="70"/>
      <c r="N124" s="42"/>
      <c r="O124" s="42"/>
    </row>
    <row r="125" spans="2:15" s="41" customFormat="1" ht="20.25" x14ac:dyDescent="0.25">
      <c r="B125" s="47">
        <v>112</v>
      </c>
      <c r="C125" s="36"/>
      <c r="D125" s="36"/>
      <c r="E125" s="48"/>
      <c r="F125" s="48" t="s">
        <v>116</v>
      </c>
      <c r="G125" s="49"/>
      <c r="H125" s="50">
        <f>[1]NERACA!M1614</f>
        <v>0</v>
      </c>
      <c r="I125" s="51">
        <f>[1]NERACA!H1614</f>
        <v>0</v>
      </c>
      <c r="J125" s="40"/>
      <c r="K125" s="40">
        <f t="shared" si="2"/>
        <v>0</v>
      </c>
      <c r="L125" s="46" t="e">
        <f t="shared" si="3"/>
        <v>#DIV/0!</v>
      </c>
      <c r="M125" s="70"/>
      <c r="N125" s="42"/>
      <c r="O125" s="42"/>
    </row>
    <row r="126" spans="2:15" s="41" customFormat="1" ht="20.25" x14ac:dyDescent="0.25">
      <c r="B126" s="47">
        <v>113</v>
      </c>
      <c r="C126" s="36"/>
      <c r="D126" s="36"/>
      <c r="E126" s="48"/>
      <c r="F126" s="48" t="s">
        <v>117</v>
      </c>
      <c r="G126" s="49"/>
      <c r="H126" s="50">
        <f>[1]NERACA!M1627</f>
        <v>63295146178</v>
      </c>
      <c r="I126" s="51">
        <f>[1]NERACA!H1627</f>
        <v>64538031236</v>
      </c>
      <c r="J126" s="40"/>
      <c r="K126" s="40">
        <f t="shared" si="2"/>
        <v>-1242885058</v>
      </c>
      <c r="L126" s="46">
        <f t="shared" si="3"/>
        <v>-1.9258180551790762</v>
      </c>
      <c r="M126" s="70"/>
      <c r="N126" s="42"/>
      <c r="O126" s="42"/>
    </row>
    <row r="127" spans="2:15" s="41" customFormat="1" ht="20.25" x14ac:dyDescent="0.25">
      <c r="B127" s="47">
        <v>114</v>
      </c>
      <c r="C127" s="36"/>
      <c r="D127" s="36"/>
      <c r="E127" s="48"/>
      <c r="F127" s="48" t="s">
        <v>118</v>
      </c>
      <c r="G127" s="49"/>
      <c r="H127" s="50">
        <f>[1]NERACA!M1651</f>
        <v>6118148739</v>
      </c>
      <c r="I127" s="51">
        <f>[1]NERACA!H1651</f>
        <v>6236405458</v>
      </c>
      <c r="J127" s="40"/>
      <c r="K127" s="40">
        <f t="shared" si="2"/>
        <v>-118256719</v>
      </c>
      <c r="L127" s="46">
        <f t="shared" si="3"/>
        <v>-1.8962320489970941</v>
      </c>
      <c r="M127" s="70"/>
      <c r="N127" s="42"/>
      <c r="O127" s="42"/>
    </row>
    <row r="128" spans="2:15" s="41" customFormat="1" ht="20.25" x14ac:dyDescent="0.25">
      <c r="B128" s="47">
        <v>115</v>
      </c>
      <c r="C128" s="36"/>
      <c r="D128" s="36"/>
      <c r="E128" s="48"/>
      <c r="F128" s="48" t="s">
        <v>119</v>
      </c>
      <c r="G128" s="49"/>
      <c r="H128" s="50">
        <f>[1]NERACA!M1729</f>
        <v>150065000</v>
      </c>
      <c r="I128" s="51">
        <f>[1]NERACA!H1729</f>
        <v>150065000</v>
      </c>
      <c r="J128" s="40"/>
      <c r="K128" s="40">
        <f t="shared" si="2"/>
        <v>0</v>
      </c>
      <c r="L128" s="46">
        <f t="shared" si="3"/>
        <v>0</v>
      </c>
      <c r="M128" s="70"/>
      <c r="N128" s="42"/>
      <c r="O128" s="42"/>
    </row>
    <row r="129" spans="2:15" s="41" customFormat="1" ht="20.25" x14ac:dyDescent="0.25">
      <c r="B129" s="47">
        <v>116</v>
      </c>
      <c r="C129" s="36"/>
      <c r="D129" s="36"/>
      <c r="E129" s="48"/>
      <c r="F129" s="48" t="s">
        <v>120</v>
      </c>
      <c r="G129" s="49"/>
      <c r="H129" s="50">
        <f>[1]NERACA!M1767</f>
        <v>23750000</v>
      </c>
      <c r="I129" s="51">
        <f>[1]NERACA!H1767</f>
        <v>91250000</v>
      </c>
      <c r="J129" s="40"/>
      <c r="K129" s="40">
        <f t="shared" si="2"/>
        <v>-67500000</v>
      </c>
      <c r="L129" s="46">
        <f t="shared" si="3"/>
        <v>-73.972602739726028</v>
      </c>
      <c r="M129" s="70"/>
      <c r="N129" s="42"/>
      <c r="O129" s="42"/>
    </row>
    <row r="130" spans="2:15" s="41" customFormat="1" ht="20.25" x14ac:dyDescent="0.25">
      <c r="B130" s="47">
        <v>117</v>
      </c>
      <c r="C130" s="36"/>
      <c r="D130" s="36"/>
      <c r="E130" s="48"/>
      <c r="F130" s="48" t="s">
        <v>121</v>
      </c>
      <c r="G130" s="49"/>
      <c r="H130" s="50">
        <f>[1]NERACA!M1917</f>
        <v>0</v>
      </c>
      <c r="I130" s="51">
        <f>[1]NERACA!H1917</f>
        <v>0</v>
      </c>
      <c r="J130" s="40"/>
      <c r="K130" s="40"/>
      <c r="L130" s="46"/>
      <c r="M130" s="70"/>
      <c r="N130" s="42"/>
      <c r="O130" s="42"/>
    </row>
    <row r="131" spans="2:15" s="41" customFormat="1" ht="20.25" x14ac:dyDescent="0.25">
      <c r="B131" s="47">
        <v>118</v>
      </c>
      <c r="C131" s="36"/>
      <c r="D131" s="36"/>
      <c r="E131" s="48"/>
      <c r="F131" s="48" t="s">
        <v>122</v>
      </c>
      <c r="G131" s="49"/>
      <c r="H131" s="50">
        <f>[1]NERACA!M1950</f>
        <v>51370114852</v>
      </c>
      <c r="I131" s="51">
        <f>[1]NERACA!H1950</f>
        <v>52153017801</v>
      </c>
      <c r="J131" s="40"/>
      <c r="K131" s="40">
        <f t="shared" si="2"/>
        <v>-782902949</v>
      </c>
      <c r="L131" s="46">
        <f t="shared" si="3"/>
        <v>-1.5011651904542105</v>
      </c>
      <c r="M131" s="70"/>
      <c r="N131" s="42"/>
      <c r="O131" s="42"/>
    </row>
    <row r="132" spans="2:15" s="41" customFormat="1" ht="20.25" x14ac:dyDescent="0.25">
      <c r="B132" s="47">
        <v>119</v>
      </c>
      <c r="C132" s="36"/>
      <c r="D132" s="36"/>
      <c r="E132" s="48"/>
      <c r="F132" s="48" t="s">
        <v>123</v>
      </c>
      <c r="G132" s="49"/>
      <c r="H132" s="50">
        <f>[1]NERACA!M1962</f>
        <v>0</v>
      </c>
      <c r="I132" s="51">
        <f>[1]NERACA!H1962</f>
        <v>0</v>
      </c>
      <c r="J132" s="40"/>
      <c r="K132" s="40">
        <f t="shared" si="2"/>
        <v>0</v>
      </c>
      <c r="L132" s="46" t="e">
        <f t="shared" si="3"/>
        <v>#DIV/0!</v>
      </c>
      <c r="M132" s="70"/>
      <c r="N132" s="42"/>
      <c r="O132" s="42"/>
    </row>
    <row r="133" spans="2:15" s="41" customFormat="1" ht="20.25" x14ac:dyDescent="0.25">
      <c r="B133" s="47">
        <v>120</v>
      </c>
      <c r="C133" s="36"/>
      <c r="D133" s="36"/>
      <c r="E133" s="48"/>
      <c r="F133" s="48" t="s">
        <v>124</v>
      </c>
      <c r="G133" s="49"/>
      <c r="H133" s="50">
        <f>[1]NERACA!M1973</f>
        <v>0</v>
      </c>
      <c r="I133" s="51">
        <f>[1]NERACA!H1973</f>
        <v>0</v>
      </c>
      <c r="J133" s="40"/>
      <c r="K133" s="40">
        <f t="shared" si="2"/>
        <v>0</v>
      </c>
      <c r="L133" s="46" t="e">
        <f t="shared" si="3"/>
        <v>#DIV/0!</v>
      </c>
      <c r="M133" s="70"/>
      <c r="N133" s="42"/>
      <c r="O133" s="42"/>
    </row>
    <row r="134" spans="2:15" s="41" customFormat="1" ht="20.25" x14ac:dyDescent="0.25">
      <c r="B134" s="47">
        <v>121</v>
      </c>
      <c r="C134" s="36"/>
      <c r="D134" s="36"/>
      <c r="E134" s="48"/>
      <c r="F134" s="48" t="s">
        <v>125</v>
      </c>
      <c r="G134" s="49"/>
      <c r="H134" s="50">
        <f>[1]NERACA!M1985</f>
        <v>78373200</v>
      </c>
      <c r="I134" s="51">
        <f>[1]NERACA!H1985</f>
        <v>78373200</v>
      </c>
      <c r="J134" s="40"/>
      <c r="K134" s="40">
        <f t="shared" si="2"/>
        <v>0</v>
      </c>
      <c r="L134" s="46">
        <f t="shared" si="3"/>
        <v>0</v>
      </c>
      <c r="M134" s="70"/>
      <c r="N134" s="42"/>
      <c r="O134" s="42"/>
    </row>
    <row r="135" spans="2:15" s="41" customFormat="1" ht="20.25" x14ac:dyDescent="0.25">
      <c r="B135" s="47">
        <v>122</v>
      </c>
      <c r="C135" s="36"/>
      <c r="D135" s="36"/>
      <c r="E135" s="48"/>
      <c r="F135" s="48" t="s">
        <v>126</v>
      </c>
      <c r="G135" s="49"/>
      <c r="H135" s="50">
        <f>[1]NERACA!M2000</f>
        <v>0</v>
      </c>
      <c r="I135" s="51">
        <f>[1]NERACA!H2000</f>
        <v>0</v>
      </c>
      <c r="J135" s="40"/>
      <c r="K135" s="40">
        <f t="shared" si="2"/>
        <v>0</v>
      </c>
      <c r="L135" s="46" t="e">
        <f t="shared" si="3"/>
        <v>#DIV/0!</v>
      </c>
      <c r="M135" s="70"/>
      <c r="N135" s="42"/>
      <c r="O135" s="42"/>
    </row>
    <row r="136" spans="2:15" s="41" customFormat="1" ht="20.25" x14ac:dyDescent="0.25">
      <c r="B136" s="47">
        <v>123</v>
      </c>
      <c r="C136" s="36"/>
      <c r="D136" s="36"/>
      <c r="E136" s="48"/>
      <c r="F136" s="48" t="s">
        <v>127</v>
      </c>
      <c r="G136" s="49"/>
      <c r="H136" s="50">
        <f>[1]NERACA!M2010</f>
        <v>0</v>
      </c>
      <c r="I136" s="51">
        <f>[1]NERACA!H2010</f>
        <v>0</v>
      </c>
      <c r="J136" s="40"/>
      <c r="K136" s="40">
        <f t="shared" si="2"/>
        <v>0</v>
      </c>
      <c r="L136" s="46" t="e">
        <f t="shared" si="3"/>
        <v>#DIV/0!</v>
      </c>
      <c r="M136" s="70"/>
      <c r="N136" s="42"/>
      <c r="O136" s="42"/>
    </row>
    <row r="137" spans="2:15" s="41" customFormat="1" ht="20.25" x14ac:dyDescent="0.25">
      <c r="B137" s="47">
        <v>124</v>
      </c>
      <c r="C137" s="36"/>
      <c r="D137" s="36"/>
      <c r="E137" s="48"/>
      <c r="F137" s="48" t="s">
        <v>128</v>
      </c>
      <c r="G137" s="49"/>
      <c r="H137" s="50">
        <f>[1]NERACA!M2036</f>
        <v>0</v>
      </c>
      <c r="I137" s="51">
        <f>[1]NERACA!H2036</f>
        <v>0</v>
      </c>
      <c r="J137" s="40"/>
      <c r="K137" s="40">
        <f t="shared" si="2"/>
        <v>0</v>
      </c>
      <c r="L137" s="46" t="e">
        <f t="shared" si="3"/>
        <v>#DIV/0!</v>
      </c>
      <c r="M137" s="70"/>
      <c r="N137" s="42"/>
      <c r="O137" s="42"/>
    </row>
    <row r="138" spans="2:15" s="41" customFormat="1" ht="20.25" x14ac:dyDescent="0.25">
      <c r="B138" s="47">
        <v>125</v>
      </c>
      <c r="C138" s="36"/>
      <c r="D138" s="36"/>
      <c r="E138" s="48"/>
      <c r="F138" s="48" t="s">
        <v>129</v>
      </c>
      <c r="G138" s="49"/>
      <c r="H138" s="50">
        <f>[1]NERACA!M2042</f>
        <v>0</v>
      </c>
      <c r="I138" s="51">
        <f>[1]NERACA!H2042</f>
        <v>0</v>
      </c>
      <c r="J138" s="40"/>
      <c r="K138" s="40">
        <f t="shared" si="2"/>
        <v>0</v>
      </c>
      <c r="L138" s="46" t="e">
        <f t="shared" si="3"/>
        <v>#DIV/0!</v>
      </c>
      <c r="M138" s="70"/>
      <c r="N138" s="42"/>
      <c r="O138" s="42"/>
    </row>
    <row r="139" spans="2:15" s="41" customFormat="1" ht="20.25" x14ac:dyDescent="0.25">
      <c r="B139" s="47">
        <v>126</v>
      </c>
      <c r="C139" s="36"/>
      <c r="D139" s="36"/>
      <c r="E139" s="48"/>
      <c r="F139" s="48" t="s">
        <v>130</v>
      </c>
      <c r="G139" s="49"/>
      <c r="H139" s="50">
        <f>[1]NERACA!M2071</f>
        <v>0</v>
      </c>
      <c r="I139" s="51">
        <f>[1]NERACA!H2071</f>
        <v>0</v>
      </c>
      <c r="J139" s="40"/>
      <c r="K139" s="40">
        <f t="shared" si="2"/>
        <v>0</v>
      </c>
      <c r="L139" s="46" t="e">
        <f t="shared" si="3"/>
        <v>#DIV/0!</v>
      </c>
      <c r="M139" s="70"/>
      <c r="N139" s="42"/>
      <c r="O139" s="42"/>
    </row>
    <row r="140" spans="2:15" s="41" customFormat="1" ht="20.25" x14ac:dyDescent="0.25">
      <c r="B140" s="47">
        <v>127</v>
      </c>
      <c r="C140" s="36"/>
      <c r="D140" s="36"/>
      <c r="E140" s="48"/>
      <c r="F140" s="48" t="s">
        <v>131</v>
      </c>
      <c r="G140" s="49"/>
      <c r="H140" s="50">
        <f>[1]NERACA!M2088</f>
        <v>694752000</v>
      </c>
      <c r="I140" s="51">
        <f>[1]NERACA!H2088</f>
        <v>694752000</v>
      </c>
      <c r="J140" s="40"/>
      <c r="K140" s="40">
        <f t="shared" si="2"/>
        <v>0</v>
      </c>
      <c r="L140" s="46">
        <f t="shared" si="3"/>
        <v>0</v>
      </c>
      <c r="M140" s="70"/>
      <c r="N140" s="42"/>
      <c r="O140" s="42"/>
    </row>
    <row r="141" spans="2:15" s="41" customFormat="1" ht="20.25" x14ac:dyDescent="0.25">
      <c r="B141" s="29">
        <v>128</v>
      </c>
      <c r="C141" s="36"/>
      <c r="D141" s="36"/>
      <c r="E141" s="36" t="s">
        <v>132</v>
      </c>
      <c r="F141" s="36"/>
      <c r="G141" s="55"/>
      <c r="H141" s="44">
        <f>SUM(H142:H145)</f>
        <v>241207363577</v>
      </c>
      <c r="I141" s="45">
        <f>SUM(I142:I145)</f>
        <v>241956926577</v>
      </c>
      <c r="J141" s="40"/>
      <c r="K141" s="40">
        <f t="shared" si="2"/>
        <v>-749563000</v>
      </c>
      <c r="L141" s="46">
        <f t="shared" si="3"/>
        <v>-0.30979191652174515</v>
      </c>
      <c r="M141" s="70"/>
      <c r="N141" s="42"/>
      <c r="O141" s="42"/>
    </row>
    <row r="142" spans="2:15" s="41" customFormat="1" ht="20.25" x14ac:dyDescent="0.25">
      <c r="B142" s="47">
        <v>129</v>
      </c>
      <c r="C142" s="36"/>
      <c r="D142" s="36"/>
      <c r="E142" s="48"/>
      <c r="F142" s="48" t="s">
        <v>133</v>
      </c>
      <c r="G142" s="49"/>
      <c r="H142" s="50">
        <f>[1]NERACA!M2098</f>
        <v>239380152167</v>
      </c>
      <c r="I142" s="51">
        <f>[1]NERACA!H2098</f>
        <v>240129715167</v>
      </c>
      <c r="J142" s="40"/>
      <c r="K142" s="40">
        <f t="shared" si="2"/>
        <v>-749563000</v>
      </c>
      <c r="L142" s="46">
        <f t="shared" si="3"/>
        <v>-0.31214920630656262</v>
      </c>
      <c r="M142" s="70"/>
      <c r="N142" s="42"/>
      <c r="O142" s="42"/>
    </row>
    <row r="143" spans="2:15" s="41" customFormat="1" ht="20.25" x14ac:dyDescent="0.25">
      <c r="B143" s="47">
        <v>130</v>
      </c>
      <c r="C143" s="36"/>
      <c r="D143" s="36"/>
      <c r="E143" s="48"/>
      <c r="F143" s="48" t="s">
        <v>134</v>
      </c>
      <c r="G143" s="49"/>
      <c r="H143" s="50">
        <f>[1]NERACA!M2152</f>
        <v>0</v>
      </c>
      <c r="I143" s="51">
        <f>[1]NERACA!H2152</f>
        <v>0</v>
      </c>
      <c r="J143" s="40"/>
      <c r="K143" s="40">
        <f t="shared" si="2"/>
        <v>0</v>
      </c>
      <c r="L143" s="46" t="e">
        <f t="shared" si="3"/>
        <v>#DIV/0!</v>
      </c>
      <c r="M143" s="70"/>
      <c r="N143" s="42"/>
      <c r="O143" s="42"/>
    </row>
    <row r="144" spans="2:15" s="41" customFormat="1" ht="20.25" x14ac:dyDescent="0.25">
      <c r="B144" s="47">
        <v>131</v>
      </c>
      <c r="C144" s="36"/>
      <c r="D144" s="36"/>
      <c r="E144" s="48"/>
      <c r="F144" s="48" t="s">
        <v>135</v>
      </c>
      <c r="G144" s="49"/>
      <c r="H144" s="50">
        <f>[1]NERACA!M2159</f>
        <v>34500000</v>
      </c>
      <c r="I144" s="51">
        <f>[1]NERACA!H2159</f>
        <v>34500000</v>
      </c>
      <c r="J144" s="40"/>
      <c r="K144" s="40">
        <f t="shared" si="2"/>
        <v>0</v>
      </c>
      <c r="L144" s="46">
        <f t="shared" si="3"/>
        <v>0</v>
      </c>
      <c r="M144" s="70"/>
      <c r="N144" s="42"/>
      <c r="O144" s="42"/>
    </row>
    <row r="145" spans="2:15" s="41" customFormat="1" ht="20.25" x14ac:dyDescent="0.25">
      <c r="B145" s="47">
        <v>132</v>
      </c>
      <c r="C145" s="36"/>
      <c r="D145" s="36"/>
      <c r="E145" s="48"/>
      <c r="F145" s="48" t="s">
        <v>136</v>
      </c>
      <c r="G145" s="49"/>
      <c r="H145" s="50">
        <f>[1]NERACA!M2167</f>
        <v>1792711410</v>
      </c>
      <c r="I145" s="51">
        <f>[1]NERACA!H2167</f>
        <v>1792711410</v>
      </c>
      <c r="J145" s="40"/>
      <c r="K145" s="40">
        <f t="shared" si="2"/>
        <v>0</v>
      </c>
      <c r="L145" s="46">
        <f t="shared" si="3"/>
        <v>0</v>
      </c>
      <c r="M145" s="70"/>
      <c r="N145" s="42"/>
      <c r="O145" s="42"/>
    </row>
    <row r="146" spans="2:15" s="41" customFormat="1" ht="20.25" x14ac:dyDescent="0.25">
      <c r="B146" s="29">
        <v>133</v>
      </c>
      <c r="C146" s="36"/>
      <c r="D146" s="36"/>
      <c r="E146" s="36" t="s">
        <v>137</v>
      </c>
      <c r="F146" s="36"/>
      <c r="G146" s="55"/>
      <c r="H146" s="44">
        <f>SUM(H147:H150)</f>
        <v>417436880</v>
      </c>
      <c r="I146" s="45">
        <f>SUM(I147:I150)</f>
        <v>417436880</v>
      </c>
      <c r="J146" s="40"/>
      <c r="K146" s="40">
        <f t="shared" si="2"/>
        <v>0</v>
      </c>
      <c r="L146" s="46">
        <f t="shared" si="3"/>
        <v>0</v>
      </c>
      <c r="M146" s="70"/>
      <c r="N146" s="42"/>
      <c r="O146" s="42"/>
    </row>
    <row r="147" spans="2:15" s="41" customFormat="1" ht="20.25" x14ac:dyDescent="0.25">
      <c r="B147" s="47">
        <v>134</v>
      </c>
      <c r="C147" s="36"/>
      <c r="D147" s="36"/>
      <c r="E147" s="48"/>
      <c r="F147" s="48" t="s">
        <v>138</v>
      </c>
      <c r="G147" s="49"/>
      <c r="H147" s="50">
        <f>[1]NERACA!M2176</f>
        <v>0</v>
      </c>
      <c r="I147" s="51">
        <f>[1]NERACA!H2176</f>
        <v>0</v>
      </c>
      <c r="J147" s="40"/>
      <c r="K147" s="40">
        <f t="shared" si="2"/>
        <v>0</v>
      </c>
      <c r="L147" s="46" t="e">
        <f t="shared" si="3"/>
        <v>#DIV/0!</v>
      </c>
      <c r="M147" s="70"/>
      <c r="N147" s="42"/>
      <c r="O147" s="42"/>
    </row>
    <row r="148" spans="2:15" s="41" customFormat="1" ht="20.25" x14ac:dyDescent="0.25">
      <c r="B148" s="47">
        <v>135</v>
      </c>
      <c r="C148" s="36"/>
      <c r="D148" s="36"/>
      <c r="E148" s="48"/>
      <c r="F148" s="48" t="s">
        <v>139</v>
      </c>
      <c r="G148" s="49"/>
      <c r="H148" s="50">
        <f>[1]NERACA!M2203</f>
        <v>184250000</v>
      </c>
      <c r="I148" s="51">
        <f>[1]NERACA!H2203</f>
        <v>184250000</v>
      </c>
      <c r="J148" s="40"/>
      <c r="K148" s="40">
        <f t="shared" si="2"/>
        <v>0</v>
      </c>
      <c r="L148" s="46">
        <f t="shared" si="3"/>
        <v>0</v>
      </c>
      <c r="M148" s="70"/>
      <c r="N148" s="42"/>
      <c r="O148" s="42"/>
    </row>
    <row r="149" spans="2:15" s="41" customFormat="1" ht="20.25" x14ac:dyDescent="0.25">
      <c r="B149" s="47">
        <v>136</v>
      </c>
      <c r="C149" s="36"/>
      <c r="D149" s="36"/>
      <c r="E149" s="48"/>
      <c r="F149" s="48" t="s">
        <v>140</v>
      </c>
      <c r="G149" s="49"/>
      <c r="H149" s="50">
        <f>[1]NERACA!M2263</f>
        <v>233186880</v>
      </c>
      <c r="I149" s="51">
        <f>[1]NERACA!H2263</f>
        <v>233186880</v>
      </c>
      <c r="J149" s="40"/>
      <c r="K149" s="40">
        <f t="shared" si="2"/>
        <v>0</v>
      </c>
      <c r="L149" s="46">
        <f t="shared" si="3"/>
        <v>0</v>
      </c>
      <c r="M149" s="70"/>
      <c r="N149" s="42"/>
      <c r="O149" s="42"/>
    </row>
    <row r="150" spans="2:15" s="41" customFormat="1" ht="20.25" x14ac:dyDescent="0.25">
      <c r="B150" s="47">
        <v>137</v>
      </c>
      <c r="C150" s="36"/>
      <c r="D150" s="36"/>
      <c r="E150" s="48"/>
      <c r="F150" s="48" t="s">
        <v>141</v>
      </c>
      <c r="G150" s="49"/>
      <c r="H150" s="50">
        <f>[1]NERACA!M2319</f>
        <v>0</v>
      </c>
      <c r="I150" s="51">
        <f>[1]NERACA!H2319</f>
        <v>0</v>
      </c>
      <c r="J150" s="40"/>
      <c r="K150" s="40">
        <f t="shared" si="2"/>
        <v>0</v>
      </c>
      <c r="L150" s="46" t="e">
        <f t="shared" si="3"/>
        <v>#DIV/0!</v>
      </c>
      <c r="M150" s="70"/>
      <c r="N150" s="42"/>
      <c r="O150" s="42"/>
    </row>
    <row r="151" spans="2:15" s="41" customFormat="1" ht="20.25" x14ac:dyDescent="0.25">
      <c r="B151" s="29">
        <v>138</v>
      </c>
      <c r="C151" s="36"/>
      <c r="D151" s="36"/>
      <c r="E151" s="36" t="s">
        <v>142</v>
      </c>
      <c r="F151" s="36"/>
      <c r="G151" s="55"/>
      <c r="H151" s="44">
        <f>SUM(H152:H158)</f>
        <v>472274000</v>
      </c>
      <c r="I151" s="45">
        <f>SUM(I152:I158)</f>
        <v>474379000</v>
      </c>
      <c r="J151" s="40"/>
      <c r="K151" s="40">
        <f t="shared" si="2"/>
        <v>-2105000</v>
      </c>
      <c r="L151" s="46">
        <f t="shared" si="3"/>
        <v>-0.44373802381639993</v>
      </c>
      <c r="M151" s="70"/>
      <c r="N151" s="42"/>
      <c r="O151" s="42"/>
    </row>
    <row r="152" spans="2:15" s="41" customFormat="1" ht="20.25" x14ac:dyDescent="0.25">
      <c r="B152" s="47">
        <v>139</v>
      </c>
      <c r="C152" s="36"/>
      <c r="D152" s="36"/>
      <c r="E152" s="48"/>
      <c r="F152" s="48" t="s">
        <v>143</v>
      </c>
      <c r="G152" s="49"/>
      <c r="H152" s="50">
        <f>[1]NERACA!M2344</f>
        <v>53884000</v>
      </c>
      <c r="I152" s="51">
        <f>[1]NERACA!H2344</f>
        <v>55984000</v>
      </c>
      <c r="J152" s="40"/>
      <c r="K152" s="40">
        <f t="shared" si="2"/>
        <v>-2100000</v>
      </c>
      <c r="L152" s="46">
        <f t="shared" si="3"/>
        <v>-3.751071734781366</v>
      </c>
      <c r="M152" s="70"/>
      <c r="N152" s="42"/>
      <c r="O152" s="42"/>
    </row>
    <row r="153" spans="2:15" s="41" customFormat="1" ht="20.25" x14ac:dyDescent="0.25">
      <c r="B153" s="47">
        <v>140</v>
      </c>
      <c r="C153" s="36"/>
      <c r="D153" s="36"/>
      <c r="E153" s="48"/>
      <c r="F153" s="48" t="s">
        <v>144</v>
      </c>
      <c r="G153" s="49"/>
      <c r="H153" s="50">
        <f>[1]NERACA!M2380</f>
        <v>418390000</v>
      </c>
      <c r="I153" s="51">
        <f>[1]NERACA!H2380</f>
        <v>418395000</v>
      </c>
      <c r="J153" s="40"/>
      <c r="K153" s="40">
        <f t="shared" si="2"/>
        <v>-5000</v>
      </c>
      <c r="L153" s="46">
        <f t="shared" si="3"/>
        <v>-1.1950429617944764E-3</v>
      </c>
      <c r="M153" s="70"/>
      <c r="N153" s="42"/>
      <c r="O153" s="42"/>
    </row>
    <row r="154" spans="2:15" s="41" customFormat="1" ht="20.25" x14ac:dyDescent="0.25">
      <c r="B154" s="47">
        <v>141</v>
      </c>
      <c r="C154" s="36"/>
      <c r="D154" s="36"/>
      <c r="E154" s="48"/>
      <c r="F154" s="48" t="s">
        <v>145</v>
      </c>
      <c r="G154" s="49"/>
      <c r="H154" s="50">
        <f>[1]NERACA!M2395</f>
        <v>0</v>
      </c>
      <c r="I154" s="51">
        <f>[1]NERACA!H2395</f>
        <v>0</v>
      </c>
      <c r="J154" s="40"/>
      <c r="K154" s="40">
        <f t="shared" si="2"/>
        <v>0</v>
      </c>
      <c r="L154" s="46" t="e">
        <f t="shared" si="3"/>
        <v>#DIV/0!</v>
      </c>
      <c r="M154" s="70"/>
      <c r="N154" s="42"/>
      <c r="O154" s="42"/>
    </row>
    <row r="155" spans="2:15" s="41" customFormat="1" ht="20.25" x14ac:dyDescent="0.25">
      <c r="B155" s="47">
        <v>142</v>
      </c>
      <c r="C155" s="36"/>
      <c r="D155" s="36"/>
      <c r="E155" s="48"/>
      <c r="F155" s="48" t="s">
        <v>146</v>
      </c>
      <c r="G155" s="49"/>
      <c r="H155" s="50">
        <f>[1]NERACA!M2409</f>
        <v>0</v>
      </c>
      <c r="I155" s="51">
        <f>[1]NERACA!H2409</f>
        <v>0</v>
      </c>
      <c r="J155" s="40"/>
      <c r="K155" s="40">
        <f t="shared" si="2"/>
        <v>0</v>
      </c>
      <c r="L155" s="46" t="e">
        <f t="shared" si="3"/>
        <v>#DIV/0!</v>
      </c>
      <c r="M155" s="70"/>
      <c r="N155" s="42"/>
      <c r="O155" s="42"/>
    </row>
    <row r="156" spans="2:15" s="41" customFormat="1" ht="20.25" x14ac:dyDescent="0.25">
      <c r="B156" s="47">
        <v>143</v>
      </c>
      <c r="C156" s="36"/>
      <c r="D156" s="36"/>
      <c r="E156" s="48"/>
      <c r="F156" s="48" t="s">
        <v>147</v>
      </c>
      <c r="G156" s="49"/>
      <c r="H156" s="50">
        <f>[1]NERACA!M2431</f>
        <v>0</v>
      </c>
      <c r="I156" s="51">
        <f>[1]NERACA!H2431</f>
        <v>0</v>
      </c>
      <c r="J156" s="40"/>
      <c r="K156" s="40">
        <f t="shared" ref="K156:K237" si="5">+H156-I156</f>
        <v>0</v>
      </c>
      <c r="L156" s="46" t="e">
        <f t="shared" ref="L156:L240" si="6">+K156/I156*100</f>
        <v>#DIV/0!</v>
      </c>
      <c r="M156" s="70"/>
      <c r="N156" s="42"/>
      <c r="O156" s="42"/>
    </row>
    <row r="157" spans="2:15" s="41" customFormat="1" ht="20.25" x14ac:dyDescent="0.25">
      <c r="B157" s="47">
        <v>144</v>
      </c>
      <c r="C157" s="36"/>
      <c r="D157" s="36"/>
      <c r="E157" s="48"/>
      <c r="F157" s="48" t="s">
        <v>148</v>
      </c>
      <c r="G157" s="49"/>
      <c r="H157" s="50">
        <f>[1]NERACA!M2435</f>
        <v>0</v>
      </c>
      <c r="I157" s="51">
        <f>[1]NERACA!H2435</f>
        <v>0</v>
      </c>
      <c r="J157" s="40"/>
      <c r="K157" s="40">
        <f t="shared" si="5"/>
        <v>0</v>
      </c>
      <c r="L157" s="46" t="e">
        <f t="shared" si="6"/>
        <v>#DIV/0!</v>
      </c>
      <c r="M157" s="70"/>
      <c r="N157" s="42"/>
      <c r="O157" s="42"/>
    </row>
    <row r="158" spans="2:15" s="41" customFormat="1" ht="20.25" x14ac:dyDescent="0.25">
      <c r="B158" s="47">
        <v>145</v>
      </c>
      <c r="C158" s="36"/>
      <c r="D158" s="36"/>
      <c r="E158" s="48"/>
      <c r="F158" s="48" t="s">
        <v>149</v>
      </c>
      <c r="G158" s="49"/>
      <c r="H158" s="50">
        <f>[1]NERACA!M2445</f>
        <v>0</v>
      </c>
      <c r="I158" s="51">
        <f>[1]NERACA!H2445</f>
        <v>0</v>
      </c>
      <c r="J158" s="40"/>
      <c r="K158" s="40">
        <f t="shared" si="5"/>
        <v>0</v>
      </c>
      <c r="L158" s="46" t="e">
        <f t="shared" si="6"/>
        <v>#DIV/0!</v>
      </c>
      <c r="M158" s="70"/>
      <c r="N158" s="42"/>
      <c r="O158" s="42"/>
    </row>
    <row r="159" spans="2:15" s="41" customFormat="1" ht="20.25" x14ac:dyDescent="0.25">
      <c r="B159" s="29">
        <v>146</v>
      </c>
      <c r="C159" s="36"/>
      <c r="D159" s="36"/>
      <c r="E159" s="36" t="s">
        <v>150</v>
      </c>
      <c r="F159" s="36"/>
      <c r="G159" s="55"/>
      <c r="H159" s="44">
        <f>SUM(H160)</f>
        <v>0</v>
      </c>
      <c r="I159" s="45">
        <f>SUM(I160)</f>
        <v>0</v>
      </c>
      <c r="J159" s="40"/>
      <c r="K159" s="40">
        <f t="shared" si="5"/>
        <v>0</v>
      </c>
      <c r="L159" s="46" t="e">
        <f t="shared" si="6"/>
        <v>#DIV/0!</v>
      </c>
      <c r="M159" s="70"/>
      <c r="N159" s="42"/>
      <c r="O159" s="42"/>
    </row>
    <row r="160" spans="2:15" s="41" customFormat="1" ht="20.25" x14ac:dyDescent="0.25">
      <c r="B160" s="47">
        <v>147</v>
      </c>
      <c r="C160" s="36"/>
      <c r="D160" s="36"/>
      <c r="E160" s="48"/>
      <c r="F160" s="48" t="s">
        <v>150</v>
      </c>
      <c r="G160" s="49"/>
      <c r="H160" s="50">
        <f>[1]NERACA!M2450</f>
        <v>0</v>
      </c>
      <c r="I160" s="51">
        <f>[1]NERACA!H2450</f>
        <v>0</v>
      </c>
      <c r="J160" s="40"/>
      <c r="K160" s="40">
        <f t="shared" si="5"/>
        <v>0</v>
      </c>
      <c r="L160" s="46" t="e">
        <f t="shared" si="6"/>
        <v>#DIV/0!</v>
      </c>
      <c r="M160" s="70"/>
      <c r="N160" s="42"/>
      <c r="O160" s="42"/>
    </row>
    <row r="161" spans="2:15" s="41" customFormat="1" ht="20.25" x14ac:dyDescent="0.25">
      <c r="B161" s="29">
        <v>148</v>
      </c>
      <c r="C161" s="36"/>
      <c r="D161" s="36"/>
      <c r="E161" s="36" t="s">
        <v>151</v>
      </c>
      <c r="F161" s="36"/>
      <c r="G161" s="55"/>
      <c r="H161" s="44">
        <f>SUM(H162:H165)</f>
        <v>-223372269963.76996</v>
      </c>
      <c r="I161" s="45">
        <f>SUM(I162:I165)</f>
        <v>-209918482749.08997</v>
      </c>
      <c r="J161" s="60"/>
      <c r="K161" s="40">
        <f t="shared" si="5"/>
        <v>-13453787214.679993</v>
      </c>
      <c r="L161" s="46">
        <f t="shared" si="6"/>
        <v>6.4090531898331946</v>
      </c>
      <c r="M161" s="70"/>
      <c r="N161" s="42"/>
      <c r="O161" s="42"/>
    </row>
    <row r="162" spans="2:15" s="41" customFormat="1" ht="20.25" x14ac:dyDescent="0.25">
      <c r="B162" s="47">
        <v>149</v>
      </c>
      <c r="C162" s="71"/>
      <c r="D162" s="71"/>
      <c r="E162" s="72"/>
      <c r="F162" s="72" t="s">
        <v>152</v>
      </c>
      <c r="G162" s="73"/>
      <c r="H162" s="74">
        <f>[1]NERACA!M2455</f>
        <v>-155357482714.07999</v>
      </c>
      <c r="I162" s="75">
        <f>[1]NERACA!H2455</f>
        <v>-146248911644.72998</v>
      </c>
      <c r="J162" s="60"/>
      <c r="K162" s="40">
        <f t="shared" si="5"/>
        <v>-9108571069.3500061</v>
      </c>
      <c r="L162" s="46">
        <f t="shared" si="6"/>
        <v>6.2281291306130759</v>
      </c>
      <c r="M162" s="70"/>
      <c r="N162" s="42"/>
      <c r="O162" s="42"/>
    </row>
    <row r="163" spans="2:15" s="41" customFormat="1" ht="20.25" x14ac:dyDescent="0.25">
      <c r="B163" s="47">
        <v>150</v>
      </c>
      <c r="C163" s="71"/>
      <c r="D163" s="71"/>
      <c r="E163" s="72"/>
      <c r="F163" s="72" t="s">
        <v>153</v>
      </c>
      <c r="G163" s="73"/>
      <c r="H163" s="74">
        <f>[1]NERACA!M2987</f>
        <v>-67915854823.159981</v>
      </c>
      <c r="I163" s="75">
        <f>[1]NERACA!H2987</f>
        <v>-63583178684.360001</v>
      </c>
      <c r="J163" s="60"/>
      <c r="K163" s="40">
        <f t="shared" si="5"/>
        <v>-4332676138.7999802</v>
      </c>
      <c r="L163" s="46">
        <f t="shared" si="6"/>
        <v>6.8141861235159018</v>
      </c>
      <c r="M163" s="70"/>
      <c r="N163" s="42"/>
      <c r="O163" s="42"/>
    </row>
    <row r="164" spans="2:15" s="41" customFormat="1" ht="20.25" x14ac:dyDescent="0.25">
      <c r="B164" s="47">
        <v>151</v>
      </c>
      <c r="C164" s="71"/>
      <c r="D164" s="71"/>
      <c r="E164" s="72"/>
      <c r="F164" s="72" t="s">
        <v>154</v>
      </c>
      <c r="G164" s="73"/>
      <c r="H164" s="74">
        <f>[1]NERACA!M3057</f>
        <v>-98932426.530000001</v>
      </c>
      <c r="I164" s="75">
        <f>[1]NERACA!H3057</f>
        <v>-86392420</v>
      </c>
      <c r="J164" s="60"/>
      <c r="K164" s="40">
        <f t="shared" si="5"/>
        <v>-12540006.530000001</v>
      </c>
      <c r="L164" s="46">
        <f t="shared" si="6"/>
        <v>14.515169884117149</v>
      </c>
      <c r="M164" s="70"/>
      <c r="N164" s="42"/>
      <c r="O164" s="42"/>
    </row>
    <row r="165" spans="2:15" s="41" customFormat="1" ht="20.25" x14ac:dyDescent="0.25">
      <c r="B165" s="47">
        <v>152</v>
      </c>
      <c r="C165" s="71"/>
      <c r="D165" s="71"/>
      <c r="E165" s="72"/>
      <c r="F165" s="72" t="s">
        <v>155</v>
      </c>
      <c r="G165" s="73"/>
      <c r="H165" s="74">
        <f>[1]NERACA!M3199</f>
        <v>0</v>
      </c>
      <c r="I165" s="75">
        <f>[1]NERACA!H3199</f>
        <v>0</v>
      </c>
      <c r="J165" s="60"/>
      <c r="K165" s="40">
        <f t="shared" si="5"/>
        <v>0</v>
      </c>
      <c r="L165" s="46" t="e">
        <f t="shared" si="6"/>
        <v>#DIV/0!</v>
      </c>
      <c r="M165" s="70"/>
      <c r="N165" s="42"/>
      <c r="O165" s="42"/>
    </row>
    <row r="166" spans="2:15" s="34" customFormat="1" ht="20.25" x14ac:dyDescent="0.25">
      <c r="B166" s="29">
        <v>153</v>
      </c>
      <c r="C166" s="76"/>
      <c r="D166" s="76"/>
      <c r="E166" s="76"/>
      <c r="F166" s="76" t="s">
        <v>156</v>
      </c>
      <c r="G166" s="77"/>
      <c r="H166" s="78">
        <f>+H161+H159+H151+H146+H141+H121+H119</f>
        <v>303624829177.23004</v>
      </c>
      <c r="I166" s="45">
        <f>+I161+I159+I151+I146+I141+I121+I119</f>
        <v>318081256610.91003</v>
      </c>
      <c r="J166" s="79"/>
      <c r="K166" s="40">
        <f t="shared" si="5"/>
        <v>-14456427433.679993</v>
      </c>
      <c r="L166" s="46">
        <f t="shared" si="6"/>
        <v>-4.5448850358899593</v>
      </c>
      <c r="N166" s="35"/>
      <c r="O166" s="35"/>
    </row>
    <row r="167" spans="2:15" s="41" customFormat="1" ht="20.25" x14ac:dyDescent="0.25">
      <c r="B167" s="47">
        <v>154</v>
      </c>
      <c r="C167" s="71"/>
      <c r="D167" s="71"/>
      <c r="E167" s="71"/>
      <c r="F167" s="80"/>
      <c r="G167" s="77"/>
      <c r="H167" s="78"/>
      <c r="I167" s="81"/>
      <c r="J167" s="40"/>
      <c r="K167" s="40"/>
      <c r="L167" s="46"/>
      <c r="N167" s="42"/>
      <c r="O167" s="42"/>
    </row>
    <row r="168" spans="2:15" s="41" customFormat="1" ht="20.25" x14ac:dyDescent="0.25">
      <c r="B168" s="29">
        <v>155</v>
      </c>
      <c r="C168" s="36"/>
      <c r="D168" s="36" t="s">
        <v>157</v>
      </c>
      <c r="E168" s="36"/>
      <c r="F168" s="36"/>
      <c r="G168" s="37"/>
      <c r="H168" s="44"/>
      <c r="I168" s="45"/>
      <c r="K168" s="40"/>
      <c r="L168" s="46"/>
      <c r="N168" s="42"/>
      <c r="O168" s="42"/>
    </row>
    <row r="169" spans="2:15" s="41" customFormat="1" ht="20.25" x14ac:dyDescent="0.25">
      <c r="B169" s="29">
        <v>156</v>
      </c>
      <c r="C169" s="36"/>
      <c r="D169" s="36"/>
      <c r="E169" s="36" t="s">
        <v>158</v>
      </c>
      <c r="F169" s="36"/>
      <c r="G169" s="55"/>
      <c r="H169" s="44">
        <f>+H170</f>
        <v>0</v>
      </c>
      <c r="I169" s="45">
        <f>'[2]NERACA ASET'!F955</f>
        <v>0</v>
      </c>
      <c r="J169" s="82"/>
      <c r="K169" s="40">
        <f t="shared" ref="K169:K170" si="7">+H169-I169</f>
        <v>0</v>
      </c>
      <c r="L169" s="46" t="e">
        <f t="shared" ref="L169:L170" si="8">+K169/I169*100</f>
        <v>#DIV/0!</v>
      </c>
      <c r="N169" s="42"/>
      <c r="O169" s="42"/>
    </row>
    <row r="170" spans="2:15" s="54" customFormat="1" ht="20.25" x14ac:dyDescent="0.25">
      <c r="B170" s="47">
        <v>157</v>
      </c>
      <c r="C170" s="48"/>
      <c r="D170" s="48"/>
      <c r="E170" s="48"/>
      <c r="F170" s="48" t="s">
        <v>158</v>
      </c>
      <c r="G170" s="49"/>
      <c r="H170" s="50">
        <f>[1]NERACA!M3208</f>
        <v>0</v>
      </c>
      <c r="I170" s="51">
        <f>[1]NERACA!H3208</f>
        <v>0</v>
      </c>
      <c r="J170" s="83"/>
      <c r="K170" s="40">
        <f t="shared" si="7"/>
        <v>0</v>
      </c>
      <c r="L170" s="46" t="e">
        <f t="shared" si="8"/>
        <v>#DIV/0!</v>
      </c>
      <c r="N170" s="53"/>
      <c r="O170" s="53"/>
    </row>
    <row r="171" spans="2:15" s="41" customFormat="1" ht="20.25" x14ac:dyDescent="0.25">
      <c r="B171" s="29">
        <v>158</v>
      </c>
      <c r="C171" s="36"/>
      <c r="D171" s="36"/>
      <c r="E171" s="36"/>
      <c r="F171" s="65" t="s">
        <v>159</v>
      </c>
      <c r="G171" s="37"/>
      <c r="H171" s="44">
        <f>SUM(H169)</f>
        <v>0</v>
      </c>
      <c r="I171" s="45">
        <f>SUM(I169)</f>
        <v>0</v>
      </c>
      <c r="J171" s="82"/>
      <c r="K171" s="40">
        <f t="shared" si="5"/>
        <v>0</v>
      </c>
      <c r="L171" s="46" t="e">
        <f t="shared" si="6"/>
        <v>#DIV/0!</v>
      </c>
      <c r="N171" s="42"/>
      <c r="O171" s="42"/>
    </row>
    <row r="172" spans="2:15" s="54" customFormat="1" ht="20.25" x14ac:dyDescent="0.25">
      <c r="B172" s="47">
        <v>159</v>
      </c>
      <c r="C172" s="84"/>
      <c r="D172" s="84"/>
      <c r="E172" s="84"/>
      <c r="F172" s="84"/>
      <c r="G172" s="85"/>
      <c r="H172" s="86"/>
      <c r="I172" s="51"/>
      <c r="K172" s="40"/>
      <c r="L172" s="46"/>
      <c r="N172" s="53"/>
      <c r="O172" s="53"/>
    </row>
    <row r="173" spans="2:15" s="41" customFormat="1" ht="20.25" x14ac:dyDescent="0.25">
      <c r="B173" s="29">
        <v>160</v>
      </c>
      <c r="C173" s="87"/>
      <c r="D173" s="87" t="s">
        <v>160</v>
      </c>
      <c r="E173" s="87"/>
      <c r="F173" s="87"/>
      <c r="G173" s="31"/>
      <c r="H173" s="88"/>
      <c r="I173" s="45"/>
      <c r="K173" s="40"/>
      <c r="L173" s="46"/>
      <c r="N173" s="42"/>
      <c r="O173" s="42"/>
    </row>
    <row r="174" spans="2:15" s="41" customFormat="1" ht="20.25" x14ac:dyDescent="0.25">
      <c r="B174" s="29">
        <v>161</v>
      </c>
      <c r="C174" s="87"/>
      <c r="D174" s="87"/>
      <c r="E174" s="87" t="s">
        <v>161</v>
      </c>
      <c r="F174" s="87"/>
      <c r="G174" s="31"/>
      <c r="H174" s="88">
        <f>SUM(H175:H176)</f>
        <v>0</v>
      </c>
      <c r="I174" s="45">
        <f>SUM(I175:I176)</f>
        <v>0</v>
      </c>
      <c r="K174" s="40">
        <f t="shared" si="5"/>
        <v>0</v>
      </c>
      <c r="L174" s="46" t="e">
        <f t="shared" si="6"/>
        <v>#DIV/0!</v>
      </c>
      <c r="N174" s="42"/>
      <c r="O174" s="42"/>
    </row>
    <row r="175" spans="2:15" s="93" customFormat="1" ht="20.25" x14ac:dyDescent="0.25">
      <c r="B175" s="47">
        <v>162</v>
      </c>
      <c r="C175" s="89"/>
      <c r="D175" s="89"/>
      <c r="E175" s="89"/>
      <c r="F175" s="89" t="s">
        <v>162</v>
      </c>
      <c r="G175" s="90"/>
      <c r="H175" s="91">
        <f>[1]NERACA!M3215</f>
        <v>0</v>
      </c>
      <c r="I175" s="92">
        <f>[1]NERACA!H3215</f>
        <v>0</v>
      </c>
      <c r="K175" s="40">
        <f t="shared" si="5"/>
        <v>0</v>
      </c>
      <c r="L175" s="46" t="e">
        <f t="shared" si="6"/>
        <v>#DIV/0!</v>
      </c>
      <c r="N175" s="94"/>
      <c r="O175" s="94"/>
    </row>
    <row r="176" spans="2:15" s="93" customFormat="1" ht="20.25" x14ac:dyDescent="0.25">
      <c r="B176" s="47">
        <v>163</v>
      </c>
      <c r="C176" s="89"/>
      <c r="D176" s="89"/>
      <c r="E176" s="89"/>
      <c r="F176" s="89" t="s">
        <v>163</v>
      </c>
      <c r="G176" s="90"/>
      <c r="H176" s="91">
        <f>[1]NERACA!M3221</f>
        <v>0</v>
      </c>
      <c r="I176" s="92">
        <f>[1]NERACA!H3221</f>
        <v>0</v>
      </c>
      <c r="K176" s="40">
        <f t="shared" si="5"/>
        <v>0</v>
      </c>
      <c r="L176" s="46" t="e">
        <f t="shared" si="6"/>
        <v>#DIV/0!</v>
      </c>
      <c r="N176" s="94"/>
      <c r="O176" s="94"/>
    </row>
    <row r="177" spans="2:15" s="41" customFormat="1" ht="20.25" x14ac:dyDescent="0.25">
      <c r="B177" s="29">
        <v>164</v>
      </c>
      <c r="C177" s="36"/>
      <c r="D177" s="36"/>
      <c r="E177" s="36" t="s">
        <v>164</v>
      </c>
      <c r="F177" s="36"/>
      <c r="G177" s="55"/>
      <c r="H177" s="44">
        <f>+H178</f>
        <v>38940000</v>
      </c>
      <c r="I177" s="45">
        <f>+I178</f>
        <v>2931597000</v>
      </c>
      <c r="J177" s="40"/>
      <c r="K177" s="40">
        <f t="shared" si="5"/>
        <v>-2892657000</v>
      </c>
      <c r="L177" s="46">
        <f t="shared" si="6"/>
        <v>-98.671713745102068</v>
      </c>
      <c r="N177" s="42"/>
      <c r="O177" s="42"/>
    </row>
    <row r="178" spans="2:15" s="41" customFormat="1" ht="20.25" x14ac:dyDescent="0.25">
      <c r="B178" s="47">
        <v>165</v>
      </c>
      <c r="C178" s="36"/>
      <c r="D178" s="36"/>
      <c r="E178" s="36"/>
      <c r="F178" s="48" t="s">
        <v>164</v>
      </c>
      <c r="G178" s="49"/>
      <c r="H178" s="50">
        <f>[1]NERACA!M3228</f>
        <v>38940000</v>
      </c>
      <c r="I178" s="51">
        <f>[1]NERACA!H3228</f>
        <v>2931597000</v>
      </c>
      <c r="J178" s="40"/>
      <c r="K178" s="40">
        <f t="shared" si="5"/>
        <v>-2892657000</v>
      </c>
      <c r="L178" s="46">
        <f t="shared" si="6"/>
        <v>-98.671713745102068</v>
      </c>
      <c r="N178" s="42"/>
      <c r="O178" s="42"/>
    </row>
    <row r="179" spans="2:15" s="41" customFormat="1" ht="20.25" x14ac:dyDescent="0.25">
      <c r="B179" s="29">
        <v>166</v>
      </c>
      <c r="C179" s="36"/>
      <c r="D179" s="36"/>
      <c r="E179" s="36" t="s">
        <v>165</v>
      </c>
      <c r="F179" s="36"/>
      <c r="G179" s="55"/>
      <c r="H179" s="44">
        <f>+H180</f>
        <v>599432000</v>
      </c>
      <c r="I179" s="45">
        <f>+I180</f>
        <v>501362000</v>
      </c>
      <c r="J179" s="40"/>
      <c r="K179" s="40">
        <f t="shared" si="5"/>
        <v>98070000</v>
      </c>
      <c r="L179" s="46">
        <f t="shared" si="6"/>
        <v>19.560716607959915</v>
      </c>
      <c r="N179" s="42"/>
      <c r="O179" s="42"/>
    </row>
    <row r="180" spans="2:15" s="54" customFormat="1" ht="20.25" x14ac:dyDescent="0.25">
      <c r="B180" s="47">
        <v>167</v>
      </c>
      <c r="C180" s="48"/>
      <c r="D180" s="48"/>
      <c r="E180" s="48"/>
      <c r="F180" s="48" t="s">
        <v>165</v>
      </c>
      <c r="G180" s="49"/>
      <c r="H180" s="50">
        <f>[1]NERACA!M3236</f>
        <v>599432000</v>
      </c>
      <c r="I180" s="51">
        <f>[1]NERACA!H3236</f>
        <v>501362000</v>
      </c>
      <c r="J180" s="52"/>
      <c r="K180" s="40">
        <f t="shared" si="5"/>
        <v>98070000</v>
      </c>
      <c r="L180" s="46">
        <f t="shared" si="6"/>
        <v>19.560716607959915</v>
      </c>
      <c r="N180" s="53"/>
      <c r="O180" s="53"/>
    </row>
    <row r="181" spans="2:15" s="41" customFormat="1" ht="20.25" x14ac:dyDescent="0.25">
      <c r="B181" s="29">
        <v>168</v>
      </c>
      <c r="C181" s="36"/>
      <c r="D181" s="36"/>
      <c r="E181" s="36" t="s">
        <v>166</v>
      </c>
      <c r="F181" s="36"/>
      <c r="G181" s="55"/>
      <c r="H181" s="44">
        <f>+H182</f>
        <v>11011193060</v>
      </c>
      <c r="I181" s="45">
        <f>+I182</f>
        <v>6553631591.0500002</v>
      </c>
      <c r="J181" s="40"/>
      <c r="K181" s="40">
        <f t="shared" si="5"/>
        <v>4457561468.9499998</v>
      </c>
      <c r="L181" s="46">
        <f t="shared" si="6"/>
        <v>68.016662319522055</v>
      </c>
      <c r="N181" s="42"/>
      <c r="O181" s="42"/>
    </row>
    <row r="182" spans="2:15" s="54" customFormat="1" ht="20.25" x14ac:dyDescent="0.25">
      <c r="B182" s="47">
        <v>169</v>
      </c>
      <c r="C182" s="48"/>
      <c r="D182" s="48"/>
      <c r="E182" s="48"/>
      <c r="F182" s="48" t="s">
        <v>167</v>
      </c>
      <c r="G182" s="49"/>
      <c r="H182" s="50">
        <f>[1]NERACA!M3249</f>
        <v>11011193060</v>
      </c>
      <c r="I182" s="51">
        <f>[1]NERACA!H3249</f>
        <v>6553631591.0500002</v>
      </c>
      <c r="J182" s="52"/>
      <c r="K182" s="40">
        <f t="shared" si="5"/>
        <v>4457561468.9499998</v>
      </c>
      <c r="L182" s="46">
        <f t="shared" si="6"/>
        <v>68.016662319522055</v>
      </c>
      <c r="N182" s="53"/>
      <c r="O182" s="53"/>
    </row>
    <row r="183" spans="2:15" s="41" customFormat="1" ht="20.25" x14ac:dyDescent="0.25">
      <c r="B183" s="29">
        <v>170</v>
      </c>
      <c r="C183" s="87"/>
      <c r="D183" s="87"/>
      <c r="E183" s="36" t="s">
        <v>168</v>
      </c>
      <c r="F183" s="87"/>
      <c r="G183" s="95"/>
      <c r="H183" s="88">
        <f>+H184</f>
        <v>-599432000</v>
      </c>
      <c r="I183" s="96">
        <f>+I184</f>
        <v>-461662000</v>
      </c>
      <c r="J183" s="40"/>
      <c r="K183" s="40">
        <f t="shared" si="5"/>
        <v>-137770000</v>
      </c>
      <c r="L183" s="46">
        <f t="shared" si="6"/>
        <v>29.842178910111727</v>
      </c>
      <c r="N183" s="42"/>
      <c r="O183" s="42"/>
    </row>
    <row r="184" spans="2:15" s="54" customFormat="1" ht="20.25" x14ac:dyDescent="0.25">
      <c r="B184" s="47">
        <v>171</v>
      </c>
      <c r="C184" s="97"/>
      <c r="D184" s="48"/>
      <c r="E184" s="48"/>
      <c r="F184" s="59" t="s">
        <v>168</v>
      </c>
      <c r="G184" s="49"/>
      <c r="H184" s="50">
        <f>[1]NERACA!M3258</f>
        <v>-599432000</v>
      </c>
      <c r="I184" s="51">
        <f>[1]NERACA!H3258</f>
        <v>-461662000</v>
      </c>
      <c r="J184" s="52"/>
      <c r="K184" s="40">
        <f t="shared" si="5"/>
        <v>-137770000</v>
      </c>
      <c r="L184" s="46">
        <f t="shared" si="6"/>
        <v>29.842178910111727</v>
      </c>
      <c r="N184" s="53"/>
      <c r="O184" s="53"/>
    </row>
    <row r="185" spans="2:15" s="105" customFormat="1" ht="20.25" x14ac:dyDescent="0.25">
      <c r="B185" s="29">
        <v>172</v>
      </c>
      <c r="C185" s="98"/>
      <c r="D185" s="99"/>
      <c r="E185" s="99" t="s">
        <v>169</v>
      </c>
      <c r="F185" s="100"/>
      <c r="G185" s="101"/>
      <c r="H185" s="102">
        <f>+H186</f>
        <v>-11020181329.92</v>
      </c>
      <c r="I185" s="103">
        <f>+I186</f>
        <v>-7865701538</v>
      </c>
      <c r="J185" s="104"/>
      <c r="K185" s="40">
        <f t="shared" si="5"/>
        <v>-3154479791.9200001</v>
      </c>
      <c r="L185" s="46">
        <f t="shared" si="6"/>
        <v>40.104239611436931</v>
      </c>
      <c r="N185" s="106"/>
      <c r="O185" s="106"/>
    </row>
    <row r="186" spans="2:15" s="54" customFormat="1" ht="20.25" x14ac:dyDescent="0.25">
      <c r="B186" s="47">
        <v>173</v>
      </c>
      <c r="C186" s="97"/>
      <c r="D186" s="48"/>
      <c r="E186" s="48"/>
      <c r="F186" s="48" t="s">
        <v>169</v>
      </c>
      <c r="G186" s="49"/>
      <c r="H186" s="50">
        <f>[1]NERACA!M3267</f>
        <v>-11020181329.92</v>
      </c>
      <c r="I186" s="51">
        <f>[1]NERACA!H3267</f>
        <v>-7865701538</v>
      </c>
      <c r="J186" s="52"/>
      <c r="K186" s="40">
        <f t="shared" si="5"/>
        <v>-3154479791.9200001</v>
      </c>
      <c r="L186" s="46">
        <f t="shared" si="6"/>
        <v>40.104239611436931</v>
      </c>
      <c r="N186" s="53"/>
      <c r="O186" s="53"/>
    </row>
    <row r="187" spans="2:15" s="41" customFormat="1" ht="20.25" x14ac:dyDescent="0.25">
      <c r="B187" s="29">
        <v>174</v>
      </c>
      <c r="C187" s="107"/>
      <c r="D187" s="36"/>
      <c r="E187" s="36"/>
      <c r="F187" s="65" t="s">
        <v>170</v>
      </c>
      <c r="G187" s="37"/>
      <c r="H187" s="44">
        <f>+H177+H179+H181+H174+H183+H185</f>
        <v>29951730.079999924</v>
      </c>
      <c r="I187" s="45">
        <f>+I177+I179+I181+I174+I183+I185</f>
        <v>1659227053.0499992</v>
      </c>
      <c r="J187" s="40"/>
      <c r="K187" s="40">
        <f t="shared" si="5"/>
        <v>-1629275322.9699993</v>
      </c>
      <c r="L187" s="46">
        <f t="shared" si="6"/>
        <v>-98.194838372184051</v>
      </c>
      <c r="N187" s="42"/>
      <c r="O187" s="42"/>
    </row>
    <row r="188" spans="2:15" s="41" customFormat="1" ht="20.25" x14ac:dyDescent="0.25">
      <c r="B188" s="47">
        <v>175</v>
      </c>
      <c r="C188" s="107"/>
      <c r="D188" s="36"/>
      <c r="E188" s="36"/>
      <c r="F188" s="36"/>
      <c r="G188" s="37"/>
      <c r="H188" s="44"/>
      <c r="I188" s="45"/>
      <c r="J188" s="40"/>
      <c r="K188" s="40"/>
      <c r="L188" s="46"/>
      <c r="N188" s="42"/>
      <c r="O188" s="42"/>
    </row>
    <row r="189" spans="2:15" s="41" customFormat="1" ht="20.25" x14ac:dyDescent="0.25">
      <c r="B189" s="29">
        <v>176</v>
      </c>
      <c r="C189" s="107"/>
      <c r="D189" s="36"/>
      <c r="E189" s="36"/>
      <c r="F189" s="65" t="s">
        <v>171</v>
      </c>
      <c r="G189" s="37"/>
      <c r="H189" s="44">
        <f>+H104+H116+H166+H171+H187</f>
        <v>1815364281898.8999</v>
      </c>
      <c r="I189" s="45">
        <f>+I104+I116+I166+I171+I187</f>
        <v>1986427010709.1799</v>
      </c>
      <c r="J189" s="40"/>
      <c r="K189" s="40">
        <f t="shared" si="5"/>
        <v>-171062728810.28003</v>
      </c>
      <c r="L189" s="46">
        <f t="shared" si="6"/>
        <v>-8.6115788744338726</v>
      </c>
      <c r="N189" s="42"/>
      <c r="O189" s="42"/>
    </row>
    <row r="190" spans="2:15" s="41" customFormat="1" ht="20.25" x14ac:dyDescent="0.25">
      <c r="B190" s="47">
        <v>177</v>
      </c>
      <c r="C190" s="87"/>
      <c r="D190" s="87"/>
      <c r="E190" s="87"/>
      <c r="F190" s="87"/>
      <c r="G190" s="31"/>
      <c r="H190" s="88"/>
      <c r="I190" s="96"/>
      <c r="K190" s="40"/>
      <c r="L190" s="46"/>
      <c r="N190" s="42"/>
      <c r="O190" s="42"/>
    </row>
    <row r="191" spans="2:15" s="41" customFormat="1" ht="20.25" x14ac:dyDescent="0.25">
      <c r="B191" s="29">
        <v>178</v>
      </c>
      <c r="C191" s="108" t="s">
        <v>172</v>
      </c>
      <c r="D191" s="87"/>
      <c r="E191" s="87"/>
      <c r="F191" s="87"/>
      <c r="G191" s="31"/>
      <c r="H191" s="88"/>
      <c r="I191" s="45"/>
      <c r="J191" s="40"/>
      <c r="K191" s="40"/>
      <c r="L191" s="46"/>
      <c r="N191" s="42"/>
      <c r="O191" s="42"/>
    </row>
    <row r="192" spans="2:15" s="41" customFormat="1" ht="20.25" x14ac:dyDescent="0.25">
      <c r="B192" s="29">
        <v>179</v>
      </c>
      <c r="C192" s="36"/>
      <c r="D192" s="36" t="s">
        <v>173</v>
      </c>
      <c r="E192" s="36"/>
      <c r="F192" s="36"/>
      <c r="G192" s="37"/>
      <c r="H192" s="44"/>
      <c r="I192" s="45"/>
      <c r="J192" s="109"/>
      <c r="K192" s="40"/>
      <c r="L192" s="46"/>
      <c r="N192" s="42"/>
      <c r="O192" s="42"/>
    </row>
    <row r="193" spans="2:15" s="41" customFormat="1" ht="20.25" x14ac:dyDescent="0.25">
      <c r="B193" s="29">
        <v>180</v>
      </c>
      <c r="C193" s="36"/>
      <c r="D193" s="36"/>
      <c r="E193" s="36" t="s">
        <v>174</v>
      </c>
      <c r="F193" s="36"/>
      <c r="G193" s="37"/>
      <c r="H193" s="44">
        <f>SUM(H194:H202)</f>
        <v>0</v>
      </c>
      <c r="I193" s="45">
        <f>SUM(I194:I202)</f>
        <v>0</v>
      </c>
      <c r="J193" s="109"/>
      <c r="K193" s="40">
        <f t="shared" si="5"/>
        <v>0</v>
      </c>
      <c r="L193" s="46" t="e">
        <f t="shared" si="6"/>
        <v>#DIV/0!</v>
      </c>
      <c r="N193" s="42"/>
      <c r="O193" s="42"/>
    </row>
    <row r="194" spans="2:15" s="41" customFormat="1" ht="20.25" x14ac:dyDescent="0.25">
      <c r="B194" s="47">
        <v>181</v>
      </c>
      <c r="C194" s="36"/>
      <c r="D194" s="36"/>
      <c r="E194" s="36"/>
      <c r="F194" s="48" t="s">
        <v>175</v>
      </c>
      <c r="G194" s="69"/>
      <c r="H194" s="50">
        <f>[1]NERACA!M3280</f>
        <v>0</v>
      </c>
      <c r="I194" s="51">
        <f>[1]NERACA!H3280</f>
        <v>0</v>
      </c>
      <c r="J194" s="109"/>
      <c r="K194" s="40">
        <f t="shared" si="5"/>
        <v>0</v>
      </c>
      <c r="L194" s="46" t="e">
        <f t="shared" si="6"/>
        <v>#DIV/0!</v>
      </c>
      <c r="N194" s="42"/>
      <c r="O194" s="42"/>
    </row>
    <row r="195" spans="2:15" s="41" customFormat="1" ht="20.25" x14ac:dyDescent="0.25">
      <c r="B195" s="47">
        <v>182</v>
      </c>
      <c r="C195" s="36"/>
      <c r="D195" s="36"/>
      <c r="E195" s="36"/>
      <c r="F195" s="48" t="s">
        <v>176</v>
      </c>
      <c r="G195" s="69"/>
      <c r="H195" s="50">
        <f>[1]NERACA!M3284</f>
        <v>0</v>
      </c>
      <c r="I195" s="51">
        <f>[1]NERACA!H3284</f>
        <v>0</v>
      </c>
      <c r="J195" s="109"/>
      <c r="K195" s="40">
        <f t="shared" si="5"/>
        <v>0</v>
      </c>
      <c r="L195" s="46" t="e">
        <f t="shared" si="6"/>
        <v>#DIV/0!</v>
      </c>
      <c r="N195" s="42"/>
      <c r="O195" s="42"/>
    </row>
    <row r="196" spans="2:15" s="41" customFormat="1" ht="20.25" x14ac:dyDescent="0.25">
      <c r="B196" s="47">
        <v>183</v>
      </c>
      <c r="C196" s="36"/>
      <c r="D196" s="36"/>
      <c r="E196" s="36"/>
      <c r="F196" s="48" t="s">
        <v>177</v>
      </c>
      <c r="G196" s="69"/>
      <c r="H196" s="50">
        <f>[1]NERACA!M3288</f>
        <v>0</v>
      </c>
      <c r="I196" s="51">
        <f>[1]NERACA!H3288</f>
        <v>0</v>
      </c>
      <c r="J196" s="109"/>
      <c r="K196" s="40">
        <f t="shared" si="5"/>
        <v>0</v>
      </c>
      <c r="L196" s="46" t="e">
        <f t="shared" si="6"/>
        <v>#DIV/0!</v>
      </c>
      <c r="N196" s="42"/>
      <c r="O196" s="42"/>
    </row>
    <row r="197" spans="2:15" s="41" customFormat="1" ht="20.25" x14ac:dyDescent="0.25">
      <c r="B197" s="47">
        <v>184</v>
      </c>
      <c r="C197" s="36"/>
      <c r="D197" s="36"/>
      <c r="E197" s="36"/>
      <c r="F197" s="48" t="s">
        <v>178</v>
      </c>
      <c r="G197" s="69"/>
      <c r="H197" s="50">
        <f>[1]NERACA!M3292</f>
        <v>0</v>
      </c>
      <c r="I197" s="51">
        <f>[1]NERACA!H3292</f>
        <v>0</v>
      </c>
      <c r="J197" s="109"/>
      <c r="K197" s="40">
        <f t="shared" si="5"/>
        <v>0</v>
      </c>
      <c r="L197" s="46" t="e">
        <f t="shared" si="6"/>
        <v>#DIV/0!</v>
      </c>
      <c r="N197" s="42"/>
      <c r="O197" s="42"/>
    </row>
    <row r="198" spans="2:15" s="41" customFormat="1" ht="20.25" x14ac:dyDescent="0.25">
      <c r="B198" s="47">
        <v>185</v>
      </c>
      <c r="C198" s="36"/>
      <c r="D198" s="36"/>
      <c r="E198" s="36"/>
      <c r="F198" s="48" t="s">
        <v>179</v>
      </c>
      <c r="G198" s="69"/>
      <c r="H198" s="50">
        <f>[1]NERACA!M3296</f>
        <v>0</v>
      </c>
      <c r="I198" s="51">
        <f>[1]NERACA!H3296</f>
        <v>0</v>
      </c>
      <c r="J198" s="109"/>
      <c r="K198" s="40">
        <f t="shared" si="5"/>
        <v>0</v>
      </c>
      <c r="L198" s="46" t="e">
        <f t="shared" si="6"/>
        <v>#DIV/0!</v>
      </c>
      <c r="N198" s="42"/>
      <c r="O198" s="42"/>
    </row>
    <row r="199" spans="2:15" s="41" customFormat="1" ht="20.25" x14ac:dyDescent="0.25">
      <c r="B199" s="47">
        <v>186</v>
      </c>
      <c r="C199" s="36"/>
      <c r="D199" s="36"/>
      <c r="E199" s="36"/>
      <c r="F199" s="48" t="s">
        <v>180</v>
      </c>
      <c r="G199" s="69"/>
      <c r="H199" s="50">
        <f>[1]NERACA!M3312</f>
        <v>0</v>
      </c>
      <c r="I199" s="51">
        <f>[1]NERACA!H3312</f>
        <v>0</v>
      </c>
      <c r="J199" s="109"/>
      <c r="K199" s="40">
        <f t="shared" si="5"/>
        <v>0</v>
      </c>
      <c r="L199" s="46" t="e">
        <f t="shared" si="6"/>
        <v>#DIV/0!</v>
      </c>
      <c r="N199" s="42"/>
      <c r="O199" s="42"/>
    </row>
    <row r="200" spans="2:15" s="41" customFormat="1" ht="20.25" x14ac:dyDescent="0.25">
      <c r="B200" s="47">
        <v>187</v>
      </c>
      <c r="C200" s="36"/>
      <c r="D200" s="36"/>
      <c r="E200" s="36"/>
      <c r="F200" s="48" t="s">
        <v>181</v>
      </c>
      <c r="G200" s="69"/>
      <c r="H200" s="50">
        <f>[1]NERACA!M3316</f>
        <v>0</v>
      </c>
      <c r="I200" s="51">
        <f>[1]NERACA!H3316</f>
        <v>0</v>
      </c>
      <c r="J200" s="109"/>
      <c r="K200" s="40">
        <f t="shared" si="5"/>
        <v>0</v>
      </c>
      <c r="L200" s="46" t="e">
        <f t="shared" si="6"/>
        <v>#DIV/0!</v>
      </c>
      <c r="N200" s="42"/>
      <c r="O200" s="42"/>
    </row>
    <row r="201" spans="2:15" s="41" customFormat="1" ht="20.25" x14ac:dyDescent="0.25">
      <c r="B201" s="47">
        <v>188</v>
      </c>
      <c r="C201" s="36"/>
      <c r="D201" s="36"/>
      <c r="E201" s="36"/>
      <c r="F201" s="48" t="s">
        <v>182</v>
      </c>
      <c r="G201" s="69"/>
      <c r="H201" s="50">
        <f>[1]NERACA!M3320</f>
        <v>0</v>
      </c>
      <c r="I201" s="51">
        <f>[1]NERACA!H3320</f>
        <v>0</v>
      </c>
      <c r="J201" s="109"/>
      <c r="K201" s="40">
        <f t="shared" si="5"/>
        <v>0</v>
      </c>
      <c r="L201" s="46" t="e">
        <f t="shared" si="6"/>
        <v>#DIV/0!</v>
      </c>
      <c r="N201" s="42"/>
      <c r="O201" s="42"/>
    </row>
    <row r="202" spans="2:15" s="41" customFormat="1" ht="20.25" x14ac:dyDescent="0.25">
      <c r="B202" s="47">
        <v>189</v>
      </c>
      <c r="C202" s="36"/>
      <c r="D202" s="36"/>
      <c r="E202" s="36"/>
      <c r="F202" s="48" t="s">
        <v>183</v>
      </c>
      <c r="G202" s="69"/>
      <c r="H202" s="50">
        <f>[1]NERACA!M3324</f>
        <v>0</v>
      </c>
      <c r="I202" s="51">
        <f>[1]NERACA!H3324</f>
        <v>0</v>
      </c>
      <c r="J202" s="109"/>
      <c r="K202" s="40">
        <f t="shared" si="5"/>
        <v>0</v>
      </c>
      <c r="L202" s="46" t="e">
        <f t="shared" si="6"/>
        <v>#DIV/0!</v>
      </c>
      <c r="N202" s="42"/>
      <c r="O202" s="42"/>
    </row>
    <row r="203" spans="2:15" s="41" customFormat="1" ht="20.25" x14ac:dyDescent="0.25">
      <c r="B203" s="29">
        <v>190</v>
      </c>
      <c r="C203" s="36"/>
      <c r="D203" s="36"/>
      <c r="E203" s="36" t="s">
        <v>184</v>
      </c>
      <c r="F203" s="36"/>
      <c r="G203" s="37"/>
      <c r="H203" s="44">
        <f>SUM(H209)</f>
        <v>0</v>
      </c>
      <c r="I203" s="45">
        <f>SUM(I209)</f>
        <v>0</v>
      </c>
      <c r="J203" s="109"/>
      <c r="K203" s="40">
        <f t="shared" si="5"/>
        <v>0</v>
      </c>
      <c r="L203" s="46" t="e">
        <f t="shared" si="6"/>
        <v>#DIV/0!</v>
      </c>
      <c r="N203" s="42"/>
      <c r="O203" s="42"/>
    </row>
    <row r="204" spans="2:15" s="41" customFormat="1" ht="20.25" x14ac:dyDescent="0.25">
      <c r="B204" s="47">
        <v>191</v>
      </c>
      <c r="C204" s="36"/>
      <c r="D204" s="36"/>
      <c r="E204" s="36"/>
      <c r="F204" s="48" t="s">
        <v>185</v>
      </c>
      <c r="G204" s="69"/>
      <c r="H204" s="50">
        <f>[1]NERACA!M3329</f>
        <v>0</v>
      </c>
      <c r="I204" s="51">
        <f>[1]NERACA!H3329</f>
        <v>0</v>
      </c>
      <c r="J204" s="109"/>
      <c r="K204" s="40">
        <f t="shared" si="5"/>
        <v>0</v>
      </c>
      <c r="L204" s="46" t="e">
        <f t="shared" si="6"/>
        <v>#DIV/0!</v>
      </c>
      <c r="N204" s="42"/>
      <c r="O204" s="42"/>
    </row>
    <row r="205" spans="2:15" s="41" customFormat="1" ht="20.25" x14ac:dyDescent="0.25">
      <c r="B205" s="47">
        <v>192</v>
      </c>
      <c r="C205" s="36"/>
      <c r="D205" s="36"/>
      <c r="E205" s="36"/>
      <c r="F205" s="48" t="s">
        <v>186</v>
      </c>
      <c r="G205" s="69"/>
      <c r="H205" s="50">
        <f>[1]NERACA!M3343</f>
        <v>0</v>
      </c>
      <c r="I205" s="51">
        <f>[1]NERACA!H3343</f>
        <v>0</v>
      </c>
      <c r="J205" s="109"/>
      <c r="K205" s="40">
        <f t="shared" si="5"/>
        <v>0</v>
      </c>
      <c r="L205" s="46" t="e">
        <f t="shared" si="6"/>
        <v>#DIV/0!</v>
      </c>
      <c r="N205" s="42"/>
      <c r="O205" s="42"/>
    </row>
    <row r="206" spans="2:15" s="41" customFormat="1" ht="20.25" x14ac:dyDescent="0.25">
      <c r="B206" s="47">
        <v>193</v>
      </c>
      <c r="C206" s="36"/>
      <c r="D206" s="36"/>
      <c r="E206" s="36"/>
      <c r="F206" s="48" t="s">
        <v>187</v>
      </c>
      <c r="G206" s="69"/>
      <c r="H206" s="50">
        <f>[1]NERACA!M3347</f>
        <v>0</v>
      </c>
      <c r="I206" s="51">
        <f>[1]NERACA!H3347</f>
        <v>0</v>
      </c>
      <c r="J206" s="109"/>
      <c r="K206" s="40">
        <f t="shared" si="5"/>
        <v>0</v>
      </c>
      <c r="L206" s="46" t="e">
        <f t="shared" si="6"/>
        <v>#DIV/0!</v>
      </c>
      <c r="N206" s="42"/>
      <c r="O206" s="42"/>
    </row>
    <row r="207" spans="2:15" s="41" customFormat="1" ht="20.25" x14ac:dyDescent="0.25">
      <c r="B207" s="47">
        <v>194</v>
      </c>
      <c r="C207" s="36"/>
      <c r="D207" s="36"/>
      <c r="E207" s="36"/>
      <c r="F207" s="48" t="s">
        <v>188</v>
      </c>
      <c r="G207" s="69"/>
      <c r="H207" s="50">
        <f>[1]NERACA!M3367</f>
        <v>0</v>
      </c>
      <c r="I207" s="51">
        <f>[1]NERACA!H3367</f>
        <v>0</v>
      </c>
      <c r="J207" s="109"/>
      <c r="K207" s="40">
        <f t="shared" si="5"/>
        <v>0</v>
      </c>
      <c r="L207" s="46" t="e">
        <f t="shared" si="6"/>
        <v>#DIV/0!</v>
      </c>
      <c r="N207" s="42"/>
      <c r="O207" s="42"/>
    </row>
    <row r="208" spans="2:15" s="41" customFormat="1" ht="20.25" x14ac:dyDescent="0.25">
      <c r="B208" s="47">
        <v>195</v>
      </c>
      <c r="C208" s="36"/>
      <c r="D208" s="36"/>
      <c r="E208" s="36"/>
      <c r="F208" s="48" t="s">
        <v>189</v>
      </c>
      <c r="G208" s="69"/>
      <c r="H208" s="50">
        <f>[1]NERACA!M3387</f>
        <v>0</v>
      </c>
      <c r="I208" s="51">
        <f>[1]NERACA!H3387</f>
        <v>0</v>
      </c>
      <c r="J208" s="109"/>
      <c r="K208" s="40">
        <f t="shared" si="5"/>
        <v>0</v>
      </c>
      <c r="L208" s="46" t="e">
        <f t="shared" si="6"/>
        <v>#DIV/0!</v>
      </c>
      <c r="N208" s="42"/>
      <c r="O208" s="42"/>
    </row>
    <row r="209" spans="2:15" s="41" customFormat="1" ht="20.25" x14ac:dyDescent="0.25">
      <c r="B209" s="47">
        <v>196</v>
      </c>
      <c r="C209" s="36"/>
      <c r="D209" s="36"/>
      <c r="E209" s="36"/>
      <c r="F209" s="48" t="s">
        <v>190</v>
      </c>
      <c r="G209" s="69"/>
      <c r="H209" s="50">
        <f>[1]NERACA!M3391</f>
        <v>0</v>
      </c>
      <c r="I209" s="51">
        <f>[1]NERACA!H3391</f>
        <v>0</v>
      </c>
      <c r="J209" s="109"/>
      <c r="K209" s="40">
        <f t="shared" si="5"/>
        <v>0</v>
      </c>
      <c r="L209" s="46" t="e">
        <f t="shared" si="6"/>
        <v>#DIV/0!</v>
      </c>
      <c r="N209" s="42"/>
      <c r="O209" s="42"/>
    </row>
    <row r="210" spans="2:15" s="41" customFormat="1" ht="20.25" x14ac:dyDescent="0.25">
      <c r="B210" s="29">
        <v>197</v>
      </c>
      <c r="C210" s="36"/>
      <c r="D210" s="36"/>
      <c r="E210" s="36" t="s">
        <v>191</v>
      </c>
      <c r="F210" s="36"/>
      <c r="G210" s="37"/>
      <c r="H210" s="44">
        <f>SUM(H211:H214)</f>
        <v>0</v>
      </c>
      <c r="I210" s="45">
        <f>SUM(I211:I214)</f>
        <v>0</v>
      </c>
      <c r="J210" s="109"/>
      <c r="K210" s="40">
        <f t="shared" si="5"/>
        <v>0</v>
      </c>
      <c r="L210" s="46" t="e">
        <f t="shared" si="6"/>
        <v>#DIV/0!</v>
      </c>
      <c r="N210" s="42"/>
      <c r="O210" s="42"/>
    </row>
    <row r="211" spans="2:15" s="41" customFormat="1" ht="20.25" x14ac:dyDescent="0.25">
      <c r="B211" s="47">
        <v>198</v>
      </c>
      <c r="C211" s="36"/>
      <c r="D211" s="36"/>
      <c r="E211" s="36"/>
      <c r="F211" s="48" t="s">
        <v>192</v>
      </c>
      <c r="G211" s="69"/>
      <c r="H211" s="50">
        <f>[1]NERACA!M3400</f>
        <v>0</v>
      </c>
      <c r="I211" s="51">
        <f>[1]NERACA!H3400</f>
        <v>0</v>
      </c>
      <c r="J211" s="109"/>
      <c r="K211" s="40">
        <f t="shared" si="5"/>
        <v>0</v>
      </c>
      <c r="L211" s="46" t="e">
        <f t="shared" si="6"/>
        <v>#DIV/0!</v>
      </c>
      <c r="N211" s="42"/>
      <c r="O211" s="42"/>
    </row>
    <row r="212" spans="2:15" s="41" customFormat="1" ht="20.25" x14ac:dyDescent="0.25">
      <c r="B212" s="47">
        <v>199</v>
      </c>
      <c r="C212" s="36"/>
      <c r="D212" s="36"/>
      <c r="E212" s="36"/>
      <c r="F212" s="48" t="s">
        <v>193</v>
      </c>
      <c r="G212" s="69"/>
      <c r="H212" s="50">
        <f>[1]NERACA!M3404</f>
        <v>0</v>
      </c>
      <c r="I212" s="51">
        <f>[1]NERACA!H3404</f>
        <v>0</v>
      </c>
      <c r="J212" s="109"/>
      <c r="K212" s="40">
        <f t="shared" si="5"/>
        <v>0</v>
      </c>
      <c r="L212" s="46" t="e">
        <f t="shared" si="6"/>
        <v>#DIV/0!</v>
      </c>
      <c r="N212" s="42"/>
      <c r="O212" s="42"/>
    </row>
    <row r="213" spans="2:15" s="41" customFormat="1" ht="19.350000000000001" customHeight="1" x14ac:dyDescent="0.25">
      <c r="B213" s="47">
        <v>200</v>
      </c>
      <c r="C213" s="36"/>
      <c r="D213" s="36"/>
      <c r="E213" s="36"/>
      <c r="F213" s="61" t="s">
        <v>194</v>
      </c>
      <c r="G213" s="69"/>
      <c r="H213" s="50">
        <f>[1]NERACA!M3412</f>
        <v>0</v>
      </c>
      <c r="I213" s="51">
        <f>[1]NERACA!H3412</f>
        <v>0</v>
      </c>
      <c r="J213" s="109"/>
      <c r="K213" s="40">
        <f t="shared" si="5"/>
        <v>0</v>
      </c>
      <c r="L213" s="46" t="e">
        <f t="shared" si="6"/>
        <v>#DIV/0!</v>
      </c>
      <c r="N213" s="42"/>
      <c r="O213" s="42"/>
    </row>
    <row r="214" spans="2:15" s="41" customFormat="1" ht="20.25" x14ac:dyDescent="0.25">
      <c r="B214" s="47">
        <v>201</v>
      </c>
      <c r="C214" s="36"/>
      <c r="D214" s="36"/>
      <c r="E214" s="36"/>
      <c r="F214" s="48" t="s">
        <v>195</v>
      </c>
      <c r="G214" s="69"/>
      <c r="H214" s="50">
        <f>[1]NERACA!M3420</f>
        <v>0</v>
      </c>
      <c r="I214" s="51">
        <f>[1]NERACA!H3420</f>
        <v>0</v>
      </c>
      <c r="J214" s="109"/>
      <c r="K214" s="40">
        <f t="shared" si="5"/>
        <v>0</v>
      </c>
      <c r="L214" s="46" t="e">
        <f t="shared" si="6"/>
        <v>#DIV/0!</v>
      </c>
      <c r="N214" s="42"/>
      <c r="O214" s="42"/>
    </row>
    <row r="215" spans="2:15" s="41" customFormat="1" ht="20.25" x14ac:dyDescent="0.25">
      <c r="B215" s="29">
        <v>202</v>
      </c>
      <c r="C215" s="36"/>
      <c r="D215" s="36"/>
      <c r="E215" s="36" t="s">
        <v>196</v>
      </c>
      <c r="F215" s="36"/>
      <c r="G215" s="37"/>
      <c r="H215" s="44">
        <f>SUM(H216:H220)</f>
        <v>0</v>
      </c>
      <c r="I215" s="45">
        <f>SUM(I216:I220)</f>
        <v>0</v>
      </c>
      <c r="J215" s="109"/>
      <c r="K215" s="40">
        <f t="shared" si="5"/>
        <v>0</v>
      </c>
      <c r="L215" s="46" t="e">
        <f t="shared" si="6"/>
        <v>#DIV/0!</v>
      </c>
      <c r="N215" s="42"/>
      <c r="O215" s="42"/>
    </row>
    <row r="216" spans="2:15" s="41" customFormat="1" ht="20.25" x14ac:dyDescent="0.25">
      <c r="B216" s="47">
        <v>203</v>
      </c>
      <c r="C216" s="36"/>
      <c r="D216" s="36"/>
      <c r="E216" s="36"/>
      <c r="F216" s="48" t="s">
        <v>197</v>
      </c>
      <c r="G216" s="69"/>
      <c r="H216" s="50">
        <f>[1]NERACA!M3425</f>
        <v>0</v>
      </c>
      <c r="I216" s="51">
        <f>[1]NERACA!H3425</f>
        <v>0</v>
      </c>
      <c r="J216" s="109"/>
      <c r="K216" s="40">
        <f t="shared" si="5"/>
        <v>0</v>
      </c>
      <c r="L216" s="46" t="e">
        <f t="shared" si="6"/>
        <v>#DIV/0!</v>
      </c>
      <c r="N216" s="42"/>
      <c r="O216" s="42"/>
    </row>
    <row r="217" spans="2:15" s="41" customFormat="1" ht="20.25" x14ac:dyDescent="0.25">
      <c r="B217" s="47">
        <v>204</v>
      </c>
      <c r="C217" s="36"/>
      <c r="D217" s="36"/>
      <c r="E217" s="36"/>
      <c r="F217" s="48" t="s">
        <v>198</v>
      </c>
      <c r="G217" s="69"/>
      <c r="H217" s="50">
        <f>[1]NERACA!M3439</f>
        <v>0</v>
      </c>
      <c r="I217" s="51">
        <f>[1]NERACA!H3439</f>
        <v>0</v>
      </c>
      <c r="J217" s="109"/>
      <c r="K217" s="40">
        <f t="shared" si="5"/>
        <v>0</v>
      </c>
      <c r="L217" s="46" t="e">
        <f t="shared" si="6"/>
        <v>#DIV/0!</v>
      </c>
      <c r="N217" s="42"/>
      <c r="O217" s="42"/>
    </row>
    <row r="218" spans="2:15" s="41" customFormat="1" ht="20.25" x14ac:dyDescent="0.25">
      <c r="B218" s="47">
        <v>205</v>
      </c>
      <c r="C218" s="36"/>
      <c r="D218" s="36"/>
      <c r="E218" s="36"/>
      <c r="F218" s="48" t="s">
        <v>199</v>
      </c>
      <c r="G218" s="69"/>
      <c r="H218" s="50">
        <f>[1]NERACA!M3453</f>
        <v>0</v>
      </c>
      <c r="I218" s="51">
        <f>[1]NERACA!H3453</f>
        <v>0</v>
      </c>
      <c r="J218" s="109"/>
      <c r="K218" s="40">
        <f t="shared" si="5"/>
        <v>0</v>
      </c>
      <c r="L218" s="46" t="e">
        <f t="shared" si="6"/>
        <v>#DIV/0!</v>
      </c>
      <c r="N218" s="42"/>
      <c r="O218" s="42"/>
    </row>
    <row r="219" spans="2:15" s="41" customFormat="1" ht="20.25" x14ac:dyDescent="0.25">
      <c r="B219" s="47">
        <v>206</v>
      </c>
      <c r="C219" s="36"/>
      <c r="D219" s="36"/>
      <c r="E219" s="36"/>
      <c r="F219" s="48" t="s">
        <v>200</v>
      </c>
      <c r="G219" s="69"/>
      <c r="H219" s="50">
        <f>[1]NERACA!M3467</f>
        <v>0</v>
      </c>
      <c r="I219" s="51">
        <f>[1]NERACA!H3467</f>
        <v>0</v>
      </c>
      <c r="J219" s="109"/>
      <c r="K219" s="40">
        <f t="shared" si="5"/>
        <v>0</v>
      </c>
      <c r="L219" s="46" t="e">
        <f t="shared" si="6"/>
        <v>#DIV/0!</v>
      </c>
      <c r="N219" s="42"/>
      <c r="O219" s="42"/>
    </row>
    <row r="220" spans="2:15" s="41" customFormat="1" ht="20.25" x14ac:dyDescent="0.25">
      <c r="B220" s="47">
        <v>207</v>
      </c>
      <c r="C220" s="36"/>
      <c r="D220" s="36"/>
      <c r="E220" s="36"/>
      <c r="F220" s="48" t="s">
        <v>201</v>
      </c>
      <c r="G220" s="69"/>
      <c r="H220" s="50">
        <f>[1]NERACA!M3471</f>
        <v>0</v>
      </c>
      <c r="I220" s="51">
        <f>[1]NERACA!H3471</f>
        <v>0</v>
      </c>
      <c r="J220" s="109"/>
      <c r="K220" s="40">
        <f t="shared" si="5"/>
        <v>0</v>
      </c>
      <c r="L220" s="46" t="e">
        <f t="shared" si="6"/>
        <v>#DIV/0!</v>
      </c>
      <c r="N220" s="42"/>
      <c r="O220" s="42"/>
    </row>
    <row r="221" spans="2:15" s="41" customFormat="1" ht="20.25" x14ac:dyDescent="0.25">
      <c r="B221" s="29">
        <v>208</v>
      </c>
      <c r="C221" s="36"/>
      <c r="D221" s="36"/>
      <c r="E221" s="36" t="s">
        <v>202</v>
      </c>
      <c r="F221" s="36"/>
      <c r="G221" s="55"/>
      <c r="H221" s="66">
        <f>SUM(H222:H224)</f>
        <v>37348700000</v>
      </c>
      <c r="I221" s="67">
        <f>SUM(I222:I224)</f>
        <v>36066667825</v>
      </c>
      <c r="J221" s="40"/>
      <c r="K221" s="40">
        <f t="shared" si="5"/>
        <v>1282032175</v>
      </c>
      <c r="L221" s="46">
        <f t="shared" si="6"/>
        <v>3.5546177462819162</v>
      </c>
      <c r="N221" s="42"/>
      <c r="O221" s="42"/>
    </row>
    <row r="222" spans="2:15" s="41" customFormat="1" ht="20.25" x14ac:dyDescent="0.25">
      <c r="B222" s="47">
        <v>209</v>
      </c>
      <c r="C222" s="87"/>
      <c r="D222" s="87"/>
      <c r="E222" s="87"/>
      <c r="F222" s="84" t="s">
        <v>203</v>
      </c>
      <c r="G222" s="110"/>
      <c r="H222" s="111">
        <f>[1]NERACA!M3478</f>
        <v>0</v>
      </c>
      <c r="I222" s="112">
        <f>[1]NERACA!H3478</f>
        <v>0</v>
      </c>
      <c r="J222" s="40"/>
      <c r="K222" s="40">
        <f t="shared" si="5"/>
        <v>0</v>
      </c>
      <c r="L222" s="46" t="e">
        <f t="shared" si="6"/>
        <v>#DIV/0!</v>
      </c>
      <c r="N222" s="42"/>
      <c r="O222" s="42"/>
    </row>
    <row r="223" spans="2:15" s="93" customFormat="1" ht="20.25" x14ac:dyDescent="0.25">
      <c r="B223" s="47">
        <v>210</v>
      </c>
      <c r="C223" s="89"/>
      <c r="D223" s="89"/>
      <c r="E223" s="89"/>
      <c r="F223" s="89" t="s">
        <v>204</v>
      </c>
      <c r="G223" s="113"/>
      <c r="H223" s="114">
        <f>[1]NERACA!M3482</f>
        <v>37348700000</v>
      </c>
      <c r="I223" s="115">
        <f>[1]NERACA!H3482</f>
        <v>36066667825</v>
      </c>
      <c r="J223" s="116"/>
      <c r="K223" s="40">
        <f t="shared" si="5"/>
        <v>1282032175</v>
      </c>
      <c r="L223" s="46">
        <f t="shared" si="6"/>
        <v>3.5546177462819162</v>
      </c>
      <c r="N223" s="94"/>
      <c r="O223" s="94"/>
    </row>
    <row r="224" spans="2:15" s="93" customFormat="1" ht="20.25" x14ac:dyDescent="0.25">
      <c r="B224" s="47">
        <v>211</v>
      </c>
      <c r="C224" s="89"/>
      <c r="D224" s="89"/>
      <c r="E224" s="89"/>
      <c r="F224" s="89" t="s">
        <v>205</v>
      </c>
      <c r="G224" s="113"/>
      <c r="H224" s="114">
        <f>[1]NERACA!M3486</f>
        <v>0</v>
      </c>
      <c r="I224" s="115">
        <f>[1]NERACA!H3486</f>
        <v>0</v>
      </c>
      <c r="J224" s="116"/>
      <c r="K224" s="40">
        <f t="shared" si="5"/>
        <v>0</v>
      </c>
      <c r="L224" s="46" t="e">
        <f t="shared" si="6"/>
        <v>#DIV/0!</v>
      </c>
      <c r="N224" s="94"/>
      <c r="O224" s="94"/>
    </row>
    <row r="225" spans="2:15" s="41" customFormat="1" ht="20.25" x14ac:dyDescent="0.25">
      <c r="B225" s="29">
        <v>212</v>
      </c>
      <c r="C225" s="87"/>
      <c r="D225" s="87"/>
      <c r="E225" s="87" t="s">
        <v>206</v>
      </c>
      <c r="F225" s="87"/>
      <c r="G225" s="95"/>
      <c r="H225" s="117">
        <f>SUM(H226:H238)</f>
        <v>0</v>
      </c>
      <c r="I225" s="118">
        <f>SUM(I226:I238)</f>
        <v>0</v>
      </c>
      <c r="J225" s="40"/>
      <c r="K225" s="40">
        <f t="shared" si="5"/>
        <v>0</v>
      </c>
      <c r="L225" s="46" t="e">
        <f t="shared" si="6"/>
        <v>#DIV/0!</v>
      </c>
      <c r="M225" s="119"/>
      <c r="N225" s="42"/>
      <c r="O225" s="42"/>
    </row>
    <row r="226" spans="2:15" s="54" customFormat="1" ht="20.25" x14ac:dyDescent="0.25">
      <c r="B226" s="47">
        <v>213</v>
      </c>
      <c r="C226" s="84"/>
      <c r="D226" s="84"/>
      <c r="E226" s="84"/>
      <c r="F226" s="84" t="s">
        <v>207</v>
      </c>
      <c r="G226" s="110"/>
      <c r="H226" s="120">
        <f>[1]NERACA!M3491</f>
        <v>0</v>
      </c>
      <c r="I226" s="121">
        <f>[1]NERACA!H3491</f>
        <v>0</v>
      </c>
      <c r="J226" s="52"/>
      <c r="K226" s="40">
        <f t="shared" si="5"/>
        <v>0</v>
      </c>
      <c r="L226" s="46" t="e">
        <f t="shared" si="6"/>
        <v>#DIV/0!</v>
      </c>
      <c r="N226" s="53"/>
      <c r="O226" s="53"/>
    </row>
    <row r="227" spans="2:15" s="54" customFormat="1" ht="20.25" x14ac:dyDescent="0.25">
      <c r="B227" s="47">
        <v>214</v>
      </c>
      <c r="C227" s="84"/>
      <c r="D227" s="84"/>
      <c r="E227" s="84"/>
      <c r="F227" s="84" t="s">
        <v>208</v>
      </c>
      <c r="G227" s="110"/>
      <c r="H227" s="120">
        <f>[1]NERACA!M3662</f>
        <v>0</v>
      </c>
      <c r="I227" s="121">
        <f>[1]NERACA!H3662</f>
        <v>0</v>
      </c>
      <c r="J227" s="52"/>
      <c r="K227" s="40">
        <f t="shared" si="5"/>
        <v>0</v>
      </c>
      <c r="L227" s="46" t="e">
        <f t="shared" si="6"/>
        <v>#DIV/0!</v>
      </c>
      <c r="N227" s="53"/>
      <c r="O227" s="53"/>
    </row>
    <row r="228" spans="2:15" s="54" customFormat="1" ht="20.25" x14ac:dyDescent="0.25">
      <c r="B228" s="47">
        <v>215</v>
      </c>
      <c r="C228" s="84"/>
      <c r="D228" s="84"/>
      <c r="E228" s="84"/>
      <c r="F228" s="84" t="s">
        <v>209</v>
      </c>
      <c r="G228" s="110"/>
      <c r="H228" s="120">
        <f>[1]NERACA!M5607</f>
        <v>0</v>
      </c>
      <c r="I228" s="121">
        <f>[1]NERACA!H5607</f>
        <v>0</v>
      </c>
      <c r="J228" s="52"/>
      <c r="K228" s="40">
        <f t="shared" si="5"/>
        <v>0</v>
      </c>
      <c r="L228" s="46" t="e">
        <f t="shared" si="6"/>
        <v>#DIV/0!</v>
      </c>
      <c r="N228" s="53"/>
      <c r="O228" s="53"/>
    </row>
    <row r="229" spans="2:15" s="54" customFormat="1" ht="20.25" x14ac:dyDescent="0.25">
      <c r="B229" s="47">
        <v>216</v>
      </c>
      <c r="C229" s="84"/>
      <c r="D229" s="84"/>
      <c r="E229" s="84"/>
      <c r="F229" s="84" t="s">
        <v>210</v>
      </c>
      <c r="G229" s="110"/>
      <c r="H229" s="120">
        <f>[1]NERACA!M5644</f>
        <v>0</v>
      </c>
      <c r="I229" s="121">
        <f>[1]NERACA!H5644</f>
        <v>0</v>
      </c>
      <c r="J229" s="52"/>
      <c r="K229" s="40">
        <f t="shared" si="5"/>
        <v>0</v>
      </c>
      <c r="L229" s="46" t="e">
        <f t="shared" si="6"/>
        <v>#DIV/0!</v>
      </c>
      <c r="N229" s="53"/>
      <c r="O229" s="53"/>
    </row>
    <row r="230" spans="2:15" s="54" customFormat="1" ht="20.25" x14ac:dyDescent="0.25">
      <c r="B230" s="47">
        <v>217</v>
      </c>
      <c r="C230" s="84"/>
      <c r="D230" s="84"/>
      <c r="E230" s="84"/>
      <c r="F230" s="84" t="s">
        <v>211</v>
      </c>
      <c r="G230" s="110"/>
      <c r="H230" s="120">
        <f>[1]NERACA!M5654</f>
        <v>0</v>
      </c>
      <c r="I230" s="121">
        <f>[1]NERACA!H5654</f>
        <v>0</v>
      </c>
      <c r="J230" s="52"/>
      <c r="K230" s="40">
        <f t="shared" si="5"/>
        <v>0</v>
      </c>
      <c r="L230" s="46" t="e">
        <f t="shared" si="6"/>
        <v>#DIV/0!</v>
      </c>
      <c r="N230" s="53"/>
      <c r="O230" s="53"/>
    </row>
    <row r="231" spans="2:15" s="54" customFormat="1" ht="20.25" x14ac:dyDescent="0.25">
      <c r="B231" s="47">
        <v>218</v>
      </c>
      <c r="C231" s="84"/>
      <c r="D231" s="84"/>
      <c r="E231" s="84"/>
      <c r="F231" s="84" t="s">
        <v>212</v>
      </c>
      <c r="G231" s="110"/>
      <c r="H231" s="120">
        <f>[1]NERACA!M5692</f>
        <v>0</v>
      </c>
      <c r="I231" s="121">
        <f>[1]NERACA!H5692</f>
        <v>0</v>
      </c>
      <c r="J231" s="52"/>
      <c r="K231" s="40">
        <f t="shared" si="5"/>
        <v>0</v>
      </c>
      <c r="L231" s="46" t="e">
        <f t="shared" si="6"/>
        <v>#DIV/0!</v>
      </c>
      <c r="N231" s="53"/>
      <c r="O231" s="53"/>
    </row>
    <row r="232" spans="2:15" s="54" customFormat="1" ht="20.25" x14ac:dyDescent="0.25">
      <c r="B232" s="47">
        <v>219</v>
      </c>
      <c r="C232" s="84"/>
      <c r="D232" s="84"/>
      <c r="E232" s="84"/>
      <c r="F232" s="84" t="s">
        <v>213</v>
      </c>
      <c r="G232" s="110"/>
      <c r="H232" s="120">
        <f>[1]NERACA!M5730</f>
        <v>0</v>
      </c>
      <c r="I232" s="121">
        <f>[1]NERACA!H5730</f>
        <v>0</v>
      </c>
      <c r="J232" s="52"/>
      <c r="K232" s="40">
        <f t="shared" si="5"/>
        <v>0</v>
      </c>
      <c r="L232" s="46" t="e">
        <f t="shared" si="6"/>
        <v>#DIV/0!</v>
      </c>
      <c r="N232" s="53"/>
      <c r="O232" s="53"/>
    </row>
    <row r="233" spans="2:15" s="54" customFormat="1" ht="20.25" x14ac:dyDescent="0.25">
      <c r="B233" s="47">
        <v>220</v>
      </c>
      <c r="C233" s="84"/>
      <c r="D233" s="84"/>
      <c r="E233" s="84"/>
      <c r="F233" s="84" t="s">
        <v>214</v>
      </c>
      <c r="G233" s="110"/>
      <c r="H233" s="120">
        <f>[1]NERACA!M6259</f>
        <v>0</v>
      </c>
      <c r="I233" s="121">
        <f>[1]NERACA!H6259</f>
        <v>0</v>
      </c>
      <c r="J233" s="52"/>
      <c r="K233" s="40">
        <f t="shared" si="5"/>
        <v>0</v>
      </c>
      <c r="L233" s="46" t="e">
        <f t="shared" si="6"/>
        <v>#DIV/0!</v>
      </c>
      <c r="N233" s="53"/>
      <c r="O233" s="53"/>
    </row>
    <row r="234" spans="2:15" s="54" customFormat="1" ht="20.25" x14ac:dyDescent="0.25">
      <c r="B234" s="47">
        <v>221</v>
      </c>
      <c r="C234" s="84"/>
      <c r="D234" s="84"/>
      <c r="E234" s="84"/>
      <c r="F234" s="84" t="s">
        <v>215</v>
      </c>
      <c r="G234" s="110"/>
      <c r="H234" s="120">
        <f>[1]NERACA!M6329</f>
        <v>0</v>
      </c>
      <c r="I234" s="121">
        <f>[1]NERACA!H6329</f>
        <v>0</v>
      </c>
      <c r="J234" s="52"/>
      <c r="K234" s="40">
        <f t="shared" si="5"/>
        <v>0</v>
      </c>
      <c r="L234" s="46" t="e">
        <f t="shared" si="6"/>
        <v>#DIV/0!</v>
      </c>
      <c r="N234" s="53"/>
      <c r="O234" s="53"/>
    </row>
    <row r="235" spans="2:15" s="54" customFormat="1" ht="20.25" x14ac:dyDescent="0.25">
      <c r="B235" s="47">
        <v>222</v>
      </c>
      <c r="C235" s="84"/>
      <c r="D235" s="84"/>
      <c r="E235" s="84"/>
      <c r="F235" s="84" t="s">
        <v>216</v>
      </c>
      <c r="G235" s="110"/>
      <c r="H235" s="120">
        <f>[1]NERACA!M6471</f>
        <v>0</v>
      </c>
      <c r="I235" s="121">
        <f>[1]NERACA!H6471</f>
        <v>0</v>
      </c>
      <c r="J235" s="52"/>
      <c r="K235" s="40">
        <f t="shared" si="5"/>
        <v>0</v>
      </c>
      <c r="L235" s="46" t="e">
        <f t="shared" si="6"/>
        <v>#DIV/0!</v>
      </c>
      <c r="N235" s="53"/>
      <c r="O235" s="53"/>
    </row>
    <row r="236" spans="2:15" s="54" customFormat="1" ht="20.25" x14ac:dyDescent="0.25">
      <c r="B236" s="47">
        <v>223</v>
      </c>
      <c r="C236" s="84"/>
      <c r="D236" s="84"/>
      <c r="E236" s="84"/>
      <c r="F236" s="84" t="s">
        <v>217</v>
      </c>
      <c r="G236" s="110"/>
      <c r="H236" s="120">
        <f>[1]NERACA!M6545</f>
        <v>0</v>
      </c>
      <c r="I236" s="121">
        <f>[1]NERACA!H6545</f>
        <v>0</v>
      </c>
      <c r="J236" s="52"/>
      <c r="K236" s="40">
        <f t="shared" si="5"/>
        <v>0</v>
      </c>
      <c r="L236" s="46" t="e">
        <f t="shared" si="6"/>
        <v>#DIV/0!</v>
      </c>
      <c r="N236" s="53"/>
      <c r="O236" s="53"/>
    </row>
    <row r="237" spans="2:15" s="54" customFormat="1" ht="20.25" x14ac:dyDescent="0.25">
      <c r="B237" s="47">
        <v>224</v>
      </c>
      <c r="C237" s="84"/>
      <c r="D237" s="84"/>
      <c r="E237" s="84"/>
      <c r="F237" s="84" t="s">
        <v>218</v>
      </c>
      <c r="G237" s="110"/>
      <c r="H237" s="120">
        <f>[1]NERACA!M6550</f>
        <v>0</v>
      </c>
      <c r="I237" s="121">
        <f>[1]NERACA!H6550</f>
        <v>0</v>
      </c>
      <c r="J237" s="52"/>
      <c r="K237" s="40">
        <f t="shared" si="5"/>
        <v>0</v>
      </c>
      <c r="L237" s="46" t="e">
        <f t="shared" si="6"/>
        <v>#DIV/0!</v>
      </c>
      <c r="N237" s="53"/>
      <c r="O237" s="53"/>
    </row>
    <row r="238" spans="2:15" s="54" customFormat="1" ht="20.25" x14ac:dyDescent="0.25">
      <c r="B238" s="47">
        <v>225</v>
      </c>
      <c r="C238" s="84"/>
      <c r="D238" s="84"/>
      <c r="E238" s="84"/>
      <c r="F238" s="84" t="s">
        <v>219</v>
      </c>
      <c r="G238" s="110"/>
      <c r="H238" s="120">
        <f>[1]NERACA!M6560</f>
        <v>0</v>
      </c>
      <c r="I238" s="121">
        <f>[1]NERACA!H6560</f>
        <v>0</v>
      </c>
      <c r="J238" s="52"/>
      <c r="K238" s="40">
        <f t="shared" ref="K238:K297" si="9">+H238-I238</f>
        <v>0</v>
      </c>
      <c r="L238" s="46" t="e">
        <f t="shared" si="6"/>
        <v>#DIV/0!</v>
      </c>
      <c r="N238" s="53"/>
      <c r="O238" s="53"/>
    </row>
    <row r="239" spans="2:15" s="41" customFormat="1" ht="20.25" x14ac:dyDescent="0.25">
      <c r="B239" s="29">
        <v>226</v>
      </c>
      <c r="C239" s="87"/>
      <c r="D239" s="87"/>
      <c r="E239" s="87" t="s">
        <v>220</v>
      </c>
      <c r="F239" s="87"/>
      <c r="G239" s="95"/>
      <c r="H239" s="117">
        <f>SUM(H240:H243)</f>
        <v>0</v>
      </c>
      <c r="I239" s="118">
        <f>SUM(I240:I243)</f>
        <v>0</v>
      </c>
      <c r="J239" s="40"/>
      <c r="K239" s="40">
        <f t="shared" si="9"/>
        <v>0</v>
      </c>
      <c r="L239" s="46" t="e">
        <f t="shared" si="6"/>
        <v>#DIV/0!</v>
      </c>
      <c r="M239" s="119"/>
      <c r="N239" s="42"/>
      <c r="O239" s="42"/>
    </row>
    <row r="240" spans="2:15" s="54" customFormat="1" ht="20.25" x14ac:dyDescent="0.25">
      <c r="B240" s="47">
        <v>227</v>
      </c>
      <c r="C240" s="84"/>
      <c r="D240" s="84"/>
      <c r="E240" s="84"/>
      <c r="F240" s="84" t="s">
        <v>221</v>
      </c>
      <c r="G240" s="110"/>
      <c r="H240" s="120">
        <f>[1]NERACA!M6585</f>
        <v>0</v>
      </c>
      <c r="I240" s="121">
        <f>[1]NERACA!H6585</f>
        <v>0</v>
      </c>
      <c r="J240" s="52"/>
      <c r="K240" s="40">
        <f t="shared" si="9"/>
        <v>0</v>
      </c>
      <c r="L240" s="46" t="e">
        <f t="shared" si="6"/>
        <v>#DIV/0!</v>
      </c>
      <c r="N240" s="53"/>
      <c r="O240" s="53"/>
    </row>
    <row r="241" spans="2:15" s="54" customFormat="1" ht="20.25" x14ac:dyDescent="0.25">
      <c r="B241" s="47">
        <v>228</v>
      </c>
      <c r="C241" s="84"/>
      <c r="D241" s="84"/>
      <c r="E241" s="84"/>
      <c r="F241" s="84" t="s">
        <v>222</v>
      </c>
      <c r="G241" s="110"/>
      <c r="H241" s="120">
        <f>[1]NERACA!M6634</f>
        <v>0</v>
      </c>
      <c r="I241" s="121">
        <f>[1]NERACA!H6634</f>
        <v>0</v>
      </c>
      <c r="J241" s="52"/>
      <c r="K241" s="40">
        <f t="shared" si="9"/>
        <v>0</v>
      </c>
      <c r="L241" s="46" t="e">
        <f t="shared" ref="L241:L244" si="10">+K241/I241*100</f>
        <v>#DIV/0!</v>
      </c>
      <c r="N241" s="53"/>
      <c r="O241" s="53"/>
    </row>
    <row r="242" spans="2:15" s="54" customFormat="1" ht="20.25" x14ac:dyDescent="0.25">
      <c r="B242" s="47">
        <v>229</v>
      </c>
      <c r="C242" s="84"/>
      <c r="D242" s="84"/>
      <c r="E242" s="84"/>
      <c r="F242" s="84" t="s">
        <v>223</v>
      </c>
      <c r="G242" s="110"/>
      <c r="H242" s="120">
        <f>[1]NERACA!M6645</f>
        <v>0</v>
      </c>
      <c r="I242" s="121">
        <f>[1]NERACA!H6645</f>
        <v>0</v>
      </c>
      <c r="J242" s="52"/>
      <c r="K242" s="40">
        <f t="shared" si="9"/>
        <v>0</v>
      </c>
      <c r="L242" s="46" t="e">
        <f t="shared" si="10"/>
        <v>#DIV/0!</v>
      </c>
      <c r="N242" s="53"/>
      <c r="O242" s="53"/>
    </row>
    <row r="243" spans="2:15" s="54" customFormat="1" ht="20.25" x14ac:dyDescent="0.25">
      <c r="B243" s="47">
        <v>230</v>
      </c>
      <c r="C243" s="84"/>
      <c r="D243" s="84"/>
      <c r="E243" s="84"/>
      <c r="F243" s="84" t="s">
        <v>224</v>
      </c>
      <c r="G243" s="110"/>
      <c r="H243" s="120">
        <f>[1]NERACA!M6655</f>
        <v>0</v>
      </c>
      <c r="I243" s="121">
        <f>[1]NERACA!H6655</f>
        <v>0</v>
      </c>
      <c r="J243" s="52"/>
      <c r="K243" s="40">
        <f t="shared" si="9"/>
        <v>0</v>
      </c>
      <c r="L243" s="46" t="e">
        <f t="shared" si="10"/>
        <v>#DIV/0!</v>
      </c>
      <c r="N243" s="53"/>
      <c r="O243" s="53"/>
    </row>
    <row r="244" spans="2:15" s="41" customFormat="1" ht="20.25" x14ac:dyDescent="0.25">
      <c r="B244" s="29">
        <v>231</v>
      </c>
      <c r="C244" s="87"/>
      <c r="D244" s="87"/>
      <c r="E244" s="87"/>
      <c r="F244" s="30" t="s">
        <v>225</v>
      </c>
      <c r="G244" s="95"/>
      <c r="H244" s="88">
        <f>+H239+H225+H221+H215+H210+H203+H193</f>
        <v>37348700000</v>
      </c>
      <c r="I244" s="96">
        <f>+I239+I225+I221+I215+I210+I203+I193</f>
        <v>36066667825</v>
      </c>
      <c r="J244" s="40"/>
      <c r="K244" s="40">
        <f t="shared" si="9"/>
        <v>1282032175</v>
      </c>
      <c r="L244" s="46">
        <f t="shared" si="10"/>
        <v>3.5546177462819162</v>
      </c>
      <c r="N244" s="42"/>
      <c r="O244" s="42"/>
    </row>
    <row r="245" spans="2:15" s="54" customFormat="1" ht="20.25" x14ac:dyDescent="0.25">
      <c r="B245" s="47">
        <v>232</v>
      </c>
      <c r="C245" s="48"/>
      <c r="D245" s="48"/>
      <c r="E245" s="48"/>
      <c r="F245" s="48"/>
      <c r="G245" s="49"/>
      <c r="H245" s="50"/>
      <c r="I245" s="51"/>
      <c r="J245" s="52"/>
      <c r="K245" s="40"/>
      <c r="L245" s="46"/>
      <c r="N245" s="53"/>
      <c r="O245" s="53"/>
    </row>
    <row r="246" spans="2:15" s="41" customFormat="1" ht="20.25" x14ac:dyDescent="0.25">
      <c r="B246" s="29">
        <v>233</v>
      </c>
      <c r="C246" s="36"/>
      <c r="D246" s="36" t="s">
        <v>226</v>
      </c>
      <c r="E246" s="36"/>
      <c r="F246" s="36"/>
      <c r="G246" s="37"/>
      <c r="H246" s="44"/>
      <c r="I246" s="45"/>
      <c r="K246" s="40"/>
      <c r="L246" s="46"/>
      <c r="N246" s="42"/>
      <c r="O246" s="42"/>
    </row>
    <row r="247" spans="2:15" s="41" customFormat="1" ht="20.25" x14ac:dyDescent="0.25">
      <c r="B247" s="29">
        <v>234</v>
      </c>
      <c r="C247" s="36"/>
      <c r="D247" s="36"/>
      <c r="E247" s="36" t="s">
        <v>227</v>
      </c>
      <c r="F247" s="36"/>
      <c r="G247" s="122"/>
      <c r="H247" s="44">
        <f>SUM(H248:H250)</f>
        <v>0</v>
      </c>
      <c r="I247" s="45">
        <f>SUM(I248:I250)</f>
        <v>0</v>
      </c>
      <c r="J247" s="123"/>
      <c r="K247" s="40">
        <f t="shared" si="9"/>
        <v>0</v>
      </c>
      <c r="L247" s="46" t="e">
        <f t="shared" ref="L247:L297" si="11">+K247/I247*100</f>
        <v>#DIV/0!</v>
      </c>
      <c r="N247" s="42"/>
      <c r="O247" s="42"/>
    </row>
    <row r="248" spans="2:15" s="54" customFormat="1" ht="20.25" x14ac:dyDescent="0.25">
      <c r="B248" s="47">
        <v>235</v>
      </c>
      <c r="C248" s="48"/>
      <c r="D248" s="48"/>
      <c r="E248" s="48"/>
      <c r="F248" s="48" t="s">
        <v>228</v>
      </c>
      <c r="G248" s="69"/>
      <c r="H248" s="50">
        <f>[1]NERACA!M6671</f>
        <v>0</v>
      </c>
      <c r="I248" s="51">
        <f>[1]NERACA!H6671</f>
        <v>0</v>
      </c>
      <c r="J248" s="124"/>
      <c r="K248" s="40">
        <f t="shared" si="9"/>
        <v>0</v>
      </c>
      <c r="L248" s="46" t="e">
        <f t="shared" si="11"/>
        <v>#DIV/0!</v>
      </c>
      <c r="N248" s="53"/>
      <c r="O248" s="53"/>
    </row>
    <row r="249" spans="2:15" s="54" customFormat="1" ht="20.25" x14ac:dyDescent="0.25">
      <c r="B249" s="47">
        <v>236</v>
      </c>
      <c r="C249" s="48"/>
      <c r="D249" s="48"/>
      <c r="E249" s="48"/>
      <c r="F249" s="48" t="s">
        <v>229</v>
      </c>
      <c r="G249" s="69"/>
      <c r="H249" s="50">
        <f>[1]NERACA!M6677</f>
        <v>0</v>
      </c>
      <c r="I249" s="51">
        <f>[1]NERACA!H6677</f>
        <v>0</v>
      </c>
      <c r="J249" s="124"/>
      <c r="K249" s="40">
        <f t="shared" si="9"/>
        <v>0</v>
      </c>
      <c r="L249" s="46" t="e">
        <f t="shared" si="11"/>
        <v>#DIV/0!</v>
      </c>
      <c r="N249" s="53"/>
      <c r="O249" s="53"/>
    </row>
    <row r="250" spans="2:15" s="54" customFormat="1" ht="20.25" x14ac:dyDescent="0.25">
      <c r="B250" s="47">
        <v>237</v>
      </c>
      <c r="C250" s="48"/>
      <c r="D250" s="48"/>
      <c r="E250" s="48"/>
      <c r="F250" s="48" t="s">
        <v>230</v>
      </c>
      <c r="G250" s="69"/>
      <c r="H250" s="50">
        <f>[1]NERACA!M6683</f>
        <v>0</v>
      </c>
      <c r="I250" s="51">
        <f>[1]NERACA!H6683</f>
        <v>0</v>
      </c>
      <c r="J250" s="124"/>
      <c r="K250" s="40">
        <f t="shared" si="9"/>
        <v>0</v>
      </c>
      <c r="L250" s="46" t="e">
        <f t="shared" si="11"/>
        <v>#DIV/0!</v>
      </c>
      <c r="N250" s="53"/>
      <c r="O250" s="53"/>
    </row>
    <row r="251" spans="2:15" s="41" customFormat="1" ht="20.25" x14ac:dyDescent="0.25">
      <c r="B251" s="29">
        <v>238</v>
      </c>
      <c r="C251" s="36"/>
      <c r="D251" s="36"/>
      <c r="E251" s="36" t="s">
        <v>231</v>
      </c>
      <c r="F251" s="36"/>
      <c r="G251" s="37"/>
      <c r="H251" s="44">
        <f>SUM(H252:H254)</f>
        <v>0</v>
      </c>
      <c r="I251" s="45">
        <f>SUM(I252:I254)</f>
        <v>0</v>
      </c>
      <c r="J251" s="123"/>
      <c r="K251" s="40">
        <f t="shared" si="9"/>
        <v>0</v>
      </c>
      <c r="L251" s="46" t="e">
        <f t="shared" si="11"/>
        <v>#DIV/0!</v>
      </c>
      <c r="N251" s="42"/>
      <c r="O251" s="42"/>
    </row>
    <row r="252" spans="2:15" s="54" customFormat="1" ht="20.25" x14ac:dyDescent="0.25">
      <c r="B252" s="47">
        <v>239</v>
      </c>
      <c r="C252" s="48"/>
      <c r="D252" s="48"/>
      <c r="E252" s="36"/>
      <c r="F252" s="48" t="s">
        <v>232</v>
      </c>
      <c r="G252" s="69"/>
      <c r="H252" s="50">
        <f>[1]NERACA!M6690</f>
        <v>0</v>
      </c>
      <c r="I252" s="51">
        <f>[1]NERACA!H6690</f>
        <v>0</v>
      </c>
      <c r="J252" s="124"/>
      <c r="K252" s="40">
        <f t="shared" si="9"/>
        <v>0</v>
      </c>
      <c r="L252" s="46" t="e">
        <f t="shared" si="11"/>
        <v>#DIV/0!</v>
      </c>
      <c r="N252" s="53"/>
      <c r="O252" s="53"/>
    </row>
    <row r="253" spans="2:15" s="54" customFormat="1" ht="20.25" x14ac:dyDescent="0.25">
      <c r="B253" s="47">
        <v>240</v>
      </c>
      <c r="C253" s="48"/>
      <c r="D253" s="48"/>
      <c r="E253" s="36"/>
      <c r="F253" s="48" t="s">
        <v>233</v>
      </c>
      <c r="G253" s="69"/>
      <c r="H253" s="50">
        <f>[1]NERACA!M6696</f>
        <v>0</v>
      </c>
      <c r="I253" s="51">
        <f>[1]NERACA!H6696</f>
        <v>0</v>
      </c>
      <c r="J253" s="124"/>
      <c r="K253" s="40">
        <f t="shared" si="9"/>
        <v>0</v>
      </c>
      <c r="L253" s="46" t="e">
        <f t="shared" si="11"/>
        <v>#DIV/0!</v>
      </c>
      <c r="N253" s="53"/>
      <c r="O253" s="53"/>
    </row>
    <row r="254" spans="2:15" s="54" customFormat="1" ht="20.25" x14ac:dyDescent="0.25">
      <c r="B254" s="47">
        <v>241</v>
      </c>
      <c r="C254" s="48"/>
      <c r="D254" s="48"/>
      <c r="E254" s="36"/>
      <c r="F254" s="48" t="s">
        <v>234</v>
      </c>
      <c r="G254" s="69"/>
      <c r="H254" s="50">
        <f>[1]NERACA!M6702</f>
        <v>0</v>
      </c>
      <c r="I254" s="51">
        <f>[1]NERACA!H6702</f>
        <v>0</v>
      </c>
      <c r="J254" s="124"/>
      <c r="K254" s="40">
        <f t="shared" si="9"/>
        <v>0</v>
      </c>
      <c r="L254" s="46" t="e">
        <f t="shared" si="11"/>
        <v>#DIV/0!</v>
      </c>
      <c r="N254" s="53"/>
      <c r="O254" s="53"/>
    </row>
    <row r="255" spans="2:15" s="41" customFormat="1" ht="20.25" x14ac:dyDescent="0.25">
      <c r="B255" s="29">
        <v>242</v>
      </c>
      <c r="C255" s="36"/>
      <c r="D255" s="36"/>
      <c r="E255" s="36" t="s">
        <v>235</v>
      </c>
      <c r="F255" s="36"/>
      <c r="G255" s="37"/>
      <c r="H255" s="44">
        <f>SUM(H256:H258)</f>
        <v>0</v>
      </c>
      <c r="I255" s="45">
        <f>SUM(I256:I258)</f>
        <v>0</v>
      </c>
      <c r="J255" s="123"/>
      <c r="K255" s="40">
        <f t="shared" si="9"/>
        <v>0</v>
      </c>
      <c r="L255" s="46" t="e">
        <f t="shared" si="11"/>
        <v>#DIV/0!</v>
      </c>
      <c r="N255" s="42"/>
      <c r="O255" s="42"/>
    </row>
    <row r="256" spans="2:15" s="54" customFormat="1" ht="20.25" x14ac:dyDescent="0.25">
      <c r="B256" s="47">
        <v>243</v>
      </c>
      <c r="C256" s="48"/>
      <c r="D256" s="48"/>
      <c r="E256" s="36"/>
      <c r="F256" s="48" t="s">
        <v>236</v>
      </c>
      <c r="G256" s="69"/>
      <c r="H256" s="50">
        <f>[1]NERACA!M6709</f>
        <v>0</v>
      </c>
      <c r="I256" s="51">
        <f>[1]NERACA!H6709</f>
        <v>0</v>
      </c>
      <c r="J256" s="124"/>
      <c r="K256" s="40">
        <f t="shared" si="9"/>
        <v>0</v>
      </c>
      <c r="L256" s="46" t="e">
        <f t="shared" si="11"/>
        <v>#DIV/0!</v>
      </c>
      <c r="N256" s="53"/>
      <c r="O256" s="53"/>
    </row>
    <row r="257" spans="2:15" s="54" customFormat="1" ht="20.25" x14ac:dyDescent="0.25">
      <c r="B257" s="47">
        <v>244</v>
      </c>
      <c r="C257" s="48"/>
      <c r="D257" s="48"/>
      <c r="E257" s="36"/>
      <c r="F257" s="48" t="s">
        <v>237</v>
      </c>
      <c r="G257" s="69"/>
      <c r="H257" s="50">
        <f>[1]NERACA!M6715</f>
        <v>0</v>
      </c>
      <c r="I257" s="51">
        <f>[1]NERACA!H6715</f>
        <v>0</v>
      </c>
      <c r="J257" s="124"/>
      <c r="K257" s="40">
        <f t="shared" si="9"/>
        <v>0</v>
      </c>
      <c r="L257" s="46" t="e">
        <f t="shared" si="11"/>
        <v>#DIV/0!</v>
      </c>
      <c r="N257" s="53"/>
      <c r="O257" s="53"/>
    </row>
    <row r="258" spans="2:15" s="54" customFormat="1" ht="20.25" x14ac:dyDescent="0.25">
      <c r="B258" s="47">
        <v>245</v>
      </c>
      <c r="C258" s="48"/>
      <c r="D258" s="48"/>
      <c r="E258" s="36"/>
      <c r="F258" s="48" t="s">
        <v>238</v>
      </c>
      <c r="G258" s="69"/>
      <c r="H258" s="50">
        <f>[1]NERACA!M6721</f>
        <v>0</v>
      </c>
      <c r="I258" s="51">
        <f>[1]NERACA!H6721</f>
        <v>0</v>
      </c>
      <c r="J258" s="124"/>
      <c r="K258" s="40">
        <f t="shared" si="9"/>
        <v>0</v>
      </c>
      <c r="L258" s="46" t="e">
        <f t="shared" si="11"/>
        <v>#DIV/0!</v>
      </c>
      <c r="N258" s="53"/>
      <c r="O258" s="53"/>
    </row>
    <row r="259" spans="2:15" s="41" customFormat="1" ht="20.25" x14ac:dyDescent="0.25">
      <c r="B259" s="29">
        <v>246</v>
      </c>
      <c r="C259" s="36"/>
      <c r="D259" s="36"/>
      <c r="E259" s="36" t="s">
        <v>239</v>
      </c>
      <c r="F259" s="36"/>
      <c r="G259" s="37"/>
      <c r="H259" s="44">
        <f>+H260</f>
        <v>0</v>
      </c>
      <c r="I259" s="45">
        <f>+I260</f>
        <v>0</v>
      </c>
      <c r="J259" s="123"/>
      <c r="K259" s="40">
        <f t="shared" si="9"/>
        <v>0</v>
      </c>
      <c r="L259" s="46" t="e">
        <f t="shared" si="11"/>
        <v>#DIV/0!</v>
      </c>
      <c r="N259" s="42"/>
      <c r="O259" s="42"/>
    </row>
    <row r="260" spans="2:15" s="54" customFormat="1" ht="20.25" x14ac:dyDescent="0.25">
      <c r="B260" s="47">
        <v>247</v>
      </c>
      <c r="C260" s="48"/>
      <c r="D260" s="48"/>
      <c r="E260" s="36"/>
      <c r="F260" s="48" t="s">
        <v>240</v>
      </c>
      <c r="G260" s="69"/>
      <c r="H260" s="50"/>
      <c r="I260" s="51">
        <f>[1]NERACA!H6728</f>
        <v>0</v>
      </c>
      <c r="J260" s="124"/>
      <c r="K260" s="40">
        <f t="shared" si="9"/>
        <v>0</v>
      </c>
      <c r="L260" s="46" t="e">
        <f t="shared" si="11"/>
        <v>#DIV/0!</v>
      </c>
      <c r="N260" s="53"/>
      <c r="O260" s="53"/>
    </row>
    <row r="261" spans="2:15" s="41" customFormat="1" ht="20.25" x14ac:dyDescent="0.25">
      <c r="B261" s="29">
        <v>248</v>
      </c>
      <c r="C261" s="36"/>
      <c r="D261" s="36"/>
      <c r="E261" s="36"/>
      <c r="F261" s="30" t="s">
        <v>241</v>
      </c>
      <c r="G261" s="37"/>
      <c r="H261" s="44">
        <f>+H259+H255+H251+H247</f>
        <v>0</v>
      </c>
      <c r="I261" s="45">
        <f>+I259+I255+I251+I247</f>
        <v>0</v>
      </c>
      <c r="J261" s="46"/>
      <c r="K261" s="40">
        <f t="shared" si="9"/>
        <v>0</v>
      </c>
      <c r="L261" s="46" t="e">
        <f t="shared" si="11"/>
        <v>#DIV/0!</v>
      </c>
      <c r="N261" s="42"/>
      <c r="O261" s="42"/>
    </row>
    <row r="262" spans="2:15" s="41" customFormat="1" ht="20.25" x14ac:dyDescent="0.25">
      <c r="B262" s="47">
        <v>249</v>
      </c>
      <c r="C262" s="36"/>
      <c r="D262" s="36"/>
      <c r="E262" s="36"/>
      <c r="F262" s="36"/>
      <c r="G262" s="37"/>
      <c r="H262" s="44"/>
      <c r="I262" s="45"/>
      <c r="J262" s="46"/>
      <c r="K262" s="40"/>
      <c r="L262" s="46"/>
      <c r="N262" s="42"/>
      <c r="O262" s="42"/>
    </row>
    <row r="263" spans="2:15" s="41" customFormat="1" ht="20.25" x14ac:dyDescent="0.25">
      <c r="B263" s="29">
        <v>250</v>
      </c>
      <c r="C263" s="87"/>
      <c r="D263" s="87"/>
      <c r="E263" s="87"/>
      <c r="F263" s="30" t="s">
        <v>242</v>
      </c>
      <c r="G263" s="31"/>
      <c r="H263" s="88">
        <f>H244+H261</f>
        <v>37348700000</v>
      </c>
      <c r="I263" s="96">
        <f>I244+I261</f>
        <v>36066667825</v>
      </c>
      <c r="J263" s="40"/>
      <c r="K263" s="40">
        <f t="shared" si="9"/>
        <v>1282032175</v>
      </c>
      <c r="L263" s="46">
        <f t="shared" si="11"/>
        <v>3.5546177462819162</v>
      </c>
      <c r="N263" s="42"/>
      <c r="O263" s="42"/>
    </row>
    <row r="264" spans="2:15" s="41" customFormat="1" ht="20.25" x14ac:dyDescent="0.25">
      <c r="B264" s="47">
        <v>251</v>
      </c>
      <c r="C264" s="87"/>
      <c r="D264" s="87"/>
      <c r="E264" s="87"/>
      <c r="F264" s="125"/>
      <c r="G264" s="31"/>
      <c r="H264" s="88"/>
      <c r="I264" s="96"/>
      <c r="J264" s="40"/>
      <c r="K264" s="40"/>
      <c r="L264" s="46"/>
      <c r="N264" s="42"/>
      <c r="O264" s="42"/>
    </row>
    <row r="265" spans="2:15" s="41" customFormat="1" ht="20.25" x14ac:dyDescent="0.25">
      <c r="B265" s="47">
        <v>252</v>
      </c>
      <c r="C265" s="36"/>
      <c r="D265" s="36" t="s">
        <v>243</v>
      </c>
      <c r="E265" s="36"/>
      <c r="F265" s="36"/>
      <c r="G265" s="49"/>
      <c r="H265" s="44"/>
      <c r="I265" s="45"/>
      <c r="J265" s="40"/>
      <c r="K265" s="40"/>
      <c r="L265" s="46"/>
      <c r="N265" s="42"/>
      <c r="O265" s="42"/>
    </row>
    <row r="266" spans="2:15" s="41" customFormat="1" ht="20.25" hidden="1" x14ac:dyDescent="0.25">
      <c r="B266" s="47">
        <v>253</v>
      </c>
      <c r="C266" s="36" t="s">
        <v>243</v>
      </c>
      <c r="D266" s="36"/>
      <c r="E266" s="36"/>
      <c r="F266" s="36"/>
      <c r="G266" s="55"/>
      <c r="H266" s="44"/>
      <c r="I266" s="45"/>
      <c r="J266" s="40"/>
      <c r="K266" s="40">
        <f t="shared" si="9"/>
        <v>0</v>
      </c>
      <c r="L266" s="46" t="e">
        <f t="shared" si="11"/>
        <v>#DIV/0!</v>
      </c>
      <c r="N266" s="42"/>
      <c r="O266" s="42"/>
    </row>
    <row r="267" spans="2:15" s="41" customFormat="1" ht="20.25" hidden="1" x14ac:dyDescent="0.25">
      <c r="B267" s="47">
        <v>254</v>
      </c>
      <c r="C267" s="36" t="s">
        <v>243</v>
      </c>
      <c r="D267" s="36" t="s">
        <v>244</v>
      </c>
      <c r="E267" s="36"/>
      <c r="F267" s="36"/>
      <c r="G267" s="55"/>
      <c r="H267" s="126"/>
      <c r="I267" s="127"/>
      <c r="J267" s="40"/>
      <c r="K267" s="40">
        <f t="shared" si="9"/>
        <v>0</v>
      </c>
      <c r="L267" s="46" t="e">
        <f t="shared" si="11"/>
        <v>#DIV/0!</v>
      </c>
      <c r="N267" s="42"/>
      <c r="O267" s="42"/>
    </row>
    <row r="268" spans="2:15" s="54" customFormat="1" ht="20.25" hidden="1" x14ac:dyDescent="0.25">
      <c r="B268" s="47">
        <v>255</v>
      </c>
      <c r="C268" s="36" t="s">
        <v>243</v>
      </c>
      <c r="D268" s="48"/>
      <c r="E268" s="48"/>
      <c r="F268" s="48" t="s">
        <v>245</v>
      </c>
      <c r="G268" s="49"/>
      <c r="H268" s="128" t="str">
        <f>+[3]NERACA!C77</f>
        <v>02</v>
      </c>
      <c r="I268" s="129">
        <f>+[4]NERACA!I77</f>
        <v>0</v>
      </c>
      <c r="J268" s="52"/>
      <c r="K268" s="40">
        <f t="shared" si="9"/>
        <v>2</v>
      </c>
      <c r="L268" s="46" t="e">
        <f t="shared" si="11"/>
        <v>#DIV/0!</v>
      </c>
      <c r="N268" s="53"/>
      <c r="O268" s="53"/>
    </row>
    <row r="269" spans="2:15" s="54" customFormat="1" ht="20.25" hidden="1" x14ac:dyDescent="0.25">
      <c r="B269" s="47">
        <v>256</v>
      </c>
      <c r="C269" s="36" t="s">
        <v>243</v>
      </c>
      <c r="D269" s="48"/>
      <c r="E269" s="48"/>
      <c r="F269" s="48" t="s">
        <v>246</v>
      </c>
      <c r="G269" s="49"/>
      <c r="H269" s="128">
        <f>+[4]NERACA!C78</f>
        <v>0</v>
      </c>
      <c r="I269" s="129">
        <f>+[4]NERACA!I78</f>
        <v>0</v>
      </c>
      <c r="J269" s="52"/>
      <c r="K269" s="40">
        <f t="shared" si="9"/>
        <v>0</v>
      </c>
      <c r="L269" s="46" t="e">
        <f t="shared" si="11"/>
        <v>#DIV/0!</v>
      </c>
      <c r="N269" s="53"/>
      <c r="O269" s="53"/>
    </row>
    <row r="270" spans="2:15" s="54" customFormat="1" ht="20.25" hidden="1" x14ac:dyDescent="0.25">
      <c r="B270" s="47">
        <v>257</v>
      </c>
      <c r="C270" s="36" t="s">
        <v>243</v>
      </c>
      <c r="D270" s="48"/>
      <c r="E270" s="48"/>
      <c r="F270" s="48" t="s">
        <v>247</v>
      </c>
      <c r="G270" s="49"/>
      <c r="H270" s="128" t="str">
        <f>+[4]NERACA!C79</f>
        <v>02</v>
      </c>
      <c r="I270" s="129">
        <f>+[4]NERACA!I79</f>
        <v>0</v>
      </c>
      <c r="J270" s="52"/>
      <c r="K270" s="40">
        <f t="shared" si="9"/>
        <v>2</v>
      </c>
      <c r="L270" s="46" t="e">
        <f t="shared" si="11"/>
        <v>#DIV/0!</v>
      </c>
      <c r="N270" s="53"/>
      <c r="O270" s="53"/>
    </row>
    <row r="271" spans="2:15" s="54" customFormat="1" ht="20.25" hidden="1" customHeight="1" x14ac:dyDescent="0.25">
      <c r="B271" s="47">
        <v>258</v>
      </c>
      <c r="C271" s="36" t="s">
        <v>243</v>
      </c>
      <c r="D271" s="48"/>
      <c r="E271" s="48"/>
      <c r="F271" s="63" t="s">
        <v>248</v>
      </c>
      <c r="G271" s="49"/>
      <c r="H271" s="130" t="str">
        <f>+[4]NERACA!C80</f>
        <v>02</v>
      </c>
      <c r="I271" s="131">
        <f>+[4]NERACA!I80</f>
        <v>0</v>
      </c>
      <c r="J271" s="52"/>
      <c r="K271" s="40">
        <f t="shared" si="9"/>
        <v>2</v>
      </c>
      <c r="L271" s="46" t="e">
        <f t="shared" si="11"/>
        <v>#DIV/0!</v>
      </c>
      <c r="M271" s="132"/>
      <c r="N271" s="53"/>
      <c r="O271" s="53"/>
    </row>
    <row r="272" spans="2:15" s="54" customFormat="1" ht="20.25" hidden="1" x14ac:dyDescent="0.25">
      <c r="B272" s="47">
        <v>259</v>
      </c>
      <c r="C272" s="36" t="s">
        <v>243</v>
      </c>
      <c r="D272" s="48"/>
      <c r="E272" s="48"/>
      <c r="F272" s="63"/>
      <c r="G272" s="49"/>
      <c r="H272" s="130"/>
      <c r="I272" s="131"/>
      <c r="J272" s="83"/>
      <c r="K272" s="40">
        <f t="shared" si="9"/>
        <v>0</v>
      </c>
      <c r="L272" s="46" t="e">
        <f t="shared" si="11"/>
        <v>#DIV/0!</v>
      </c>
      <c r="N272" s="53"/>
      <c r="O272" s="53"/>
    </row>
    <row r="273" spans="2:15" s="54" customFormat="1" ht="20.25" hidden="1" x14ac:dyDescent="0.25">
      <c r="B273" s="47">
        <v>260</v>
      </c>
      <c r="C273" s="36" t="s">
        <v>243</v>
      </c>
      <c r="D273" s="36" t="s">
        <v>249</v>
      </c>
      <c r="E273" s="48"/>
      <c r="F273" s="63"/>
      <c r="G273" s="49"/>
      <c r="H273" s="130"/>
      <c r="I273" s="131"/>
      <c r="J273" s="82"/>
      <c r="K273" s="40">
        <f t="shared" si="9"/>
        <v>0</v>
      </c>
      <c r="L273" s="46" t="e">
        <f t="shared" si="11"/>
        <v>#DIV/0!</v>
      </c>
      <c r="N273" s="53"/>
      <c r="O273" s="53"/>
    </row>
    <row r="274" spans="2:15" s="54" customFormat="1" ht="20.25" hidden="1" x14ac:dyDescent="0.25">
      <c r="B274" s="47">
        <v>261</v>
      </c>
      <c r="C274" s="36" t="s">
        <v>243</v>
      </c>
      <c r="D274" s="48"/>
      <c r="E274" s="48"/>
      <c r="F274" s="48" t="s">
        <v>250</v>
      </c>
      <c r="G274" s="49"/>
      <c r="H274" s="128" t="str">
        <f>+[4]NERACA!C81</f>
        <v>02</v>
      </c>
      <c r="I274" s="129" t="e">
        <f>+#REF!</f>
        <v>#REF!</v>
      </c>
      <c r="J274" s="52"/>
      <c r="K274" s="40" t="e">
        <f t="shared" si="9"/>
        <v>#REF!</v>
      </c>
      <c r="L274" s="46" t="e">
        <f t="shared" si="11"/>
        <v>#REF!</v>
      </c>
      <c r="N274" s="53"/>
      <c r="O274" s="53"/>
    </row>
    <row r="275" spans="2:15" s="54" customFormat="1" ht="20.25" hidden="1" x14ac:dyDescent="0.25">
      <c r="B275" s="47">
        <v>262</v>
      </c>
      <c r="C275" s="36" t="s">
        <v>243</v>
      </c>
      <c r="D275" s="48"/>
      <c r="E275" s="48"/>
      <c r="F275" s="48" t="s">
        <v>251</v>
      </c>
      <c r="G275" s="49"/>
      <c r="H275" s="128">
        <f>+[4]NERACA!C82</f>
        <v>0</v>
      </c>
      <c r="I275" s="129">
        <f>+[4]NERACA!I82</f>
        <v>0</v>
      </c>
      <c r="J275" s="52"/>
      <c r="K275" s="40">
        <f t="shared" si="9"/>
        <v>0</v>
      </c>
      <c r="L275" s="46" t="e">
        <f t="shared" si="11"/>
        <v>#DIV/0!</v>
      </c>
      <c r="N275" s="53"/>
      <c r="O275" s="53"/>
    </row>
    <row r="276" spans="2:15" s="54" customFormat="1" ht="20.25" hidden="1" x14ac:dyDescent="0.25">
      <c r="B276" s="47">
        <v>263</v>
      </c>
      <c r="C276" s="36" t="s">
        <v>243</v>
      </c>
      <c r="D276" s="48"/>
      <c r="E276" s="48"/>
      <c r="F276" s="48" t="s">
        <v>252</v>
      </c>
      <c r="G276" s="49"/>
      <c r="H276" s="128" t="str">
        <f>+[4]NERACA!C83</f>
        <v>03</v>
      </c>
      <c r="I276" s="129">
        <f>+[4]NERACA!I83</f>
        <v>0</v>
      </c>
      <c r="J276" s="52"/>
      <c r="K276" s="40">
        <f t="shared" si="9"/>
        <v>3</v>
      </c>
      <c r="L276" s="46" t="e">
        <f t="shared" si="11"/>
        <v>#DIV/0!</v>
      </c>
      <c r="N276" s="53"/>
      <c r="O276" s="53"/>
    </row>
    <row r="277" spans="2:15" s="54" customFormat="1" ht="20.25" hidden="1" x14ac:dyDescent="0.25">
      <c r="B277" s="47">
        <v>264</v>
      </c>
      <c r="C277" s="36" t="s">
        <v>243</v>
      </c>
      <c r="D277" s="48"/>
      <c r="E277" s="48"/>
      <c r="F277" s="133"/>
      <c r="G277" s="49"/>
      <c r="H277" s="128"/>
      <c r="I277" s="129"/>
      <c r="J277" s="52"/>
      <c r="K277" s="40">
        <f t="shared" si="9"/>
        <v>0</v>
      </c>
      <c r="L277" s="46" t="e">
        <f t="shared" si="11"/>
        <v>#DIV/0!</v>
      </c>
      <c r="N277" s="53"/>
      <c r="O277" s="53"/>
    </row>
    <row r="278" spans="2:15" s="54" customFormat="1" ht="20.25" hidden="1" x14ac:dyDescent="0.25">
      <c r="B278" s="47">
        <v>265</v>
      </c>
      <c r="C278" s="36" t="s">
        <v>243</v>
      </c>
      <c r="D278" s="36" t="s">
        <v>253</v>
      </c>
      <c r="E278" s="48"/>
      <c r="F278" s="133"/>
      <c r="G278" s="49"/>
      <c r="H278" s="128"/>
      <c r="I278" s="129"/>
      <c r="J278" s="52"/>
      <c r="K278" s="40">
        <f t="shared" si="9"/>
        <v>0</v>
      </c>
      <c r="L278" s="46" t="e">
        <f t="shared" si="11"/>
        <v>#DIV/0!</v>
      </c>
      <c r="N278" s="53"/>
      <c r="O278" s="53"/>
    </row>
    <row r="279" spans="2:15" s="54" customFormat="1" ht="20.25" hidden="1" x14ac:dyDescent="0.25">
      <c r="B279" s="47">
        <v>266</v>
      </c>
      <c r="C279" s="36" t="s">
        <v>243</v>
      </c>
      <c r="D279" s="48"/>
      <c r="E279" s="48"/>
      <c r="F279" s="133" t="s">
        <v>254</v>
      </c>
      <c r="G279" s="49"/>
      <c r="H279" s="128" t="str">
        <f>+[4]NERACA!C84</f>
        <v>03</v>
      </c>
      <c r="I279" s="129">
        <f>+[4]NERACA!I84</f>
        <v>0</v>
      </c>
      <c r="J279" s="52"/>
      <c r="K279" s="40">
        <f t="shared" si="9"/>
        <v>3</v>
      </c>
      <c r="L279" s="46" t="e">
        <f t="shared" si="11"/>
        <v>#DIV/0!</v>
      </c>
      <c r="N279" s="53"/>
      <c r="O279" s="53"/>
    </row>
    <row r="280" spans="2:15" s="54" customFormat="1" ht="20.25" hidden="1" x14ac:dyDescent="0.25">
      <c r="B280" s="47">
        <v>267</v>
      </c>
      <c r="C280" s="36" t="s">
        <v>243</v>
      </c>
      <c r="D280" s="48"/>
      <c r="E280" s="48"/>
      <c r="F280" s="48" t="s">
        <v>255</v>
      </c>
      <c r="G280" s="49"/>
      <c r="H280" s="50" t="str">
        <f>+[4]NERACA!C85</f>
        <v>03</v>
      </c>
      <c r="I280" s="51">
        <f>+[4]NERACA!I85</f>
        <v>0</v>
      </c>
      <c r="J280" s="52"/>
      <c r="K280" s="40">
        <f t="shared" si="9"/>
        <v>3</v>
      </c>
      <c r="L280" s="46" t="e">
        <f t="shared" si="11"/>
        <v>#DIV/0!</v>
      </c>
      <c r="N280" s="53"/>
      <c r="O280" s="53"/>
    </row>
    <row r="281" spans="2:15" s="54" customFormat="1" ht="20.25" hidden="1" x14ac:dyDescent="0.25">
      <c r="B281" s="47">
        <v>268</v>
      </c>
      <c r="C281" s="36" t="s">
        <v>243</v>
      </c>
      <c r="D281" s="48"/>
      <c r="E281" s="48"/>
      <c r="F281" s="48" t="s">
        <v>256</v>
      </c>
      <c r="G281" s="49"/>
      <c r="H281" s="134" t="str">
        <f>+[4]NERACA!C86</f>
        <v>03</v>
      </c>
      <c r="I281" s="135">
        <f>+[4]NERACA!I86</f>
        <v>0</v>
      </c>
      <c r="J281" s="83"/>
      <c r="K281" s="40">
        <f t="shared" si="9"/>
        <v>3</v>
      </c>
      <c r="L281" s="46" t="e">
        <f t="shared" si="11"/>
        <v>#DIV/0!</v>
      </c>
      <c r="N281" s="53"/>
      <c r="O281" s="53"/>
    </row>
    <row r="282" spans="2:15" s="54" customFormat="1" ht="20.25" hidden="1" x14ac:dyDescent="0.25">
      <c r="B282" s="47">
        <v>269</v>
      </c>
      <c r="C282" s="36" t="s">
        <v>243</v>
      </c>
      <c r="D282" s="48"/>
      <c r="E282" s="48"/>
      <c r="F282" s="48"/>
      <c r="G282" s="49"/>
      <c r="H282" s="134"/>
      <c r="I282" s="135"/>
      <c r="J282" s="83"/>
      <c r="K282" s="40">
        <f t="shared" si="9"/>
        <v>0</v>
      </c>
      <c r="L282" s="46" t="e">
        <f t="shared" si="11"/>
        <v>#DIV/0!</v>
      </c>
      <c r="N282" s="53"/>
      <c r="O282" s="53"/>
    </row>
    <row r="283" spans="2:15" s="41" customFormat="1" ht="20.25" hidden="1" x14ac:dyDescent="0.25">
      <c r="B283" s="47">
        <v>270</v>
      </c>
      <c r="C283" s="36" t="s">
        <v>243</v>
      </c>
      <c r="D283" s="36" t="s">
        <v>257</v>
      </c>
      <c r="E283" s="36"/>
      <c r="F283" s="36"/>
      <c r="G283" s="55"/>
      <c r="H283" s="136"/>
      <c r="I283" s="118"/>
      <c r="J283" s="82"/>
      <c r="K283" s="40">
        <f t="shared" si="9"/>
        <v>0</v>
      </c>
      <c r="L283" s="46" t="e">
        <f t="shared" si="11"/>
        <v>#DIV/0!</v>
      </c>
      <c r="N283" s="42"/>
      <c r="O283" s="42"/>
    </row>
    <row r="284" spans="2:15" s="41" customFormat="1" ht="20.25" hidden="1" x14ac:dyDescent="0.25">
      <c r="B284" s="47">
        <v>271</v>
      </c>
      <c r="C284" s="36" t="s">
        <v>243</v>
      </c>
      <c r="D284" s="36" t="s">
        <v>258</v>
      </c>
      <c r="E284" s="36"/>
      <c r="F284" s="137"/>
      <c r="G284" s="55"/>
      <c r="H284" s="44"/>
      <c r="I284" s="45"/>
      <c r="J284" s="82"/>
      <c r="K284" s="40">
        <f t="shared" si="9"/>
        <v>0</v>
      </c>
      <c r="L284" s="46" t="e">
        <f t="shared" si="11"/>
        <v>#DIV/0!</v>
      </c>
      <c r="N284" s="42"/>
      <c r="O284" s="42"/>
    </row>
    <row r="285" spans="2:15" s="41" customFormat="1" ht="20.25" x14ac:dyDescent="0.25">
      <c r="B285" s="47">
        <v>272</v>
      </c>
      <c r="D285" s="36"/>
      <c r="E285" s="36" t="s">
        <v>243</v>
      </c>
      <c r="F285" s="137"/>
      <c r="G285" s="138"/>
      <c r="H285" s="44">
        <f>SUM(H286:H287)</f>
        <v>13393734304645.9</v>
      </c>
      <c r="I285" s="45">
        <f>SUM(I286:I287)</f>
        <v>12908728695345.18</v>
      </c>
      <c r="J285" s="82"/>
      <c r="K285" s="40">
        <f t="shared" si="9"/>
        <v>485005609300.7207</v>
      </c>
      <c r="L285" s="46">
        <f t="shared" si="11"/>
        <v>3.7571911281674946</v>
      </c>
      <c r="N285" s="42"/>
      <c r="O285" s="42"/>
    </row>
    <row r="286" spans="2:15" s="54" customFormat="1" ht="20.25" x14ac:dyDescent="0.25">
      <c r="B286" s="47">
        <v>273</v>
      </c>
      <c r="D286" s="48"/>
      <c r="E286" s="48"/>
      <c r="F286" s="48" t="s">
        <v>259</v>
      </c>
      <c r="G286" s="139"/>
      <c r="H286" s="50">
        <f>[1]NERACA!H6769+[1]LPE!D16</f>
        <v>1399397452250.2495</v>
      </c>
      <c r="I286" s="51">
        <f>[1]NERACA!H6738</f>
        <v>1817591944804.48</v>
      </c>
      <c r="J286" s="83"/>
      <c r="K286" s="52">
        <f t="shared" si="9"/>
        <v>-418194492554.23047</v>
      </c>
      <c r="L286" s="140">
        <f t="shared" si="11"/>
        <v>-23.008161636588682</v>
      </c>
      <c r="N286" s="53"/>
      <c r="O286" s="53"/>
    </row>
    <row r="287" spans="2:15" s="54" customFormat="1" ht="20.25" x14ac:dyDescent="0.25">
      <c r="B287" s="47">
        <v>274</v>
      </c>
      <c r="C287" s="48"/>
      <c r="D287" s="48"/>
      <c r="E287" s="48"/>
      <c r="F287" s="63" t="s">
        <v>260</v>
      </c>
      <c r="G287" s="139"/>
      <c r="H287" s="50">
        <f>[1]NERACA!L6743</f>
        <v>11994336852395.65</v>
      </c>
      <c r="I287" s="51">
        <f>[1]NERACA!H6741</f>
        <v>11091136750540.699</v>
      </c>
      <c r="J287" s="83"/>
      <c r="K287" s="52">
        <f t="shared" si="9"/>
        <v>903200101854.95117</v>
      </c>
      <c r="L287" s="140">
        <f t="shared" si="11"/>
        <v>8.1434403178819306</v>
      </c>
      <c r="N287" s="53"/>
      <c r="O287" s="53"/>
    </row>
    <row r="288" spans="2:15" s="41" customFormat="1" ht="20.25" x14ac:dyDescent="0.25">
      <c r="B288" s="47">
        <v>275</v>
      </c>
      <c r="C288" s="36"/>
      <c r="D288" s="36"/>
      <c r="E288" s="36" t="s">
        <v>261</v>
      </c>
      <c r="F288" s="137"/>
      <c r="G288" s="141"/>
      <c r="H288" s="44">
        <f>SUM(H289:H294)</f>
        <v>0</v>
      </c>
      <c r="I288" s="45">
        <f>SUM(I289:I294)</f>
        <v>0</v>
      </c>
      <c r="J288" s="82"/>
      <c r="K288" s="40">
        <f t="shared" si="9"/>
        <v>0</v>
      </c>
      <c r="L288" s="46" t="e">
        <f t="shared" si="11"/>
        <v>#DIV/0!</v>
      </c>
      <c r="N288" s="42"/>
      <c r="O288" s="42"/>
    </row>
    <row r="289" spans="2:15" s="54" customFormat="1" ht="20.25" x14ac:dyDescent="0.25">
      <c r="B289" s="47">
        <v>276</v>
      </c>
      <c r="C289" s="48"/>
      <c r="D289" s="48"/>
      <c r="E289" s="48"/>
      <c r="F289" s="63" t="s">
        <v>262</v>
      </c>
      <c r="G289" s="139"/>
      <c r="H289" s="50">
        <f>[1]NERACA!M6746</f>
        <v>0</v>
      </c>
      <c r="I289" s="51">
        <f>[1]NERACA!H6746</f>
        <v>0</v>
      </c>
      <c r="J289" s="83"/>
      <c r="K289" s="52">
        <f t="shared" si="9"/>
        <v>0</v>
      </c>
      <c r="L289" s="140" t="e">
        <f t="shared" si="11"/>
        <v>#DIV/0!</v>
      </c>
      <c r="N289" s="53"/>
      <c r="O289" s="53"/>
    </row>
    <row r="290" spans="2:15" s="54" customFormat="1" ht="20.25" x14ac:dyDescent="0.25">
      <c r="B290" s="47">
        <v>277</v>
      </c>
      <c r="C290" s="48"/>
      <c r="D290" s="48"/>
      <c r="E290" s="48"/>
      <c r="F290" s="63" t="s">
        <v>263</v>
      </c>
      <c r="G290" s="139"/>
      <c r="H290" s="50">
        <f>[1]NERACA!M6749</f>
        <v>0</v>
      </c>
      <c r="I290" s="51">
        <f>[1]NERACA!H6749</f>
        <v>0</v>
      </c>
      <c r="J290" s="83"/>
      <c r="K290" s="52">
        <f t="shared" si="9"/>
        <v>0</v>
      </c>
      <c r="L290" s="140" t="e">
        <f t="shared" si="11"/>
        <v>#DIV/0!</v>
      </c>
      <c r="N290" s="53"/>
      <c r="O290" s="53"/>
    </row>
    <row r="291" spans="2:15" s="54" customFormat="1" ht="20.25" x14ac:dyDescent="0.25">
      <c r="B291" s="47">
        <v>278</v>
      </c>
      <c r="C291" s="48"/>
      <c r="D291" s="48"/>
      <c r="E291" s="48"/>
      <c r="F291" s="63" t="s">
        <v>264</v>
      </c>
      <c r="G291" s="139"/>
      <c r="H291" s="50">
        <f>[1]NERACA!M6752</f>
        <v>0</v>
      </c>
      <c r="I291" s="51">
        <f>[1]NERACA!H6752</f>
        <v>0</v>
      </c>
      <c r="J291" s="83"/>
      <c r="K291" s="52">
        <f t="shared" si="9"/>
        <v>0</v>
      </c>
      <c r="L291" s="140" t="e">
        <f t="shared" si="11"/>
        <v>#DIV/0!</v>
      </c>
      <c r="N291" s="53"/>
      <c r="O291" s="53"/>
    </row>
    <row r="292" spans="2:15" s="54" customFormat="1" ht="20.25" x14ac:dyDescent="0.25">
      <c r="B292" s="47">
        <v>279</v>
      </c>
      <c r="C292" s="48"/>
      <c r="D292" s="48"/>
      <c r="E292" s="48"/>
      <c r="F292" s="63" t="s">
        <v>265</v>
      </c>
      <c r="G292" s="139"/>
      <c r="H292" s="50">
        <f>[1]NERACA!M6755</f>
        <v>0</v>
      </c>
      <c r="I292" s="51">
        <f>[1]NERACA!H6755</f>
        <v>0</v>
      </c>
      <c r="J292" s="83"/>
      <c r="K292" s="52">
        <f t="shared" si="9"/>
        <v>0</v>
      </c>
      <c r="L292" s="140" t="e">
        <f t="shared" si="11"/>
        <v>#DIV/0!</v>
      </c>
      <c r="N292" s="53"/>
      <c r="O292" s="53"/>
    </row>
    <row r="293" spans="2:15" s="54" customFormat="1" ht="20.25" x14ac:dyDescent="0.25">
      <c r="B293" s="47">
        <v>280</v>
      </c>
      <c r="C293" s="48"/>
      <c r="D293" s="48"/>
      <c r="E293" s="48"/>
      <c r="F293" s="63" t="s">
        <v>266</v>
      </c>
      <c r="G293" s="139"/>
      <c r="H293" s="50">
        <f>[1]NERACA!M6758</f>
        <v>0</v>
      </c>
      <c r="I293" s="51">
        <f>[1]NERACA!H6758</f>
        <v>0</v>
      </c>
      <c r="J293" s="83"/>
      <c r="K293" s="52">
        <f t="shared" si="9"/>
        <v>0</v>
      </c>
      <c r="L293" s="140" t="e">
        <f t="shared" si="11"/>
        <v>#DIV/0!</v>
      </c>
      <c r="N293" s="53"/>
      <c r="O293" s="53"/>
    </row>
    <row r="294" spans="2:15" s="54" customFormat="1" ht="20.25" x14ac:dyDescent="0.25">
      <c r="B294" s="47">
        <v>281</v>
      </c>
      <c r="C294" s="48"/>
      <c r="D294" s="48"/>
      <c r="E294" s="48"/>
      <c r="F294" s="63" t="s">
        <v>267</v>
      </c>
      <c r="G294" s="139"/>
      <c r="H294" s="50">
        <f>[1]NERACA!M6761</f>
        <v>0</v>
      </c>
      <c r="I294" s="51">
        <f>[1]NERACA!H6761</f>
        <v>0</v>
      </c>
      <c r="J294" s="83"/>
      <c r="K294" s="52">
        <f t="shared" si="9"/>
        <v>0</v>
      </c>
      <c r="L294" s="140" t="e">
        <f t="shared" si="11"/>
        <v>#DIV/0!</v>
      </c>
      <c r="N294" s="53"/>
      <c r="O294" s="53"/>
    </row>
    <row r="295" spans="2:15" s="41" customFormat="1" ht="20.25" x14ac:dyDescent="0.25">
      <c r="B295" s="47">
        <v>282</v>
      </c>
      <c r="C295" s="36"/>
      <c r="D295" s="36"/>
      <c r="E295" s="36" t="s">
        <v>268</v>
      </c>
      <c r="F295" s="137"/>
      <c r="G295" s="141"/>
      <c r="H295" s="44">
        <f>+H296</f>
        <v>-11615718722747</v>
      </c>
      <c r="I295" s="45">
        <f>+I296</f>
        <v>-10958368352461</v>
      </c>
      <c r="J295" s="82"/>
      <c r="K295" s="40">
        <f t="shared" si="9"/>
        <v>-657350370286</v>
      </c>
      <c r="L295" s="46">
        <f t="shared" si="11"/>
        <v>5.9986153881966748</v>
      </c>
      <c r="N295" s="42"/>
      <c r="O295" s="42"/>
    </row>
    <row r="296" spans="2:15" s="54" customFormat="1" ht="20.25" x14ac:dyDescent="0.25">
      <c r="B296" s="47">
        <v>283</v>
      </c>
      <c r="C296" s="48"/>
      <c r="D296" s="48"/>
      <c r="E296" s="48"/>
      <c r="F296" s="63" t="s">
        <v>269</v>
      </c>
      <c r="G296" s="139"/>
      <c r="H296" s="50">
        <f>-[1]NERACA!K6768+[1]NERACA!L6768</f>
        <v>-11615718722747</v>
      </c>
      <c r="I296" s="51">
        <f>[1]NERACA!H6766</f>
        <v>-10958368352461</v>
      </c>
      <c r="J296" s="83"/>
      <c r="K296" s="52">
        <f t="shared" si="9"/>
        <v>-657350370286</v>
      </c>
      <c r="L296" s="140">
        <f t="shared" si="11"/>
        <v>5.9986153881966748</v>
      </c>
      <c r="N296" s="53"/>
      <c r="O296" s="53"/>
    </row>
    <row r="297" spans="2:15" s="41" customFormat="1" ht="20.25" x14ac:dyDescent="0.25">
      <c r="B297" s="47">
        <v>284</v>
      </c>
      <c r="C297" s="36"/>
      <c r="D297" s="36"/>
      <c r="E297" s="36"/>
      <c r="F297" s="65" t="s">
        <v>270</v>
      </c>
      <c r="G297" s="37"/>
      <c r="H297" s="56">
        <f>+H295+H288+H285</f>
        <v>1778015581898.9004</v>
      </c>
      <c r="I297" s="45">
        <f>+I295+I288+I285</f>
        <v>1950360342884.1797</v>
      </c>
      <c r="J297" s="40"/>
      <c r="K297" s="40">
        <f t="shared" si="9"/>
        <v>-172344760985.2793</v>
      </c>
      <c r="L297" s="46">
        <f t="shared" si="11"/>
        <v>-8.8365599523223004</v>
      </c>
      <c r="N297" s="42"/>
      <c r="O297" s="42"/>
    </row>
    <row r="298" spans="2:15" s="54" customFormat="1" ht="20.25" x14ac:dyDescent="0.25">
      <c r="B298" s="47">
        <v>285</v>
      </c>
      <c r="C298" s="48"/>
      <c r="D298" s="48"/>
      <c r="E298" s="48"/>
      <c r="F298" s="142"/>
      <c r="G298" s="69"/>
      <c r="H298" s="143"/>
      <c r="I298" s="51"/>
      <c r="J298" s="52"/>
      <c r="K298" s="40"/>
      <c r="L298" s="46"/>
      <c r="N298" s="53"/>
      <c r="O298" s="53"/>
    </row>
    <row r="299" spans="2:15" s="41" customFormat="1" ht="21" thickBot="1" x14ac:dyDescent="0.3">
      <c r="B299" s="47">
        <v>286</v>
      </c>
      <c r="C299" s="144"/>
      <c r="D299" s="144"/>
      <c r="E299" s="144"/>
      <c r="F299" s="145" t="s">
        <v>271</v>
      </c>
      <c r="G299" s="146"/>
      <c r="H299" s="147">
        <f>+H297+H263</f>
        <v>1815364281898.9004</v>
      </c>
      <c r="I299" s="148">
        <f>+I297+I263</f>
        <v>1986427010709.1797</v>
      </c>
      <c r="J299" s="40"/>
      <c r="K299" s="40">
        <f t="shared" ref="K299" si="12">+H299-I299</f>
        <v>-171062728810.2793</v>
      </c>
      <c r="L299" s="46">
        <f t="shared" ref="L299" si="13">+K299/I299*100</f>
        <v>-8.6115788744338371</v>
      </c>
      <c r="N299" s="42"/>
      <c r="O299" s="42"/>
    </row>
    <row r="300" spans="2:15" s="12" customFormat="1" ht="21.75" thickTop="1" x14ac:dyDescent="0.25">
      <c r="B300" s="149" t="s">
        <v>272</v>
      </c>
      <c r="D300" s="150"/>
      <c r="F300" s="149"/>
      <c r="G300" s="149"/>
      <c r="H300" s="151">
        <f>H299-H189</f>
        <v>0</v>
      </c>
      <c r="I300" s="152">
        <f>I299-I189</f>
        <v>0</v>
      </c>
      <c r="J300" s="153"/>
      <c r="K300" s="154">
        <f>I299-[1]NERACA!H6771</f>
        <v>0</v>
      </c>
      <c r="N300" s="15"/>
      <c r="O300" s="15"/>
    </row>
    <row r="301" spans="2:15" s="12" customFormat="1" ht="21" x14ac:dyDescent="0.25">
      <c r="B301" s="11"/>
      <c r="D301" s="150"/>
      <c r="E301" s="155"/>
      <c r="F301" s="155"/>
      <c r="G301" s="155"/>
      <c r="H301" s="156"/>
      <c r="I301" s="157"/>
      <c r="J301" s="158"/>
      <c r="N301" s="15"/>
      <c r="O301" s="15"/>
    </row>
    <row r="302" spans="2:15" s="12" customFormat="1" ht="21" x14ac:dyDescent="0.25">
      <c r="B302" s="11"/>
      <c r="D302" s="150"/>
      <c r="E302" s="155"/>
      <c r="F302" s="155"/>
      <c r="G302" s="155"/>
      <c r="H302" s="159">
        <f>+H299-H189</f>
        <v>0</v>
      </c>
      <c r="I302" s="160"/>
      <c r="J302" s="153"/>
      <c r="K302" s="13"/>
      <c r="N302" s="15"/>
      <c r="O302" s="15"/>
    </row>
    <row r="303" spans="2:15" s="12" customFormat="1" ht="22.5" x14ac:dyDescent="0.25">
      <c r="B303" s="11"/>
      <c r="H303" s="184" t="s">
        <v>273</v>
      </c>
      <c r="I303" s="184"/>
      <c r="J303" s="20"/>
      <c r="K303" s="161"/>
      <c r="N303" s="15"/>
      <c r="O303" s="15"/>
    </row>
    <row r="304" spans="2:15" s="12" customFormat="1" ht="22.5" x14ac:dyDescent="0.25">
      <c r="B304" s="11"/>
      <c r="H304" s="184" t="s">
        <v>274</v>
      </c>
      <c r="I304" s="184"/>
      <c r="J304" s="20"/>
      <c r="K304" s="162"/>
      <c r="N304" s="15"/>
      <c r="O304" s="15"/>
    </row>
    <row r="305" spans="2:15" s="12" customFormat="1" ht="22.5" x14ac:dyDescent="0.25">
      <c r="B305" s="11"/>
      <c r="H305" s="163"/>
      <c r="I305" s="163"/>
      <c r="J305" s="164"/>
      <c r="K305" s="13"/>
      <c r="N305" s="15"/>
      <c r="O305" s="15"/>
    </row>
    <row r="306" spans="2:15" s="12" customFormat="1" ht="22.5" x14ac:dyDescent="0.25">
      <c r="B306" s="11"/>
      <c r="H306" s="165"/>
      <c r="I306" s="7"/>
      <c r="J306" s="20"/>
      <c r="K306" s="162"/>
      <c r="N306" s="15"/>
      <c r="O306" s="15"/>
    </row>
    <row r="307" spans="2:15" s="12" customFormat="1" ht="23.25" x14ac:dyDescent="0.25">
      <c r="B307" s="11"/>
      <c r="H307" s="166"/>
      <c r="I307" s="7"/>
      <c r="J307" s="21"/>
      <c r="K307" s="13"/>
      <c r="N307" s="15"/>
      <c r="O307" s="15"/>
    </row>
    <row r="308" spans="2:15" s="12" customFormat="1" ht="22.5" x14ac:dyDescent="0.25">
      <c r="B308" s="11"/>
      <c r="H308" s="185" t="s">
        <v>275</v>
      </c>
      <c r="I308" s="185"/>
      <c r="J308" s="20"/>
      <c r="K308" s="13"/>
      <c r="N308" s="15"/>
      <c r="O308" s="15"/>
    </row>
    <row r="309" spans="2:15" ht="26.25" x14ac:dyDescent="0.25">
      <c r="H309" s="186" t="s">
        <v>276</v>
      </c>
      <c r="I309" s="186"/>
      <c r="K309" s="167"/>
    </row>
    <row r="311" spans="2:15" ht="23.25" x14ac:dyDescent="0.25">
      <c r="H311" s="168">
        <f>H189</f>
        <v>1815364281898.8999</v>
      </c>
      <c r="I311" s="168">
        <f>I189</f>
        <v>1986427010709.1799</v>
      </c>
      <c r="K311" s="169"/>
    </row>
    <row r="312" spans="2:15" x14ac:dyDescent="0.25">
      <c r="H312" s="168">
        <f>H299</f>
        <v>1815364281898.9004</v>
      </c>
      <c r="I312" s="168">
        <f>I299</f>
        <v>1986427010709.1797</v>
      </c>
      <c r="K312" s="5"/>
    </row>
    <row r="313" spans="2:15" x14ac:dyDescent="0.25">
      <c r="H313" s="168">
        <f>H311-H312</f>
        <v>0</v>
      </c>
      <c r="I313" s="168">
        <f>I311-I312</f>
        <v>0</v>
      </c>
      <c r="K313" s="5"/>
    </row>
    <row r="314" spans="2:15" x14ac:dyDescent="0.25">
      <c r="K314" s="5"/>
    </row>
    <row r="315" spans="2:15" ht="18.75" x14ac:dyDescent="0.25">
      <c r="K315" s="170"/>
    </row>
    <row r="316" spans="2:15" ht="26.25" x14ac:dyDescent="0.25">
      <c r="K316" s="167"/>
    </row>
    <row r="317" spans="2:15" ht="26.25" x14ac:dyDescent="0.25">
      <c r="K317" s="171"/>
    </row>
    <row r="318" spans="2:15" ht="26.25" x14ac:dyDescent="0.25">
      <c r="K318" s="167"/>
    </row>
  </sheetData>
  <mergeCells count="11">
    <mergeCell ref="C12:F12"/>
    <mergeCell ref="D5:I5"/>
    <mergeCell ref="B7:I7"/>
    <mergeCell ref="B8:I8"/>
    <mergeCell ref="B9:I9"/>
    <mergeCell ref="B10:I10"/>
    <mergeCell ref="C13:F13"/>
    <mergeCell ref="H303:I303"/>
    <mergeCell ref="H304:I304"/>
    <mergeCell ref="H308:I308"/>
    <mergeCell ref="H309:I309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O318"/>
  <sheetViews>
    <sheetView topLeftCell="A253" zoomScale="40" zoomScaleNormal="40" workbookViewId="0">
      <selection activeCell="K307" sqref="K307"/>
    </sheetView>
  </sheetViews>
  <sheetFormatPr defaultColWidth="10" defaultRowHeight="15" x14ac:dyDescent="0.25"/>
  <cols>
    <col min="1" max="1" width="10" style="2"/>
    <col min="2" max="2" width="13" style="1" customWidth="1"/>
    <col min="3" max="3" width="3.85546875" style="2" customWidth="1"/>
    <col min="4" max="4" width="4" style="2" customWidth="1"/>
    <col min="5" max="5" width="4.42578125" style="2" customWidth="1"/>
    <col min="6" max="6" width="91.85546875" style="2" customWidth="1"/>
    <col min="7" max="7" width="21.85546875" style="2" customWidth="1"/>
    <col min="8" max="8" width="58.42578125" style="3" bestFit="1" customWidth="1"/>
    <col min="9" max="9" width="56.5703125" style="3" bestFit="1" customWidth="1"/>
    <col min="10" max="10" width="3.85546875" style="2" customWidth="1"/>
    <col min="11" max="11" width="43.42578125" style="2" bestFit="1" customWidth="1"/>
    <col min="12" max="12" width="17.140625" style="2" bestFit="1" customWidth="1"/>
    <col min="13" max="13" width="38.140625" style="2" bestFit="1" customWidth="1"/>
    <col min="14" max="14" width="37.85546875" style="172" bestFit="1" customWidth="1"/>
    <col min="15" max="15" width="35.140625" style="172" bestFit="1" customWidth="1"/>
    <col min="16" max="16384" width="10" style="2"/>
  </cols>
  <sheetData>
    <row r="3" spans="2:15" x14ac:dyDescent="0.25">
      <c r="I3" s="4"/>
      <c r="J3" s="5"/>
    </row>
    <row r="5" spans="2:15" x14ac:dyDescent="0.25">
      <c r="D5" s="187"/>
      <c r="E5" s="187"/>
      <c r="F5" s="187"/>
      <c r="G5" s="187"/>
      <c r="H5" s="187"/>
      <c r="I5" s="187"/>
      <c r="J5" s="1"/>
    </row>
    <row r="6" spans="2:15" x14ac:dyDescent="0.25">
      <c r="D6" s="1"/>
      <c r="E6" s="1"/>
      <c r="F6" s="1"/>
      <c r="G6" s="1"/>
      <c r="J6" s="1"/>
    </row>
    <row r="7" spans="2:15" s="8" customFormat="1" ht="30" x14ac:dyDescent="0.25">
      <c r="B7" s="188" t="s">
        <v>0</v>
      </c>
      <c r="C7" s="188"/>
      <c r="D7" s="188"/>
      <c r="E7" s="188"/>
      <c r="F7" s="188"/>
      <c r="G7" s="188"/>
      <c r="H7" s="188"/>
      <c r="I7" s="188"/>
      <c r="J7" s="7"/>
      <c r="N7" s="173"/>
      <c r="O7" s="173"/>
    </row>
    <row r="8" spans="2:15" s="8" customFormat="1" ht="30" x14ac:dyDescent="0.25">
      <c r="B8" s="188" t="s">
        <v>1</v>
      </c>
      <c r="C8" s="188"/>
      <c r="D8" s="188"/>
      <c r="E8" s="188"/>
      <c r="F8" s="188"/>
      <c r="G8" s="188"/>
      <c r="H8" s="188"/>
      <c r="I8" s="188"/>
      <c r="J8" s="7"/>
      <c r="N8" s="173"/>
      <c r="O8" s="173"/>
    </row>
    <row r="9" spans="2:15" s="8" customFormat="1" ht="30.75" x14ac:dyDescent="0.25">
      <c r="B9" s="189" t="str">
        <f>[1]NERACA!A4</f>
        <v>BADAN PENGELOLA PENDAPATAN DAERAH</v>
      </c>
      <c r="C9" s="189"/>
      <c r="D9" s="189"/>
      <c r="E9" s="189"/>
      <c r="F9" s="189"/>
      <c r="G9" s="189"/>
      <c r="H9" s="189"/>
      <c r="I9" s="189"/>
      <c r="J9" s="10"/>
      <c r="N9" s="173"/>
      <c r="O9" s="173"/>
    </row>
    <row r="10" spans="2:15" s="8" customFormat="1" ht="19.5" customHeight="1" x14ac:dyDescent="0.25">
      <c r="B10" s="189" t="s">
        <v>2</v>
      </c>
      <c r="C10" s="189"/>
      <c r="D10" s="189"/>
      <c r="E10" s="189"/>
      <c r="F10" s="189"/>
      <c r="G10" s="189"/>
      <c r="H10" s="189"/>
      <c r="I10" s="189"/>
      <c r="J10" s="7"/>
      <c r="N10" s="173"/>
      <c r="O10" s="173"/>
    </row>
    <row r="11" spans="2:15" s="12" customFormat="1" ht="21.75" thickBot="1" x14ac:dyDescent="0.3">
      <c r="B11" s="11"/>
      <c r="H11" s="13"/>
      <c r="I11" s="14" t="s">
        <v>3</v>
      </c>
      <c r="J11" s="14"/>
      <c r="N11" s="174"/>
      <c r="O11" s="174"/>
    </row>
    <row r="12" spans="2:15" s="20" customFormat="1" ht="43.5" customHeight="1" thickTop="1" x14ac:dyDescent="0.25">
      <c r="B12" s="16" t="s">
        <v>4</v>
      </c>
      <c r="C12" s="190" t="s">
        <v>5</v>
      </c>
      <c r="D12" s="191"/>
      <c r="E12" s="191"/>
      <c r="F12" s="192"/>
      <c r="G12" s="17" t="s">
        <v>6</v>
      </c>
      <c r="H12" s="18">
        <v>2021</v>
      </c>
      <c r="I12" s="19">
        <v>2020</v>
      </c>
      <c r="K12" s="20" t="s">
        <v>7</v>
      </c>
      <c r="L12" s="21" t="s">
        <v>8</v>
      </c>
      <c r="N12" s="175"/>
      <c r="O12" s="175"/>
    </row>
    <row r="13" spans="2:15" s="27" customFormat="1" ht="20.25" x14ac:dyDescent="0.25">
      <c r="B13" s="23">
        <v>1</v>
      </c>
      <c r="C13" s="181">
        <v>2</v>
      </c>
      <c r="D13" s="182"/>
      <c r="E13" s="182"/>
      <c r="F13" s="183"/>
      <c r="G13" s="24">
        <v>3</v>
      </c>
      <c r="H13" s="25">
        <v>4</v>
      </c>
      <c r="I13" s="26">
        <v>5</v>
      </c>
      <c r="N13" s="176"/>
      <c r="O13" s="176"/>
    </row>
    <row r="14" spans="2:15" s="34" customFormat="1" ht="20.25" x14ac:dyDescent="0.25">
      <c r="B14" s="29">
        <v>1</v>
      </c>
      <c r="C14" s="30"/>
      <c r="D14" s="30" t="s">
        <v>9</v>
      </c>
      <c r="E14" s="30"/>
      <c r="F14" s="30"/>
      <c r="G14" s="31"/>
      <c r="H14" s="32"/>
      <c r="I14" s="33"/>
      <c r="N14" s="177"/>
      <c r="O14" s="177"/>
    </row>
    <row r="15" spans="2:15" s="41" customFormat="1" ht="20.25" x14ac:dyDescent="0.25">
      <c r="B15" s="29">
        <v>2</v>
      </c>
      <c r="C15" s="36"/>
      <c r="D15" s="36" t="s">
        <v>10</v>
      </c>
      <c r="E15" s="36"/>
      <c r="F15" s="36"/>
      <c r="G15" s="37"/>
      <c r="H15" s="38"/>
      <c r="I15" s="39"/>
      <c r="J15" s="40"/>
      <c r="N15" s="178"/>
      <c r="O15" s="178"/>
    </row>
    <row r="16" spans="2:15" s="41" customFormat="1" ht="20.25" x14ac:dyDescent="0.25">
      <c r="B16" s="29">
        <v>3</v>
      </c>
      <c r="C16" s="36"/>
      <c r="D16" s="36"/>
      <c r="E16" s="36" t="s">
        <v>11</v>
      </c>
      <c r="F16" s="36"/>
      <c r="G16" s="43"/>
      <c r="H16" s="44">
        <v>263820803</v>
      </c>
      <c r="I16" s="45">
        <v>0</v>
      </c>
      <c r="J16" s="40"/>
      <c r="K16" s="40">
        <f t="shared" ref="K16:K91" si="0">+H16-I16</f>
        <v>263820803</v>
      </c>
      <c r="L16" s="46" t="e">
        <f t="shared" ref="L16:L91" si="1">+K16/I16*100</f>
        <v>#DIV/0!</v>
      </c>
      <c r="N16" s="178"/>
      <c r="O16" s="178"/>
    </row>
    <row r="17" spans="2:15" s="54" customFormat="1" ht="20.25" x14ac:dyDescent="0.25">
      <c r="B17" s="47">
        <v>4</v>
      </c>
      <c r="C17" s="48"/>
      <c r="D17" s="48"/>
      <c r="E17" s="48"/>
      <c r="F17" s="48" t="s">
        <v>12</v>
      </c>
      <c r="G17" s="49"/>
      <c r="H17" s="50">
        <v>0</v>
      </c>
      <c r="I17" s="51">
        <v>0</v>
      </c>
      <c r="J17" s="52"/>
      <c r="K17" s="40">
        <f t="shared" si="0"/>
        <v>0</v>
      </c>
      <c r="L17" s="46" t="e">
        <f t="shared" si="1"/>
        <v>#DIV/0!</v>
      </c>
      <c r="M17" s="52"/>
      <c r="N17" s="62"/>
      <c r="O17" s="62"/>
    </row>
    <row r="18" spans="2:15" s="54" customFormat="1" ht="20.25" x14ac:dyDescent="0.25">
      <c r="B18" s="47">
        <v>5</v>
      </c>
      <c r="C18" s="48"/>
      <c r="D18" s="48"/>
      <c r="E18" s="48"/>
      <c r="F18" s="48" t="s">
        <v>13</v>
      </c>
      <c r="G18" s="49"/>
      <c r="H18" s="50">
        <v>263820803</v>
      </c>
      <c r="I18" s="51">
        <v>0</v>
      </c>
      <c r="J18" s="52"/>
      <c r="K18" s="40">
        <f t="shared" si="0"/>
        <v>263820803</v>
      </c>
      <c r="L18" s="46" t="e">
        <f t="shared" si="1"/>
        <v>#DIV/0!</v>
      </c>
      <c r="N18" s="62"/>
      <c r="O18" s="62"/>
    </row>
    <row r="19" spans="2:15" s="54" customFormat="1" ht="20.25" x14ac:dyDescent="0.25">
      <c r="B19" s="47">
        <v>6</v>
      </c>
      <c r="C19" s="48"/>
      <c r="D19" s="48"/>
      <c r="E19" s="48"/>
      <c r="F19" s="48" t="s">
        <v>14</v>
      </c>
      <c r="G19" s="49"/>
      <c r="H19" s="50">
        <v>0</v>
      </c>
      <c r="I19" s="51">
        <v>0</v>
      </c>
      <c r="J19" s="52"/>
      <c r="K19" s="40">
        <f t="shared" si="0"/>
        <v>0</v>
      </c>
      <c r="L19" s="46" t="e">
        <f t="shared" si="1"/>
        <v>#DIV/0!</v>
      </c>
      <c r="N19" s="62"/>
      <c r="O19" s="62"/>
    </row>
    <row r="20" spans="2:15" s="54" customFormat="1" ht="20.25" x14ac:dyDescent="0.25">
      <c r="B20" s="47">
        <v>7</v>
      </c>
      <c r="C20" s="48"/>
      <c r="D20" s="48"/>
      <c r="E20" s="48"/>
      <c r="F20" s="48" t="s">
        <v>15</v>
      </c>
      <c r="G20" s="49"/>
      <c r="H20" s="50">
        <v>0</v>
      </c>
      <c r="I20" s="51">
        <v>0</v>
      </c>
      <c r="J20" s="52"/>
      <c r="K20" s="40">
        <f t="shared" si="0"/>
        <v>0</v>
      </c>
      <c r="L20" s="46" t="e">
        <f t="shared" si="1"/>
        <v>#DIV/0!</v>
      </c>
      <c r="N20" s="62"/>
      <c r="O20" s="62"/>
    </row>
    <row r="21" spans="2:15" s="54" customFormat="1" ht="20.25" x14ac:dyDescent="0.25">
      <c r="B21" s="47">
        <v>8</v>
      </c>
      <c r="C21" s="48"/>
      <c r="D21" s="48"/>
      <c r="E21" s="48"/>
      <c r="F21" s="48" t="s">
        <v>16</v>
      </c>
      <c r="G21" s="49"/>
      <c r="H21" s="50">
        <v>0</v>
      </c>
      <c r="I21" s="51">
        <v>0</v>
      </c>
      <c r="J21" s="52"/>
      <c r="K21" s="40">
        <f t="shared" si="0"/>
        <v>0</v>
      </c>
      <c r="L21" s="46" t="e">
        <f t="shared" si="1"/>
        <v>#DIV/0!</v>
      </c>
      <c r="N21" s="62"/>
      <c r="O21" s="62"/>
    </row>
    <row r="22" spans="2:15" s="54" customFormat="1" ht="20.25" x14ac:dyDescent="0.25">
      <c r="B22" s="47">
        <v>9</v>
      </c>
      <c r="C22" s="48"/>
      <c r="D22" s="48"/>
      <c r="E22" s="48"/>
      <c r="F22" s="48" t="s">
        <v>17</v>
      </c>
      <c r="G22" s="49"/>
      <c r="H22" s="50">
        <v>0</v>
      </c>
      <c r="I22" s="51">
        <v>0</v>
      </c>
      <c r="J22" s="52"/>
      <c r="K22" s="40">
        <f t="shared" si="0"/>
        <v>0</v>
      </c>
      <c r="L22" s="46" t="e">
        <f t="shared" si="1"/>
        <v>#DIV/0!</v>
      </c>
      <c r="N22" s="62"/>
      <c r="O22" s="62"/>
    </row>
    <row r="23" spans="2:15" s="54" customFormat="1" ht="20.25" x14ac:dyDescent="0.25">
      <c r="B23" s="47">
        <v>10</v>
      </c>
      <c r="C23" s="48"/>
      <c r="D23" s="48"/>
      <c r="E23" s="48"/>
      <c r="F23" s="48" t="s">
        <v>18</v>
      </c>
      <c r="G23" s="49"/>
      <c r="H23" s="50">
        <v>0</v>
      </c>
      <c r="I23" s="51">
        <v>0</v>
      </c>
      <c r="J23" s="52"/>
      <c r="K23" s="40">
        <f t="shared" si="0"/>
        <v>0</v>
      </c>
      <c r="L23" s="46" t="e">
        <f t="shared" si="1"/>
        <v>#DIV/0!</v>
      </c>
      <c r="N23" s="62"/>
      <c r="O23" s="62"/>
    </row>
    <row r="24" spans="2:15" s="54" customFormat="1" ht="20.25" x14ac:dyDescent="0.25">
      <c r="B24" s="47">
        <v>11</v>
      </c>
      <c r="C24" s="48"/>
      <c r="D24" s="48"/>
      <c r="E24" s="48"/>
      <c r="F24" s="48" t="s">
        <v>19</v>
      </c>
      <c r="G24" s="49"/>
      <c r="H24" s="50">
        <v>0</v>
      </c>
      <c r="I24" s="51">
        <v>0</v>
      </c>
      <c r="J24" s="52"/>
      <c r="K24" s="40">
        <f t="shared" si="0"/>
        <v>0</v>
      </c>
      <c r="L24" s="46" t="e">
        <f t="shared" si="1"/>
        <v>#DIV/0!</v>
      </c>
      <c r="N24" s="62"/>
      <c r="O24" s="62"/>
    </row>
    <row r="25" spans="2:15" s="41" customFormat="1" ht="20.25" x14ac:dyDescent="0.25">
      <c r="B25" s="29">
        <v>12</v>
      </c>
      <c r="C25" s="36"/>
      <c r="D25" s="36"/>
      <c r="E25" s="36" t="s">
        <v>20</v>
      </c>
      <c r="F25" s="36"/>
      <c r="G25" s="55"/>
      <c r="H25" s="44">
        <v>0</v>
      </c>
      <c r="I25" s="45">
        <v>0</v>
      </c>
      <c r="J25" s="40"/>
      <c r="K25" s="40">
        <f t="shared" si="0"/>
        <v>0</v>
      </c>
      <c r="L25" s="46" t="e">
        <f t="shared" si="1"/>
        <v>#DIV/0!</v>
      </c>
      <c r="N25" s="178"/>
      <c r="O25" s="178"/>
    </row>
    <row r="26" spans="2:15" s="41" customFormat="1" ht="20.25" x14ac:dyDescent="0.25">
      <c r="B26" s="47">
        <v>13</v>
      </c>
      <c r="C26" s="36"/>
      <c r="D26" s="36"/>
      <c r="E26" s="36"/>
      <c r="F26" s="48" t="s">
        <v>21</v>
      </c>
      <c r="G26" s="55"/>
      <c r="H26" s="44">
        <v>0</v>
      </c>
      <c r="I26" s="45">
        <v>0</v>
      </c>
      <c r="J26" s="40"/>
      <c r="K26" s="40">
        <f t="shared" si="0"/>
        <v>0</v>
      </c>
      <c r="L26" s="46" t="e">
        <f t="shared" si="1"/>
        <v>#DIV/0!</v>
      </c>
      <c r="N26" s="178"/>
      <c r="O26" s="178"/>
    </row>
    <row r="27" spans="2:15" s="41" customFormat="1" ht="20.25" x14ac:dyDescent="0.25">
      <c r="B27" s="47">
        <v>14</v>
      </c>
      <c r="C27" s="36"/>
      <c r="D27" s="36"/>
      <c r="E27" s="36"/>
      <c r="F27" s="48" t="s">
        <v>22</v>
      </c>
      <c r="G27" s="55"/>
      <c r="H27" s="44">
        <v>0</v>
      </c>
      <c r="I27" s="45">
        <v>0</v>
      </c>
      <c r="J27" s="40"/>
      <c r="K27" s="40">
        <f t="shared" si="0"/>
        <v>0</v>
      </c>
      <c r="L27" s="46" t="e">
        <f t="shared" si="1"/>
        <v>#DIV/0!</v>
      </c>
      <c r="N27" s="178"/>
      <c r="O27" s="178"/>
    </row>
    <row r="28" spans="2:15" s="41" customFormat="1" ht="20.25" x14ac:dyDescent="0.25">
      <c r="B28" s="47">
        <v>15</v>
      </c>
      <c r="C28" s="36"/>
      <c r="D28" s="36"/>
      <c r="E28" s="36"/>
      <c r="F28" s="48" t="s">
        <v>23</v>
      </c>
      <c r="G28" s="55"/>
      <c r="H28" s="44">
        <v>0</v>
      </c>
      <c r="I28" s="45">
        <v>0</v>
      </c>
      <c r="J28" s="40"/>
      <c r="K28" s="40">
        <f t="shared" si="0"/>
        <v>0</v>
      </c>
      <c r="L28" s="46" t="e">
        <f t="shared" si="1"/>
        <v>#DIV/0!</v>
      </c>
      <c r="N28" s="178"/>
      <c r="O28" s="178"/>
    </row>
    <row r="29" spans="2:15" s="41" customFormat="1" ht="20.25" x14ac:dyDescent="0.25">
      <c r="B29" s="47">
        <v>16</v>
      </c>
      <c r="C29" s="36"/>
      <c r="D29" s="36"/>
      <c r="E29" s="36"/>
      <c r="F29" s="48" t="s">
        <v>24</v>
      </c>
      <c r="G29" s="55"/>
      <c r="H29" s="44">
        <v>0</v>
      </c>
      <c r="I29" s="45">
        <v>0</v>
      </c>
      <c r="J29" s="40"/>
      <c r="K29" s="40">
        <f t="shared" si="0"/>
        <v>0</v>
      </c>
      <c r="L29" s="46" t="e">
        <f t="shared" si="1"/>
        <v>#DIV/0!</v>
      </c>
      <c r="N29" s="178"/>
      <c r="O29" s="178"/>
    </row>
    <row r="30" spans="2:15" s="41" customFormat="1" ht="20.25" x14ac:dyDescent="0.25">
      <c r="B30" s="47">
        <v>17</v>
      </c>
      <c r="C30" s="36"/>
      <c r="D30" s="36"/>
      <c r="E30" s="36"/>
      <c r="F30" s="48" t="s">
        <v>25</v>
      </c>
      <c r="G30" s="55"/>
      <c r="H30" s="44">
        <v>0</v>
      </c>
      <c r="I30" s="45">
        <v>0</v>
      </c>
      <c r="J30" s="40"/>
      <c r="K30" s="40">
        <f t="shared" si="0"/>
        <v>0</v>
      </c>
      <c r="L30" s="46" t="e">
        <f t="shared" si="1"/>
        <v>#DIV/0!</v>
      </c>
      <c r="N30" s="178"/>
      <c r="O30" s="178"/>
    </row>
    <row r="31" spans="2:15" s="54" customFormat="1" ht="20.25" x14ac:dyDescent="0.25">
      <c r="B31" s="47">
        <v>18</v>
      </c>
      <c r="C31" s="48"/>
      <c r="D31" s="48"/>
      <c r="E31" s="48"/>
      <c r="F31" s="48" t="s">
        <v>26</v>
      </c>
      <c r="G31" s="49"/>
      <c r="H31" s="50">
        <v>0</v>
      </c>
      <c r="I31" s="51">
        <v>0</v>
      </c>
      <c r="J31" s="52"/>
      <c r="K31" s="40">
        <f t="shared" si="0"/>
        <v>0</v>
      </c>
      <c r="L31" s="46" t="e">
        <f t="shared" si="1"/>
        <v>#DIV/0!</v>
      </c>
      <c r="N31" s="62"/>
      <c r="O31" s="62"/>
    </row>
    <row r="32" spans="2:15" s="41" customFormat="1" ht="20.25" x14ac:dyDescent="0.25">
      <c r="B32" s="29">
        <v>19</v>
      </c>
      <c r="C32" s="36"/>
      <c r="D32" s="36"/>
      <c r="E32" s="36" t="s">
        <v>27</v>
      </c>
      <c r="F32" s="36"/>
      <c r="G32" s="37"/>
      <c r="H32" s="56">
        <v>2117151575358</v>
      </c>
      <c r="I32" s="57">
        <v>2050129305282.3799</v>
      </c>
      <c r="J32" s="40"/>
      <c r="K32" s="40">
        <f t="shared" si="0"/>
        <v>67022270075.620117</v>
      </c>
      <c r="L32" s="46">
        <f t="shared" si="1"/>
        <v>3.2691728225595331</v>
      </c>
      <c r="N32" s="178"/>
      <c r="O32" s="178"/>
    </row>
    <row r="33" spans="2:15" s="54" customFormat="1" ht="20.25" x14ac:dyDescent="0.25">
      <c r="B33" s="47">
        <v>20</v>
      </c>
      <c r="C33" s="48"/>
      <c r="D33" s="48"/>
      <c r="E33" s="48"/>
      <c r="F33" s="48" t="s">
        <v>28</v>
      </c>
      <c r="G33" s="49"/>
      <c r="H33" s="50">
        <v>2117058795119</v>
      </c>
      <c r="I33" s="51">
        <v>2049759279013.3799</v>
      </c>
      <c r="J33" s="52"/>
      <c r="K33" s="40">
        <f t="shared" si="0"/>
        <v>67299516105.620117</v>
      </c>
      <c r="L33" s="46">
        <f t="shared" si="1"/>
        <v>3.2832887644257283</v>
      </c>
      <c r="N33" s="62"/>
      <c r="O33" s="62"/>
    </row>
    <row r="34" spans="2:15" s="54" customFormat="1" ht="20.25" x14ac:dyDescent="0.25">
      <c r="B34" s="47">
        <v>21</v>
      </c>
      <c r="C34" s="48"/>
      <c r="D34" s="48"/>
      <c r="E34" s="48"/>
      <c r="F34" s="48" t="s">
        <v>29</v>
      </c>
      <c r="G34" s="49"/>
      <c r="H34" s="50">
        <v>0</v>
      </c>
      <c r="I34" s="51">
        <v>0</v>
      </c>
      <c r="J34" s="58"/>
      <c r="K34" s="40">
        <f t="shared" si="0"/>
        <v>0</v>
      </c>
      <c r="L34" s="46" t="e">
        <f t="shared" si="1"/>
        <v>#DIV/0!</v>
      </c>
      <c r="N34" s="62"/>
      <c r="O34" s="62"/>
    </row>
    <row r="35" spans="2:15" s="54" customFormat="1" ht="20.25" x14ac:dyDescent="0.25">
      <c r="B35" s="47">
        <v>22</v>
      </c>
      <c r="C35" s="48"/>
      <c r="D35" s="48"/>
      <c r="E35" s="48"/>
      <c r="F35" s="59" t="s">
        <v>30</v>
      </c>
      <c r="G35" s="49"/>
      <c r="H35" s="50">
        <v>0</v>
      </c>
      <c r="I35" s="51">
        <v>0</v>
      </c>
      <c r="J35" s="52"/>
      <c r="K35" s="40">
        <f t="shared" si="0"/>
        <v>0</v>
      </c>
      <c r="L35" s="46" t="e">
        <f t="shared" si="1"/>
        <v>#DIV/0!</v>
      </c>
      <c r="N35" s="62"/>
      <c r="O35" s="62"/>
    </row>
    <row r="36" spans="2:15" s="54" customFormat="1" ht="20.25" x14ac:dyDescent="0.25">
      <c r="B36" s="47">
        <v>23</v>
      </c>
      <c r="C36" s="48"/>
      <c r="D36" s="48"/>
      <c r="E36" s="48"/>
      <c r="F36" s="48" t="s">
        <v>31</v>
      </c>
      <c r="G36" s="49"/>
      <c r="H36" s="50">
        <v>92780239</v>
      </c>
      <c r="I36" s="51">
        <v>370026269</v>
      </c>
      <c r="J36" s="52"/>
      <c r="K36" s="40">
        <f t="shared" si="0"/>
        <v>-277246030</v>
      </c>
      <c r="L36" s="46">
        <f t="shared" si="1"/>
        <v>-74.926039913128434</v>
      </c>
      <c r="N36" s="62"/>
      <c r="O36" s="62"/>
    </row>
    <row r="37" spans="2:15" s="54" customFormat="1" ht="20.25" x14ac:dyDescent="0.25">
      <c r="B37" s="47">
        <v>24</v>
      </c>
      <c r="C37" s="48"/>
      <c r="D37" s="48"/>
      <c r="E37" s="48"/>
      <c r="F37" s="48" t="s">
        <v>32</v>
      </c>
      <c r="G37" s="49"/>
      <c r="H37" s="50">
        <v>0</v>
      </c>
      <c r="I37" s="51">
        <v>0</v>
      </c>
      <c r="J37" s="58"/>
      <c r="K37" s="40">
        <f t="shared" si="0"/>
        <v>0</v>
      </c>
      <c r="L37" s="46" t="e">
        <f t="shared" si="1"/>
        <v>#DIV/0!</v>
      </c>
      <c r="N37" s="62"/>
      <c r="O37" s="62"/>
    </row>
    <row r="38" spans="2:15" s="54" customFormat="1" ht="20.25" hidden="1" x14ac:dyDescent="0.25">
      <c r="B38" s="47">
        <v>25</v>
      </c>
      <c r="C38" s="48"/>
      <c r="D38" s="48"/>
      <c r="E38" s="48"/>
      <c r="F38" s="48" t="s">
        <v>33</v>
      </c>
      <c r="G38" s="49"/>
      <c r="H38" s="50">
        <v>0</v>
      </c>
      <c r="I38" s="51">
        <v>0</v>
      </c>
      <c r="J38" s="58"/>
      <c r="K38" s="40">
        <f t="shared" si="0"/>
        <v>0</v>
      </c>
      <c r="L38" s="46" t="e">
        <f t="shared" si="1"/>
        <v>#DIV/0!</v>
      </c>
      <c r="N38" s="62"/>
      <c r="O38" s="62"/>
    </row>
    <row r="39" spans="2:15" s="54" customFormat="1" ht="20.25" hidden="1" x14ac:dyDescent="0.25">
      <c r="B39" s="47">
        <v>26</v>
      </c>
      <c r="C39" s="48"/>
      <c r="D39" s="48"/>
      <c r="E39" s="48"/>
      <c r="F39" s="48" t="s">
        <v>34</v>
      </c>
      <c r="G39" s="49"/>
      <c r="H39" s="50">
        <v>0</v>
      </c>
      <c r="I39" s="51">
        <v>0</v>
      </c>
      <c r="J39" s="58"/>
      <c r="K39" s="40">
        <f t="shared" si="0"/>
        <v>0</v>
      </c>
      <c r="L39" s="46" t="e">
        <f t="shared" si="1"/>
        <v>#DIV/0!</v>
      </c>
      <c r="N39" s="62"/>
      <c r="O39" s="62"/>
    </row>
    <row r="40" spans="2:15" s="54" customFormat="1" ht="20.25" hidden="1" x14ac:dyDescent="0.25">
      <c r="B40" s="47">
        <v>27</v>
      </c>
      <c r="C40" s="48"/>
      <c r="D40" s="48"/>
      <c r="E40" s="48"/>
      <c r="F40" s="48" t="s">
        <v>35</v>
      </c>
      <c r="G40" s="49"/>
      <c r="H40" s="50">
        <v>0</v>
      </c>
      <c r="I40" s="51">
        <v>0</v>
      </c>
      <c r="J40" s="58"/>
      <c r="K40" s="40">
        <f t="shared" si="0"/>
        <v>0</v>
      </c>
      <c r="L40" s="46" t="e">
        <f t="shared" si="1"/>
        <v>#DIV/0!</v>
      </c>
      <c r="N40" s="62"/>
      <c r="O40" s="62"/>
    </row>
    <row r="41" spans="2:15" s="54" customFormat="1" ht="20.25" hidden="1" x14ac:dyDescent="0.25">
      <c r="B41" s="47">
        <v>28</v>
      </c>
      <c r="C41" s="48"/>
      <c r="D41" s="48"/>
      <c r="E41" s="48"/>
      <c r="F41" s="48" t="s">
        <v>36</v>
      </c>
      <c r="G41" s="49"/>
      <c r="H41" s="50">
        <v>0</v>
      </c>
      <c r="I41" s="51">
        <v>0</v>
      </c>
      <c r="J41" s="58"/>
      <c r="K41" s="40">
        <f t="shared" si="0"/>
        <v>0</v>
      </c>
      <c r="L41" s="46" t="e">
        <f t="shared" si="1"/>
        <v>#DIV/0!</v>
      </c>
      <c r="N41" s="62"/>
      <c r="O41" s="62"/>
    </row>
    <row r="42" spans="2:15" s="54" customFormat="1" ht="20.25" hidden="1" x14ac:dyDescent="0.25">
      <c r="B42" s="47">
        <v>29</v>
      </c>
      <c r="C42" s="48"/>
      <c r="D42" s="48"/>
      <c r="E42" s="48"/>
      <c r="F42" s="48" t="s">
        <v>37</v>
      </c>
      <c r="G42" s="49"/>
      <c r="H42" s="50">
        <v>0</v>
      </c>
      <c r="I42" s="51">
        <v>0</v>
      </c>
      <c r="J42" s="58"/>
      <c r="K42" s="40">
        <f t="shared" si="0"/>
        <v>0</v>
      </c>
      <c r="L42" s="46" t="e">
        <f t="shared" si="1"/>
        <v>#DIV/0!</v>
      </c>
      <c r="N42" s="62"/>
      <c r="O42" s="62"/>
    </row>
    <row r="43" spans="2:15" s="54" customFormat="1" ht="20.25" hidden="1" x14ac:dyDescent="0.25">
      <c r="B43" s="47">
        <v>30</v>
      </c>
      <c r="C43" s="48"/>
      <c r="D43" s="48"/>
      <c r="E43" s="48"/>
      <c r="F43" s="48" t="s">
        <v>38</v>
      </c>
      <c r="G43" s="49"/>
      <c r="H43" s="50">
        <v>0</v>
      </c>
      <c r="I43" s="51">
        <v>0</v>
      </c>
      <c r="J43" s="58"/>
      <c r="K43" s="40">
        <f t="shared" si="0"/>
        <v>0</v>
      </c>
      <c r="L43" s="46" t="e">
        <f t="shared" si="1"/>
        <v>#DIV/0!</v>
      </c>
      <c r="N43" s="62"/>
      <c r="O43" s="62"/>
    </row>
    <row r="44" spans="2:15" s="54" customFormat="1" ht="20.25" hidden="1" x14ac:dyDescent="0.25">
      <c r="B44" s="47">
        <v>31</v>
      </c>
      <c r="C44" s="48"/>
      <c r="D44" s="48"/>
      <c r="E44" s="48"/>
      <c r="F44" s="48" t="s">
        <v>39</v>
      </c>
      <c r="G44" s="49"/>
      <c r="H44" s="50">
        <v>0</v>
      </c>
      <c r="I44" s="51">
        <v>0</v>
      </c>
      <c r="J44" s="58"/>
      <c r="K44" s="40">
        <f t="shared" si="0"/>
        <v>0</v>
      </c>
      <c r="L44" s="46" t="e">
        <f t="shared" si="1"/>
        <v>#DIV/0!</v>
      </c>
      <c r="N44" s="62"/>
      <c r="O44" s="62"/>
    </row>
    <row r="45" spans="2:15" s="54" customFormat="1" ht="20.25" hidden="1" x14ac:dyDescent="0.25">
      <c r="B45" s="47">
        <v>32</v>
      </c>
      <c r="C45" s="48"/>
      <c r="D45" s="48"/>
      <c r="E45" s="48"/>
      <c r="F45" s="48" t="s">
        <v>40</v>
      </c>
      <c r="G45" s="49"/>
      <c r="H45" s="50">
        <v>0</v>
      </c>
      <c r="I45" s="51">
        <v>0</v>
      </c>
      <c r="J45" s="58"/>
      <c r="K45" s="40">
        <f t="shared" si="0"/>
        <v>0</v>
      </c>
      <c r="L45" s="46" t="e">
        <f t="shared" si="1"/>
        <v>#DIV/0!</v>
      </c>
      <c r="N45" s="62"/>
      <c r="O45" s="62"/>
    </row>
    <row r="46" spans="2:15" s="54" customFormat="1" ht="20.25" hidden="1" x14ac:dyDescent="0.25">
      <c r="B46" s="47">
        <v>33</v>
      </c>
      <c r="C46" s="48"/>
      <c r="D46" s="48"/>
      <c r="E46" s="48"/>
      <c r="F46" s="48" t="s">
        <v>41</v>
      </c>
      <c r="G46" s="49"/>
      <c r="H46" s="50">
        <v>0</v>
      </c>
      <c r="I46" s="51">
        <v>0</v>
      </c>
      <c r="J46" s="58"/>
      <c r="K46" s="40">
        <f t="shared" si="0"/>
        <v>0</v>
      </c>
      <c r="L46" s="46" t="e">
        <f t="shared" si="1"/>
        <v>#DIV/0!</v>
      </c>
      <c r="N46" s="62"/>
      <c r="O46" s="62"/>
    </row>
    <row r="47" spans="2:15" s="54" customFormat="1" ht="20.25" hidden="1" x14ac:dyDescent="0.25">
      <c r="B47" s="47">
        <v>34</v>
      </c>
      <c r="C47" s="48"/>
      <c r="D47" s="48"/>
      <c r="E47" s="48"/>
      <c r="F47" s="48" t="s">
        <v>42</v>
      </c>
      <c r="G47" s="49"/>
      <c r="H47" s="50">
        <v>0</v>
      </c>
      <c r="I47" s="51">
        <v>0</v>
      </c>
      <c r="J47" s="58"/>
      <c r="K47" s="40">
        <f t="shared" si="0"/>
        <v>0</v>
      </c>
      <c r="L47" s="46" t="e">
        <f t="shared" si="1"/>
        <v>#DIV/0!</v>
      </c>
      <c r="N47" s="62"/>
      <c r="O47" s="62"/>
    </row>
    <row r="48" spans="2:15" s="54" customFormat="1" ht="20.25" hidden="1" x14ac:dyDescent="0.25">
      <c r="B48" s="47">
        <v>35</v>
      </c>
      <c r="C48" s="48"/>
      <c r="D48" s="48"/>
      <c r="E48" s="48"/>
      <c r="F48" s="48" t="s">
        <v>43</v>
      </c>
      <c r="G48" s="49"/>
      <c r="H48" s="50">
        <v>0</v>
      </c>
      <c r="I48" s="51">
        <v>0</v>
      </c>
      <c r="J48" s="58"/>
      <c r="K48" s="40">
        <f t="shared" si="0"/>
        <v>0</v>
      </c>
      <c r="L48" s="46" t="e">
        <f t="shared" si="1"/>
        <v>#DIV/0!</v>
      </c>
      <c r="N48" s="62"/>
      <c r="O48" s="62"/>
    </row>
    <row r="49" spans="2:15" s="41" customFormat="1" ht="20.25" x14ac:dyDescent="0.25">
      <c r="B49" s="29">
        <v>36</v>
      </c>
      <c r="C49" s="36"/>
      <c r="D49" s="36"/>
      <c r="E49" s="36" t="s">
        <v>44</v>
      </c>
      <c r="F49" s="36"/>
      <c r="G49" s="55"/>
      <c r="H49" s="44">
        <v>0</v>
      </c>
      <c r="I49" s="45">
        <v>0</v>
      </c>
      <c r="J49" s="60"/>
      <c r="K49" s="40">
        <f t="shared" si="0"/>
        <v>0</v>
      </c>
      <c r="L49" s="46" t="e">
        <f t="shared" si="1"/>
        <v>#DIV/0!</v>
      </c>
      <c r="N49" s="178"/>
      <c r="O49" s="178"/>
    </row>
    <row r="50" spans="2:15" s="54" customFormat="1" ht="20.25" x14ac:dyDescent="0.25">
      <c r="B50" s="47">
        <v>37</v>
      </c>
      <c r="C50" s="48"/>
      <c r="D50" s="48"/>
      <c r="E50" s="48"/>
      <c r="F50" s="48" t="s">
        <v>45</v>
      </c>
      <c r="G50" s="49"/>
      <c r="H50" s="50">
        <v>0</v>
      </c>
      <c r="I50" s="51">
        <v>0</v>
      </c>
      <c r="J50" s="58"/>
      <c r="K50" s="40">
        <f t="shared" si="0"/>
        <v>0</v>
      </c>
      <c r="L50" s="46" t="e">
        <f t="shared" si="1"/>
        <v>#DIV/0!</v>
      </c>
      <c r="N50" s="62"/>
      <c r="O50" s="62"/>
    </row>
    <row r="51" spans="2:15" s="54" customFormat="1" ht="20.25" x14ac:dyDescent="0.25">
      <c r="B51" s="47">
        <v>38</v>
      </c>
      <c r="C51" s="48"/>
      <c r="D51" s="48"/>
      <c r="E51" s="48"/>
      <c r="F51" s="48" t="s">
        <v>46</v>
      </c>
      <c r="G51" s="49"/>
      <c r="H51" s="50">
        <v>0</v>
      </c>
      <c r="I51" s="51">
        <v>0</v>
      </c>
      <c r="J51" s="58"/>
      <c r="K51" s="40">
        <f t="shared" si="0"/>
        <v>0</v>
      </c>
      <c r="L51" s="46" t="e">
        <f t="shared" si="1"/>
        <v>#DIV/0!</v>
      </c>
      <c r="N51" s="62"/>
      <c r="O51" s="62"/>
    </row>
    <row r="52" spans="2:15" s="54" customFormat="1" ht="20.25" x14ac:dyDescent="0.25">
      <c r="B52" s="47">
        <v>39</v>
      </c>
      <c r="C52" s="48"/>
      <c r="D52" s="48"/>
      <c r="E52" s="48"/>
      <c r="F52" s="48" t="s">
        <v>47</v>
      </c>
      <c r="G52" s="49"/>
      <c r="H52" s="50">
        <v>0</v>
      </c>
      <c r="I52" s="51">
        <v>0</v>
      </c>
      <c r="J52" s="58"/>
      <c r="K52" s="40">
        <f t="shared" si="0"/>
        <v>0</v>
      </c>
      <c r="L52" s="46" t="e">
        <f t="shared" si="1"/>
        <v>#DIV/0!</v>
      </c>
      <c r="N52" s="62"/>
      <c r="O52" s="62"/>
    </row>
    <row r="53" spans="2:15" s="41" customFormat="1" ht="20.25" x14ac:dyDescent="0.25">
      <c r="B53" s="29">
        <v>40</v>
      </c>
      <c r="C53" s="36"/>
      <c r="D53" s="36"/>
      <c r="E53" s="36" t="s">
        <v>48</v>
      </c>
      <c r="F53" s="36"/>
      <c r="G53" s="55"/>
      <c r="H53" s="44">
        <v>0</v>
      </c>
      <c r="I53" s="45">
        <v>0</v>
      </c>
      <c r="J53" s="60"/>
      <c r="K53" s="40">
        <f t="shared" si="0"/>
        <v>0</v>
      </c>
      <c r="L53" s="46" t="e">
        <f t="shared" si="1"/>
        <v>#DIV/0!</v>
      </c>
      <c r="N53" s="178"/>
      <c r="O53" s="178"/>
    </row>
    <row r="54" spans="2:15" s="54" customFormat="1" ht="20.25" x14ac:dyDescent="0.25">
      <c r="B54" s="47">
        <v>41</v>
      </c>
      <c r="C54" s="48"/>
      <c r="D54" s="48"/>
      <c r="E54" s="48"/>
      <c r="F54" s="48" t="s">
        <v>49</v>
      </c>
      <c r="G54" s="49"/>
      <c r="H54" s="50">
        <v>0</v>
      </c>
      <c r="I54" s="51">
        <v>0</v>
      </c>
      <c r="J54" s="58"/>
      <c r="K54" s="40">
        <f t="shared" si="0"/>
        <v>0</v>
      </c>
      <c r="L54" s="46" t="e">
        <f t="shared" si="1"/>
        <v>#DIV/0!</v>
      </c>
      <c r="N54" s="62"/>
      <c r="O54" s="62"/>
    </row>
    <row r="55" spans="2:15" s="54" customFormat="1" ht="20.25" x14ac:dyDescent="0.25">
      <c r="B55" s="47">
        <v>42</v>
      </c>
      <c r="C55" s="48"/>
      <c r="D55" s="48"/>
      <c r="E55" s="48"/>
      <c r="F55" s="48" t="s">
        <v>50</v>
      </c>
      <c r="G55" s="49"/>
      <c r="H55" s="50">
        <v>0</v>
      </c>
      <c r="I55" s="51">
        <v>0</v>
      </c>
      <c r="J55" s="58"/>
      <c r="K55" s="40">
        <f t="shared" si="0"/>
        <v>0</v>
      </c>
      <c r="L55" s="46" t="e">
        <f t="shared" si="1"/>
        <v>#DIV/0!</v>
      </c>
      <c r="N55" s="62"/>
      <c r="O55" s="62"/>
    </row>
    <row r="56" spans="2:15" s="54" customFormat="1" ht="58.5" x14ac:dyDescent="0.25">
      <c r="B56" s="47">
        <v>43</v>
      </c>
      <c r="C56" s="48"/>
      <c r="D56" s="48"/>
      <c r="E56" s="48"/>
      <c r="F56" s="61" t="s">
        <v>51</v>
      </c>
      <c r="G56" s="49"/>
      <c r="H56" s="50">
        <v>0</v>
      </c>
      <c r="I56" s="51">
        <v>0</v>
      </c>
      <c r="J56" s="58"/>
      <c r="K56" s="40"/>
      <c r="L56" s="46"/>
      <c r="N56" s="62"/>
      <c r="O56" s="62"/>
    </row>
    <row r="57" spans="2:15" s="41" customFormat="1" ht="20.25" x14ac:dyDescent="0.25">
      <c r="B57" s="29">
        <v>44</v>
      </c>
      <c r="C57" s="36"/>
      <c r="D57" s="36"/>
      <c r="E57" s="36" t="s">
        <v>52</v>
      </c>
      <c r="F57" s="36"/>
      <c r="G57" s="55"/>
      <c r="H57" s="44">
        <v>0</v>
      </c>
      <c r="I57" s="45">
        <v>0</v>
      </c>
      <c r="J57" s="60"/>
      <c r="K57" s="40">
        <f t="shared" si="0"/>
        <v>0</v>
      </c>
      <c r="L57" s="46" t="e">
        <f t="shared" si="1"/>
        <v>#DIV/0!</v>
      </c>
      <c r="N57" s="178"/>
      <c r="O57" s="178"/>
    </row>
    <row r="58" spans="2:15" s="54" customFormat="1" ht="20.25" x14ac:dyDescent="0.25">
      <c r="B58" s="47">
        <v>45</v>
      </c>
      <c r="C58" s="48"/>
      <c r="D58" s="48"/>
      <c r="E58" s="48"/>
      <c r="F58" s="48" t="s">
        <v>53</v>
      </c>
      <c r="G58" s="49"/>
      <c r="H58" s="50">
        <v>0</v>
      </c>
      <c r="I58" s="51">
        <v>0</v>
      </c>
      <c r="J58" s="58"/>
      <c r="K58" s="40">
        <f t="shared" si="0"/>
        <v>0</v>
      </c>
      <c r="L58" s="46" t="e">
        <f t="shared" si="1"/>
        <v>#DIV/0!</v>
      </c>
      <c r="N58" s="62"/>
      <c r="O58" s="62"/>
    </row>
    <row r="59" spans="2:15" s="54" customFormat="1" ht="39" x14ac:dyDescent="0.25">
      <c r="B59" s="47">
        <v>46</v>
      </c>
      <c r="C59" s="48"/>
      <c r="D59" s="48"/>
      <c r="E59" s="48"/>
      <c r="F59" s="61" t="s">
        <v>54</v>
      </c>
      <c r="G59" s="49"/>
      <c r="H59" s="50">
        <v>0</v>
      </c>
      <c r="I59" s="51">
        <v>0</v>
      </c>
      <c r="J59" s="58"/>
      <c r="K59" s="40">
        <f t="shared" si="0"/>
        <v>0</v>
      </c>
      <c r="L59" s="46" t="e">
        <f t="shared" si="1"/>
        <v>#DIV/0!</v>
      </c>
      <c r="N59" s="62"/>
      <c r="O59" s="62"/>
    </row>
    <row r="60" spans="2:15" s="54" customFormat="1" ht="20.25" x14ac:dyDescent="0.25">
      <c r="B60" s="47">
        <v>47</v>
      </c>
      <c r="C60" s="48"/>
      <c r="D60" s="48"/>
      <c r="E60" s="48"/>
      <c r="F60" s="48" t="s">
        <v>55</v>
      </c>
      <c r="G60" s="49"/>
      <c r="H60" s="50">
        <v>0</v>
      </c>
      <c r="I60" s="51">
        <v>0</v>
      </c>
      <c r="J60" s="58"/>
      <c r="K60" s="40">
        <f t="shared" si="0"/>
        <v>0</v>
      </c>
      <c r="L60" s="46" t="e">
        <f t="shared" si="1"/>
        <v>#DIV/0!</v>
      </c>
      <c r="N60" s="62"/>
      <c r="O60" s="62"/>
    </row>
    <row r="61" spans="2:15" s="54" customFormat="1" ht="20.25" x14ac:dyDescent="0.25">
      <c r="B61" s="47">
        <v>48</v>
      </c>
      <c r="C61" s="48"/>
      <c r="D61" s="48"/>
      <c r="E61" s="48"/>
      <c r="F61" s="48" t="s">
        <v>56</v>
      </c>
      <c r="G61" s="49"/>
      <c r="H61" s="50">
        <v>0</v>
      </c>
      <c r="I61" s="51">
        <v>0</v>
      </c>
      <c r="J61" s="58"/>
      <c r="K61" s="40">
        <f t="shared" si="0"/>
        <v>0</v>
      </c>
      <c r="L61" s="46" t="e">
        <f t="shared" si="1"/>
        <v>#DIV/0!</v>
      </c>
      <c r="N61" s="62"/>
      <c r="O61" s="62"/>
    </row>
    <row r="62" spans="2:15" s="54" customFormat="1" ht="20.25" x14ac:dyDescent="0.25">
      <c r="B62" s="47">
        <v>49</v>
      </c>
      <c r="C62" s="48"/>
      <c r="D62" s="48"/>
      <c r="E62" s="48"/>
      <c r="F62" s="48" t="s">
        <v>57</v>
      </c>
      <c r="G62" s="49"/>
      <c r="H62" s="50">
        <v>0</v>
      </c>
      <c r="I62" s="51">
        <v>0</v>
      </c>
      <c r="J62" s="58"/>
      <c r="K62" s="40">
        <f t="shared" si="0"/>
        <v>0</v>
      </c>
      <c r="L62" s="46" t="e">
        <f t="shared" si="1"/>
        <v>#DIV/0!</v>
      </c>
      <c r="N62" s="62"/>
      <c r="O62" s="62"/>
    </row>
    <row r="63" spans="2:15" s="54" customFormat="1" ht="20.25" x14ac:dyDescent="0.25">
      <c r="B63" s="47">
        <v>50</v>
      </c>
      <c r="C63" s="48"/>
      <c r="D63" s="48"/>
      <c r="E63" s="48"/>
      <c r="F63" s="48" t="s">
        <v>58</v>
      </c>
      <c r="G63" s="49"/>
      <c r="H63" s="50">
        <v>0</v>
      </c>
      <c r="I63" s="51">
        <v>0</v>
      </c>
      <c r="J63" s="58"/>
      <c r="K63" s="40">
        <f t="shared" si="0"/>
        <v>0</v>
      </c>
      <c r="L63" s="46" t="e">
        <f t="shared" si="1"/>
        <v>#DIV/0!</v>
      </c>
      <c r="N63" s="62"/>
      <c r="O63" s="62"/>
    </row>
    <row r="64" spans="2:15" s="54" customFormat="1" ht="20.25" x14ac:dyDescent="0.25">
      <c r="B64" s="47">
        <v>51</v>
      </c>
      <c r="C64" s="48"/>
      <c r="D64" s="48"/>
      <c r="E64" s="48"/>
      <c r="F64" s="48" t="s">
        <v>59</v>
      </c>
      <c r="G64" s="49"/>
      <c r="H64" s="50">
        <v>0</v>
      </c>
      <c r="I64" s="51">
        <v>0</v>
      </c>
      <c r="J64" s="58"/>
      <c r="K64" s="40">
        <f t="shared" si="0"/>
        <v>0</v>
      </c>
      <c r="L64" s="46" t="e">
        <f t="shared" si="1"/>
        <v>#DIV/0!</v>
      </c>
      <c r="N64" s="62"/>
      <c r="O64" s="62"/>
    </row>
    <row r="65" spans="2:15" s="54" customFormat="1" ht="39" x14ac:dyDescent="0.25">
      <c r="B65" s="47">
        <v>52</v>
      </c>
      <c r="C65" s="48"/>
      <c r="D65" s="48"/>
      <c r="E65" s="48"/>
      <c r="F65" s="63" t="s">
        <v>60</v>
      </c>
      <c r="G65" s="49"/>
      <c r="H65" s="50">
        <v>0</v>
      </c>
      <c r="I65" s="51">
        <v>0</v>
      </c>
      <c r="J65" s="52"/>
      <c r="K65" s="40">
        <f t="shared" si="0"/>
        <v>0</v>
      </c>
      <c r="L65" s="46" t="e">
        <f t="shared" si="1"/>
        <v>#DIV/0!</v>
      </c>
      <c r="N65" s="62"/>
      <c r="O65" s="62"/>
    </row>
    <row r="66" spans="2:15" s="54" customFormat="1" ht="20.25" x14ac:dyDescent="0.25">
      <c r="B66" s="47">
        <v>53</v>
      </c>
      <c r="C66" s="48"/>
      <c r="D66" s="48"/>
      <c r="E66" s="48"/>
      <c r="F66" s="61" t="s">
        <v>61</v>
      </c>
      <c r="G66" s="49"/>
      <c r="H66" s="50">
        <v>0</v>
      </c>
      <c r="I66" s="51">
        <v>0</v>
      </c>
      <c r="J66" s="52"/>
      <c r="K66" s="40">
        <f t="shared" si="0"/>
        <v>0</v>
      </c>
      <c r="L66" s="46" t="e">
        <f t="shared" si="1"/>
        <v>#DIV/0!</v>
      </c>
      <c r="N66" s="62"/>
      <c r="O66" s="62"/>
    </row>
    <row r="67" spans="2:15" s="54" customFormat="1" ht="39" x14ac:dyDescent="0.25">
      <c r="B67" s="47">
        <v>54</v>
      </c>
      <c r="C67" s="48"/>
      <c r="D67" s="48"/>
      <c r="E67" s="48"/>
      <c r="F67" s="61" t="s">
        <v>62</v>
      </c>
      <c r="G67" s="49"/>
      <c r="H67" s="50">
        <v>0</v>
      </c>
      <c r="I67" s="51">
        <v>0</v>
      </c>
      <c r="J67" s="58"/>
      <c r="K67" s="40">
        <f t="shared" si="0"/>
        <v>0</v>
      </c>
      <c r="L67" s="46" t="e">
        <f t="shared" si="1"/>
        <v>#DIV/0!</v>
      </c>
      <c r="M67" s="52"/>
      <c r="N67" s="62"/>
      <c r="O67" s="62"/>
    </row>
    <row r="68" spans="2:15" s="54" customFormat="1" ht="39" x14ac:dyDescent="0.25">
      <c r="B68" s="47">
        <v>55</v>
      </c>
      <c r="C68" s="48"/>
      <c r="D68" s="48"/>
      <c r="E68" s="48"/>
      <c r="F68" s="63" t="s">
        <v>63</v>
      </c>
      <c r="G68" s="49"/>
      <c r="H68" s="50">
        <v>0</v>
      </c>
      <c r="I68" s="51">
        <v>0</v>
      </c>
      <c r="J68" s="58"/>
      <c r="K68" s="40">
        <f t="shared" si="0"/>
        <v>0</v>
      </c>
      <c r="L68" s="46" t="e">
        <f t="shared" si="1"/>
        <v>#DIV/0!</v>
      </c>
      <c r="N68" s="62"/>
      <c r="O68" s="62"/>
    </row>
    <row r="69" spans="2:15" s="54" customFormat="1" ht="20.25" x14ac:dyDescent="0.25">
      <c r="B69" s="47">
        <v>56</v>
      </c>
      <c r="C69" s="48"/>
      <c r="D69" s="48"/>
      <c r="E69" s="48"/>
      <c r="F69" s="61" t="s">
        <v>64</v>
      </c>
      <c r="G69" s="49"/>
      <c r="H69" s="50">
        <v>0</v>
      </c>
      <c r="I69" s="51">
        <v>0</v>
      </c>
      <c r="J69" s="52"/>
      <c r="K69" s="40">
        <f t="shared" si="0"/>
        <v>0</v>
      </c>
      <c r="L69" s="46" t="e">
        <f t="shared" si="1"/>
        <v>#DIV/0!</v>
      </c>
      <c r="N69" s="62"/>
      <c r="O69" s="62"/>
    </row>
    <row r="70" spans="2:15" s="54" customFormat="1" ht="20.25" x14ac:dyDescent="0.25">
      <c r="B70" s="47">
        <v>57</v>
      </c>
      <c r="C70" s="48"/>
      <c r="D70" s="48"/>
      <c r="E70" s="48"/>
      <c r="F70" s="61" t="s">
        <v>65</v>
      </c>
      <c r="G70" s="49"/>
      <c r="H70" s="50">
        <v>0</v>
      </c>
      <c r="I70" s="51">
        <v>0</v>
      </c>
      <c r="J70" s="58"/>
      <c r="K70" s="40">
        <f t="shared" si="0"/>
        <v>0</v>
      </c>
      <c r="L70" s="46" t="e">
        <f t="shared" si="1"/>
        <v>#DIV/0!</v>
      </c>
      <c r="M70" s="52"/>
      <c r="N70" s="62"/>
      <c r="O70" s="62"/>
    </row>
    <row r="71" spans="2:15" s="54" customFormat="1" ht="20.25" x14ac:dyDescent="0.25">
      <c r="B71" s="47">
        <v>58</v>
      </c>
      <c r="C71" s="48"/>
      <c r="D71" s="48"/>
      <c r="E71" s="48"/>
      <c r="F71" s="63" t="s">
        <v>66</v>
      </c>
      <c r="G71" s="49"/>
      <c r="H71" s="50">
        <v>0</v>
      </c>
      <c r="I71" s="51">
        <v>0</v>
      </c>
      <c r="J71" s="58"/>
      <c r="K71" s="40">
        <f t="shared" si="0"/>
        <v>0</v>
      </c>
      <c r="L71" s="46" t="e">
        <f t="shared" si="1"/>
        <v>#DIV/0!</v>
      </c>
      <c r="N71" s="62"/>
      <c r="O71" s="62"/>
    </row>
    <row r="72" spans="2:15" s="54" customFormat="1" ht="20.25" x14ac:dyDescent="0.25">
      <c r="B72" s="47">
        <v>59</v>
      </c>
      <c r="C72" s="48"/>
      <c r="D72" s="48"/>
      <c r="E72" s="48"/>
      <c r="F72" s="48" t="s">
        <v>67</v>
      </c>
      <c r="G72" s="49"/>
      <c r="H72" s="50">
        <v>0</v>
      </c>
      <c r="I72" s="51">
        <v>0</v>
      </c>
      <c r="J72" s="52"/>
      <c r="K72" s="40">
        <f t="shared" si="0"/>
        <v>0</v>
      </c>
      <c r="L72" s="46" t="e">
        <f t="shared" si="1"/>
        <v>#DIV/0!</v>
      </c>
      <c r="N72" s="62"/>
      <c r="O72" s="62"/>
    </row>
    <row r="73" spans="2:15" s="54" customFormat="1" ht="20.25" x14ac:dyDescent="0.25">
      <c r="B73" s="47">
        <v>60</v>
      </c>
      <c r="C73" s="48"/>
      <c r="D73" s="48"/>
      <c r="E73" s="48"/>
      <c r="F73" s="48" t="s">
        <v>68</v>
      </c>
      <c r="G73" s="49"/>
      <c r="H73" s="50">
        <v>0</v>
      </c>
      <c r="I73" s="51">
        <v>0</v>
      </c>
      <c r="J73" s="58"/>
      <c r="K73" s="40">
        <f t="shared" si="0"/>
        <v>0</v>
      </c>
      <c r="L73" s="46" t="e">
        <f t="shared" si="1"/>
        <v>#DIV/0!</v>
      </c>
      <c r="M73" s="52"/>
      <c r="N73" s="62"/>
      <c r="O73" s="62"/>
    </row>
    <row r="74" spans="2:15" s="54" customFormat="1" ht="39" x14ac:dyDescent="0.25">
      <c r="B74" s="47">
        <v>61</v>
      </c>
      <c r="C74" s="48"/>
      <c r="D74" s="48"/>
      <c r="E74" s="48"/>
      <c r="F74" s="63" t="s">
        <v>69</v>
      </c>
      <c r="G74" s="49"/>
      <c r="H74" s="50">
        <v>0</v>
      </c>
      <c r="I74" s="51">
        <v>0</v>
      </c>
      <c r="J74" s="58"/>
      <c r="K74" s="40">
        <f t="shared" si="0"/>
        <v>0</v>
      </c>
      <c r="L74" s="46" t="e">
        <f t="shared" si="1"/>
        <v>#DIV/0!</v>
      </c>
      <c r="N74" s="62"/>
      <c r="O74" s="62"/>
    </row>
    <row r="75" spans="2:15" s="54" customFormat="1" ht="40.35" customHeight="1" x14ac:dyDescent="0.25">
      <c r="B75" s="47">
        <v>62</v>
      </c>
      <c r="C75" s="48"/>
      <c r="D75" s="48"/>
      <c r="E75" s="48"/>
      <c r="F75" s="61" t="s">
        <v>70</v>
      </c>
      <c r="G75" s="49"/>
      <c r="H75" s="50">
        <v>0</v>
      </c>
      <c r="I75" s="51">
        <v>0</v>
      </c>
      <c r="J75" s="52"/>
      <c r="K75" s="40">
        <f t="shared" si="0"/>
        <v>0</v>
      </c>
      <c r="L75" s="46" t="e">
        <f t="shared" si="1"/>
        <v>#DIV/0!</v>
      </c>
      <c r="N75" s="62"/>
      <c r="O75" s="62"/>
    </row>
    <row r="76" spans="2:15" s="54" customFormat="1" ht="20.25" x14ac:dyDescent="0.25">
      <c r="B76" s="47">
        <v>63</v>
      </c>
      <c r="C76" s="48"/>
      <c r="D76" s="48"/>
      <c r="E76" s="48"/>
      <c r="F76" s="48" t="s">
        <v>71</v>
      </c>
      <c r="G76" s="49"/>
      <c r="H76" s="50">
        <v>0</v>
      </c>
      <c r="I76" s="51">
        <v>0</v>
      </c>
      <c r="J76" s="58"/>
      <c r="K76" s="40">
        <f t="shared" si="0"/>
        <v>0</v>
      </c>
      <c r="L76" s="46" t="e">
        <f t="shared" si="1"/>
        <v>#DIV/0!</v>
      </c>
      <c r="M76" s="52"/>
      <c r="N76" s="62"/>
      <c r="O76" s="62"/>
    </row>
    <row r="77" spans="2:15" s="54" customFormat="1" ht="20.25" x14ac:dyDescent="0.25">
      <c r="B77" s="47">
        <v>64</v>
      </c>
      <c r="C77" s="48"/>
      <c r="D77" s="48"/>
      <c r="E77" s="48"/>
      <c r="F77" s="48" t="s">
        <v>72</v>
      </c>
      <c r="G77" s="49"/>
      <c r="H77" s="50">
        <v>0</v>
      </c>
      <c r="I77" s="51">
        <v>0</v>
      </c>
      <c r="J77" s="58"/>
      <c r="K77" s="40">
        <f t="shared" si="0"/>
        <v>0</v>
      </c>
      <c r="L77" s="46" t="e">
        <f t="shared" si="1"/>
        <v>#DIV/0!</v>
      </c>
      <c r="M77" s="52"/>
      <c r="N77" s="62"/>
      <c r="O77" s="62"/>
    </row>
    <row r="78" spans="2:15" s="54" customFormat="1" ht="20.25" x14ac:dyDescent="0.25">
      <c r="B78" s="47">
        <v>65</v>
      </c>
      <c r="C78" s="48"/>
      <c r="D78" s="48"/>
      <c r="E78" s="48"/>
      <c r="F78" s="48" t="s">
        <v>73</v>
      </c>
      <c r="G78" s="49"/>
      <c r="H78" s="50">
        <v>0</v>
      </c>
      <c r="I78" s="51">
        <v>0</v>
      </c>
      <c r="J78" s="58"/>
      <c r="K78" s="40">
        <f t="shared" si="0"/>
        <v>0</v>
      </c>
      <c r="L78" s="46" t="e">
        <f t="shared" si="1"/>
        <v>#DIV/0!</v>
      </c>
      <c r="M78" s="52"/>
      <c r="N78" s="62"/>
      <c r="O78" s="62"/>
    </row>
    <row r="79" spans="2:15" s="54" customFormat="1" ht="20.25" x14ac:dyDescent="0.25">
      <c r="B79" s="47">
        <v>66</v>
      </c>
      <c r="C79" s="48"/>
      <c r="D79" s="48"/>
      <c r="E79" s="48"/>
      <c r="F79" s="59" t="s">
        <v>74</v>
      </c>
      <c r="G79" s="49"/>
      <c r="H79" s="50">
        <v>0</v>
      </c>
      <c r="I79" s="51">
        <v>0</v>
      </c>
      <c r="J79" s="58"/>
      <c r="K79" s="40">
        <f t="shared" si="0"/>
        <v>0</v>
      </c>
      <c r="L79" s="46" t="e">
        <f t="shared" si="1"/>
        <v>#DIV/0!</v>
      </c>
      <c r="N79" s="62"/>
      <c r="O79" s="62"/>
    </row>
    <row r="80" spans="2:15" s="41" customFormat="1" ht="20.25" x14ac:dyDescent="0.25">
      <c r="B80" s="29">
        <v>67</v>
      </c>
      <c r="C80" s="36"/>
      <c r="D80" s="36"/>
      <c r="E80" s="36" t="s">
        <v>75</v>
      </c>
      <c r="F80" s="64"/>
      <c r="G80" s="55"/>
      <c r="H80" s="56">
        <v>0</v>
      </c>
      <c r="I80" s="57">
        <v>0</v>
      </c>
      <c r="J80" s="60"/>
      <c r="K80" s="40">
        <f t="shared" si="0"/>
        <v>0</v>
      </c>
      <c r="L80" s="46" t="e">
        <f t="shared" si="1"/>
        <v>#DIV/0!</v>
      </c>
      <c r="N80" s="178"/>
      <c r="O80" s="178"/>
    </row>
    <row r="81" spans="2:15" s="54" customFormat="1" ht="20.25" x14ac:dyDescent="0.25">
      <c r="B81" s="47">
        <v>68</v>
      </c>
      <c r="C81" s="48"/>
      <c r="D81" s="48"/>
      <c r="E81" s="48"/>
      <c r="F81" s="59" t="s">
        <v>76</v>
      </c>
      <c r="G81" s="49"/>
      <c r="H81" s="50">
        <v>0</v>
      </c>
      <c r="I81" s="51">
        <v>0</v>
      </c>
      <c r="J81" s="58"/>
      <c r="K81" s="40">
        <f t="shared" si="0"/>
        <v>0</v>
      </c>
      <c r="L81" s="46" t="e">
        <f t="shared" si="1"/>
        <v>#DIV/0!</v>
      </c>
      <c r="N81" s="62"/>
      <c r="O81" s="62"/>
    </row>
    <row r="82" spans="2:15" s="54" customFormat="1" ht="20.25" x14ac:dyDescent="0.25">
      <c r="B82" s="47">
        <v>69</v>
      </c>
      <c r="C82" s="48"/>
      <c r="D82" s="48"/>
      <c r="E82" s="48"/>
      <c r="F82" s="59" t="s">
        <v>77</v>
      </c>
      <c r="G82" s="49"/>
      <c r="H82" s="50">
        <v>0</v>
      </c>
      <c r="I82" s="51">
        <v>0</v>
      </c>
      <c r="J82" s="58"/>
      <c r="K82" s="40">
        <f t="shared" si="0"/>
        <v>0</v>
      </c>
      <c r="L82" s="46" t="e">
        <f t="shared" si="1"/>
        <v>#DIV/0!</v>
      </c>
      <c r="N82" s="62"/>
      <c r="O82" s="62"/>
    </row>
    <row r="83" spans="2:15" s="54" customFormat="1" ht="20.25" x14ac:dyDescent="0.25">
      <c r="B83" s="47">
        <v>70</v>
      </c>
      <c r="C83" s="48"/>
      <c r="D83" s="48"/>
      <c r="E83" s="48"/>
      <c r="F83" s="59" t="s">
        <v>78</v>
      </c>
      <c r="G83" s="49"/>
      <c r="H83" s="50">
        <v>0</v>
      </c>
      <c r="I83" s="51">
        <v>0</v>
      </c>
      <c r="J83" s="58"/>
      <c r="K83" s="40"/>
      <c r="L83" s="46"/>
      <c r="N83" s="62"/>
      <c r="O83" s="62"/>
    </row>
    <row r="84" spans="2:15" s="54" customFormat="1" ht="20.25" x14ac:dyDescent="0.25">
      <c r="B84" s="47">
        <v>71</v>
      </c>
      <c r="C84" s="48"/>
      <c r="D84" s="48"/>
      <c r="E84" s="48"/>
      <c r="F84" s="59" t="s">
        <v>79</v>
      </c>
      <c r="G84" s="49"/>
      <c r="H84" s="50">
        <v>0</v>
      </c>
      <c r="I84" s="51">
        <v>0</v>
      </c>
      <c r="J84" s="58"/>
      <c r="K84" s="40"/>
      <c r="L84" s="46"/>
      <c r="N84" s="62"/>
      <c r="O84" s="62"/>
    </row>
    <row r="85" spans="2:15" s="54" customFormat="1" ht="20.25" x14ac:dyDescent="0.25">
      <c r="B85" s="47">
        <v>72</v>
      </c>
      <c r="C85" s="48"/>
      <c r="D85" s="48"/>
      <c r="E85" s="48"/>
      <c r="F85" s="59" t="s">
        <v>80</v>
      </c>
      <c r="G85" s="49"/>
      <c r="H85" s="50">
        <v>0</v>
      </c>
      <c r="I85" s="51">
        <v>0</v>
      </c>
      <c r="J85" s="58"/>
      <c r="K85" s="40"/>
      <c r="L85" s="46"/>
      <c r="N85" s="62"/>
      <c r="O85" s="62"/>
    </row>
    <row r="86" spans="2:15" s="41" customFormat="1" ht="20.25" x14ac:dyDescent="0.25">
      <c r="B86" s="29">
        <v>73</v>
      </c>
      <c r="C86" s="36"/>
      <c r="D86" s="36"/>
      <c r="E86" s="36" t="s">
        <v>81</v>
      </c>
      <c r="F86" s="64"/>
      <c r="G86" s="55"/>
      <c r="H86" s="44">
        <v>0</v>
      </c>
      <c r="I86" s="45">
        <v>0</v>
      </c>
      <c r="J86" s="60"/>
      <c r="K86" s="40">
        <f t="shared" si="0"/>
        <v>0</v>
      </c>
      <c r="L86" s="46" t="e">
        <f t="shared" si="1"/>
        <v>#DIV/0!</v>
      </c>
      <c r="N86" s="178"/>
      <c r="O86" s="178"/>
    </row>
    <row r="87" spans="2:15" s="54" customFormat="1" ht="20.25" x14ac:dyDescent="0.25">
      <c r="B87" s="47">
        <v>74</v>
      </c>
      <c r="C87" s="48"/>
      <c r="D87" s="48"/>
      <c r="E87" s="48"/>
      <c r="F87" s="59" t="s">
        <v>82</v>
      </c>
      <c r="G87" s="49"/>
      <c r="H87" s="50">
        <v>0</v>
      </c>
      <c r="I87" s="51">
        <v>0</v>
      </c>
      <c r="J87" s="58"/>
      <c r="K87" s="40">
        <f t="shared" si="0"/>
        <v>0</v>
      </c>
      <c r="L87" s="46" t="e">
        <f t="shared" si="1"/>
        <v>#DIV/0!</v>
      </c>
      <c r="N87" s="62"/>
      <c r="O87" s="62"/>
    </row>
    <row r="88" spans="2:15" s="54" customFormat="1" ht="20.25" x14ac:dyDescent="0.25">
      <c r="B88" s="47">
        <v>75</v>
      </c>
      <c r="C88" s="48"/>
      <c r="D88" s="48"/>
      <c r="E88" s="48"/>
      <c r="F88" s="59" t="s">
        <v>83</v>
      </c>
      <c r="G88" s="49"/>
      <c r="H88" s="50">
        <v>0</v>
      </c>
      <c r="I88" s="51">
        <v>0</v>
      </c>
      <c r="J88" s="58"/>
      <c r="K88" s="40">
        <f t="shared" si="0"/>
        <v>0</v>
      </c>
      <c r="L88" s="46" t="e">
        <f t="shared" si="1"/>
        <v>#DIV/0!</v>
      </c>
      <c r="N88" s="62"/>
      <c r="O88" s="62"/>
    </row>
    <row r="89" spans="2:15" s="41" customFormat="1" ht="20.25" x14ac:dyDescent="0.25">
      <c r="B89" s="29">
        <v>76</v>
      </c>
      <c r="C89" s="36"/>
      <c r="D89" s="36"/>
      <c r="E89" s="36" t="s">
        <v>84</v>
      </c>
      <c r="F89" s="64"/>
      <c r="G89" s="55"/>
      <c r="H89" s="44">
        <v>0</v>
      </c>
      <c r="I89" s="45">
        <v>0</v>
      </c>
      <c r="J89" s="60"/>
      <c r="K89" s="40">
        <f t="shared" si="0"/>
        <v>0</v>
      </c>
      <c r="L89" s="46" t="e">
        <f t="shared" si="1"/>
        <v>#DIV/0!</v>
      </c>
      <c r="N89" s="178"/>
      <c r="O89" s="178"/>
    </row>
    <row r="90" spans="2:15" s="54" customFormat="1" ht="20.25" x14ac:dyDescent="0.25">
      <c r="B90" s="47">
        <v>77</v>
      </c>
      <c r="C90" s="48"/>
      <c r="D90" s="48"/>
      <c r="E90" s="48"/>
      <c r="F90" s="59" t="s">
        <v>85</v>
      </c>
      <c r="G90" s="49"/>
      <c r="H90" s="50">
        <v>0</v>
      </c>
      <c r="I90" s="51">
        <v>0</v>
      </c>
      <c r="J90" s="58"/>
      <c r="K90" s="40">
        <f t="shared" si="0"/>
        <v>0</v>
      </c>
      <c r="L90" s="46" t="e">
        <f t="shared" si="1"/>
        <v>#DIV/0!</v>
      </c>
      <c r="N90" s="62"/>
      <c r="O90" s="62"/>
    </row>
    <row r="91" spans="2:15" s="54" customFormat="1" ht="20.25" x14ac:dyDescent="0.25">
      <c r="B91" s="47">
        <v>78</v>
      </c>
      <c r="C91" s="48"/>
      <c r="D91" s="48"/>
      <c r="E91" s="48"/>
      <c r="F91" s="59" t="s">
        <v>86</v>
      </c>
      <c r="G91" s="49"/>
      <c r="H91" s="50">
        <v>0</v>
      </c>
      <c r="I91" s="51">
        <v>0</v>
      </c>
      <c r="J91" s="58"/>
      <c r="K91" s="40">
        <f t="shared" si="0"/>
        <v>0</v>
      </c>
      <c r="L91" s="46" t="e">
        <f t="shared" si="1"/>
        <v>#DIV/0!</v>
      </c>
      <c r="N91" s="62"/>
      <c r="O91" s="62"/>
    </row>
    <row r="92" spans="2:15" s="54" customFormat="1" ht="20.25" x14ac:dyDescent="0.25">
      <c r="B92" s="47">
        <v>79</v>
      </c>
      <c r="C92" s="48"/>
      <c r="D92" s="48"/>
      <c r="E92" s="48"/>
      <c r="F92" s="59" t="s">
        <v>87</v>
      </c>
      <c r="G92" s="49"/>
      <c r="H92" s="50">
        <v>0</v>
      </c>
      <c r="I92" s="51">
        <v>0</v>
      </c>
      <c r="J92" s="58"/>
      <c r="K92" s="40">
        <f t="shared" ref="K92:K155" si="2">+H92-I92</f>
        <v>0</v>
      </c>
      <c r="L92" s="46" t="e">
        <f t="shared" ref="L92:L155" si="3">+K92/I92*100</f>
        <v>#DIV/0!</v>
      </c>
      <c r="N92" s="62"/>
      <c r="O92" s="62"/>
    </row>
    <row r="93" spans="2:15" s="54" customFormat="1" ht="20.25" x14ac:dyDescent="0.25">
      <c r="B93" s="47">
        <v>80</v>
      </c>
      <c r="C93" s="48"/>
      <c r="D93" s="48"/>
      <c r="E93" s="48"/>
      <c r="F93" s="59" t="s">
        <v>88</v>
      </c>
      <c r="G93" s="49"/>
      <c r="H93" s="50">
        <v>0</v>
      </c>
      <c r="I93" s="51">
        <v>0</v>
      </c>
      <c r="J93" s="58"/>
      <c r="K93" s="40">
        <f t="shared" si="2"/>
        <v>0</v>
      </c>
      <c r="L93" s="46" t="e">
        <f t="shared" si="3"/>
        <v>#DIV/0!</v>
      </c>
      <c r="N93" s="62"/>
      <c r="O93" s="62"/>
    </row>
    <row r="94" spans="2:15" s="54" customFormat="1" ht="20.25" x14ac:dyDescent="0.25">
      <c r="B94" s="47">
        <v>81</v>
      </c>
      <c r="C94" s="48"/>
      <c r="D94" s="48"/>
      <c r="E94" s="48"/>
      <c r="F94" s="59" t="s">
        <v>89</v>
      </c>
      <c r="G94" s="49"/>
      <c r="H94" s="50">
        <v>0</v>
      </c>
      <c r="I94" s="51">
        <v>0</v>
      </c>
      <c r="J94" s="58"/>
      <c r="K94" s="40">
        <f t="shared" si="2"/>
        <v>0</v>
      </c>
      <c r="L94" s="46" t="e">
        <f t="shared" si="3"/>
        <v>#DIV/0!</v>
      </c>
      <c r="N94" s="62"/>
      <c r="O94" s="62"/>
    </row>
    <row r="95" spans="2:15" s="41" customFormat="1" ht="20.25" x14ac:dyDescent="0.25">
      <c r="B95" s="29">
        <v>82</v>
      </c>
      <c r="C95" s="36"/>
      <c r="D95" s="36"/>
      <c r="E95" s="36" t="s">
        <v>90</v>
      </c>
      <c r="F95" s="64"/>
      <c r="G95" s="55"/>
      <c r="H95" s="44">
        <v>-610223862766.44995</v>
      </c>
      <c r="I95" s="45">
        <v>-388631417415.02997</v>
      </c>
      <c r="J95" s="60"/>
      <c r="K95" s="40">
        <f t="shared" si="2"/>
        <v>-221592445351.41998</v>
      </c>
      <c r="L95" s="46">
        <f t="shared" si="3"/>
        <v>57.018664838096569</v>
      </c>
      <c r="N95" s="178"/>
      <c r="O95" s="178"/>
    </row>
    <row r="96" spans="2:15" s="54" customFormat="1" ht="20.25" x14ac:dyDescent="0.25">
      <c r="B96" s="47">
        <v>83</v>
      </c>
      <c r="C96" s="48"/>
      <c r="D96" s="48"/>
      <c r="E96" s="48"/>
      <c r="F96" s="59" t="s">
        <v>91</v>
      </c>
      <c r="G96" s="49"/>
      <c r="H96" s="50">
        <v>-610223862766.44995</v>
      </c>
      <c r="I96" s="51">
        <v>-388631417415.02997</v>
      </c>
      <c r="J96" s="58"/>
      <c r="K96" s="40">
        <f t="shared" si="2"/>
        <v>-221592445351.41998</v>
      </c>
      <c r="L96" s="46">
        <f t="shared" si="3"/>
        <v>57.018664838096569</v>
      </c>
      <c r="N96" s="62"/>
      <c r="O96" s="62"/>
    </row>
    <row r="97" spans="2:15" s="54" customFormat="1" ht="20.25" x14ac:dyDescent="0.25">
      <c r="B97" s="47">
        <v>84</v>
      </c>
      <c r="C97" s="48"/>
      <c r="D97" s="48"/>
      <c r="E97" s="48"/>
      <c r="F97" s="59" t="s">
        <v>92</v>
      </c>
      <c r="G97" s="49"/>
      <c r="H97" s="50">
        <v>0</v>
      </c>
      <c r="I97" s="51">
        <v>0</v>
      </c>
      <c r="J97" s="58"/>
      <c r="K97" s="40">
        <f t="shared" si="2"/>
        <v>0</v>
      </c>
      <c r="L97" s="46" t="e">
        <f t="shared" si="3"/>
        <v>#DIV/0!</v>
      </c>
      <c r="N97" s="62"/>
      <c r="O97" s="62"/>
    </row>
    <row r="98" spans="2:15" s="41" customFormat="1" ht="20.25" x14ac:dyDescent="0.25">
      <c r="B98" s="47">
        <v>85</v>
      </c>
      <c r="C98" s="36"/>
      <c r="D98" s="36"/>
      <c r="E98" s="36" t="s">
        <v>93</v>
      </c>
      <c r="F98" s="65"/>
      <c r="G98" s="55"/>
      <c r="H98" s="44">
        <v>611067805.13999999</v>
      </c>
      <c r="I98" s="45">
        <v>610143573.86000001</v>
      </c>
      <c r="J98" s="60"/>
      <c r="K98" s="40">
        <f t="shared" si="2"/>
        <v>924231.27999997139</v>
      </c>
      <c r="L98" s="46">
        <f t="shared" si="3"/>
        <v>0.15147767174747631</v>
      </c>
      <c r="N98" s="178"/>
      <c r="O98" s="62"/>
    </row>
    <row r="99" spans="2:15" s="54" customFormat="1" ht="20.25" x14ac:dyDescent="0.25">
      <c r="B99" s="47">
        <v>86</v>
      </c>
      <c r="C99" s="48"/>
      <c r="D99" s="48"/>
      <c r="E99" s="48"/>
      <c r="F99" s="48" t="s">
        <v>93</v>
      </c>
      <c r="G99" s="49"/>
      <c r="H99" s="50">
        <v>611067805.13999999</v>
      </c>
      <c r="I99" s="51">
        <v>610143573.86000001</v>
      </c>
      <c r="J99" s="52"/>
      <c r="K99" s="40">
        <f t="shared" si="2"/>
        <v>924231.27999997139</v>
      </c>
      <c r="L99" s="46">
        <f t="shared" si="3"/>
        <v>0.15147767174747631</v>
      </c>
      <c r="N99" s="62"/>
      <c r="O99" s="62"/>
    </row>
    <row r="100" spans="2:15" s="41" customFormat="1" ht="20.25" x14ac:dyDescent="0.25">
      <c r="B100" s="29">
        <v>87</v>
      </c>
      <c r="C100" s="36"/>
      <c r="D100" s="36"/>
      <c r="E100" s="36" t="s">
        <v>94</v>
      </c>
      <c r="F100" s="36"/>
      <c r="G100" s="55"/>
      <c r="H100" s="56">
        <v>3906899791.8999996</v>
      </c>
      <c r="I100" s="57">
        <v>4578495604</v>
      </c>
      <c r="J100" s="40"/>
      <c r="K100" s="40">
        <f t="shared" si="2"/>
        <v>-671595812.10000038</v>
      </c>
      <c r="L100" s="46">
        <f t="shared" si="3"/>
        <v>-14.668482186883855</v>
      </c>
      <c r="N100" s="178"/>
      <c r="O100" s="178"/>
    </row>
    <row r="101" spans="2:15" s="54" customFormat="1" ht="20.25" x14ac:dyDescent="0.25">
      <c r="B101" s="47">
        <v>88</v>
      </c>
      <c r="C101" s="48"/>
      <c r="D101" s="48"/>
      <c r="E101" s="48"/>
      <c r="F101" s="48" t="s">
        <v>95</v>
      </c>
      <c r="G101" s="49"/>
      <c r="H101" s="50">
        <v>3906899791.8999996</v>
      </c>
      <c r="I101" s="51">
        <v>4578495604</v>
      </c>
      <c r="J101" s="52"/>
      <c r="K101" s="40">
        <f t="shared" si="2"/>
        <v>-671595812.10000038</v>
      </c>
      <c r="L101" s="46">
        <f t="shared" si="3"/>
        <v>-14.668482186883855</v>
      </c>
      <c r="N101" s="62"/>
      <c r="O101" s="62"/>
    </row>
    <row r="102" spans="2:15" s="54" customFormat="1" ht="20.25" x14ac:dyDescent="0.25">
      <c r="B102" s="47">
        <v>89</v>
      </c>
      <c r="C102" s="48"/>
      <c r="D102" s="48"/>
      <c r="E102" s="48"/>
      <c r="F102" s="48" t="s">
        <v>96</v>
      </c>
      <c r="G102" s="49"/>
      <c r="H102" s="50">
        <v>0</v>
      </c>
      <c r="I102" s="51">
        <v>0</v>
      </c>
      <c r="J102" s="52"/>
      <c r="K102" s="40"/>
      <c r="L102" s="46"/>
      <c r="N102" s="62"/>
      <c r="O102" s="62"/>
    </row>
    <row r="103" spans="2:15" s="54" customFormat="1" ht="20.25" x14ac:dyDescent="0.25">
      <c r="B103" s="47">
        <v>90</v>
      </c>
      <c r="C103" s="48"/>
      <c r="D103" s="48"/>
      <c r="E103" s="48"/>
      <c r="F103" s="48" t="s">
        <v>97</v>
      </c>
      <c r="G103" s="49"/>
      <c r="H103" s="50">
        <v>0</v>
      </c>
      <c r="I103" s="51">
        <v>0</v>
      </c>
      <c r="J103" s="52"/>
      <c r="K103" s="40"/>
      <c r="L103" s="46"/>
      <c r="N103" s="62"/>
      <c r="O103" s="62"/>
    </row>
    <row r="104" spans="2:15" s="41" customFormat="1" ht="20.25" x14ac:dyDescent="0.25">
      <c r="B104" s="29">
        <v>91</v>
      </c>
      <c r="C104" s="36"/>
      <c r="D104" s="36"/>
      <c r="E104" s="36"/>
      <c r="F104" s="65" t="s">
        <v>98</v>
      </c>
      <c r="G104" s="37"/>
      <c r="H104" s="44">
        <v>1511709500991.5898</v>
      </c>
      <c r="I104" s="45">
        <v>1666686527045.22</v>
      </c>
      <c r="J104" s="40"/>
      <c r="K104" s="40">
        <f t="shared" si="2"/>
        <v>-154977026053.63013</v>
      </c>
      <c r="L104" s="46">
        <f t="shared" si="3"/>
        <v>-9.2985107600516024</v>
      </c>
      <c r="N104" s="178"/>
      <c r="O104" s="178"/>
    </row>
    <row r="105" spans="2:15" s="41" customFormat="1" ht="20.25" x14ac:dyDescent="0.25">
      <c r="B105" s="47">
        <v>92</v>
      </c>
      <c r="C105" s="36"/>
      <c r="D105" s="36"/>
      <c r="E105" s="36"/>
      <c r="F105" s="36"/>
      <c r="G105" s="37"/>
      <c r="H105" s="66"/>
      <c r="I105" s="67"/>
      <c r="K105" s="40"/>
      <c r="L105" s="46"/>
      <c r="N105" s="178"/>
      <c r="O105" s="62"/>
    </row>
    <row r="106" spans="2:15" s="41" customFormat="1" ht="20.25" x14ac:dyDescent="0.25">
      <c r="B106" s="29">
        <v>93</v>
      </c>
      <c r="C106" s="36"/>
      <c r="D106" s="36" t="s">
        <v>99</v>
      </c>
      <c r="E106" s="36"/>
      <c r="F106" s="36"/>
      <c r="G106" s="37"/>
      <c r="H106" s="44"/>
      <c r="I106" s="45"/>
      <c r="K106" s="40"/>
      <c r="L106" s="46"/>
      <c r="N106" s="178"/>
      <c r="O106" s="178"/>
    </row>
    <row r="107" spans="2:15" s="41" customFormat="1" ht="20.25" x14ac:dyDescent="0.25">
      <c r="B107" s="29">
        <v>94</v>
      </c>
      <c r="C107" s="36"/>
      <c r="D107" s="36"/>
      <c r="E107" s="36" t="s">
        <v>100</v>
      </c>
      <c r="F107" s="36"/>
      <c r="G107" s="37"/>
      <c r="H107" s="44">
        <v>0</v>
      </c>
      <c r="I107" s="45">
        <v>0</v>
      </c>
      <c r="J107" s="40"/>
      <c r="K107" s="40">
        <f t="shared" si="2"/>
        <v>0</v>
      </c>
      <c r="L107" s="46" t="e">
        <f t="shared" si="3"/>
        <v>#DIV/0!</v>
      </c>
      <c r="N107" s="178"/>
      <c r="O107" s="178"/>
    </row>
    <row r="108" spans="2:15" s="54" customFormat="1" ht="20.25" x14ac:dyDescent="0.25">
      <c r="B108" s="47">
        <v>95</v>
      </c>
      <c r="C108" s="48"/>
      <c r="D108" s="48"/>
      <c r="E108" s="48"/>
      <c r="F108" s="48" t="s">
        <v>101</v>
      </c>
      <c r="G108" s="49"/>
      <c r="H108" s="50">
        <v>0</v>
      </c>
      <c r="I108" s="51">
        <v>0</v>
      </c>
      <c r="J108" s="52"/>
      <c r="K108" s="40">
        <f t="shared" si="2"/>
        <v>0</v>
      </c>
      <c r="L108" s="46" t="e">
        <f t="shared" si="3"/>
        <v>#DIV/0!</v>
      </c>
      <c r="N108" s="62"/>
      <c r="O108" s="62"/>
    </row>
    <row r="109" spans="2:15" s="54" customFormat="1" ht="20.25" x14ac:dyDescent="0.25">
      <c r="B109" s="47">
        <v>96</v>
      </c>
      <c r="C109" s="48"/>
      <c r="D109" s="48"/>
      <c r="E109" s="48"/>
      <c r="F109" s="48" t="s">
        <v>102</v>
      </c>
      <c r="G109" s="49"/>
      <c r="H109" s="50">
        <v>0</v>
      </c>
      <c r="I109" s="51">
        <v>0</v>
      </c>
      <c r="J109" s="68"/>
      <c r="K109" s="40">
        <f t="shared" si="2"/>
        <v>0</v>
      </c>
      <c r="L109" s="46" t="e">
        <f t="shared" si="3"/>
        <v>#DIV/0!</v>
      </c>
      <c r="N109" s="62"/>
      <c r="O109" s="62"/>
    </row>
    <row r="110" spans="2:15" s="54" customFormat="1" ht="20.25" x14ac:dyDescent="0.25">
      <c r="B110" s="47">
        <v>97</v>
      </c>
      <c r="C110" s="48"/>
      <c r="D110" s="48"/>
      <c r="E110" s="48"/>
      <c r="F110" s="48" t="s">
        <v>103</v>
      </c>
      <c r="G110" s="49"/>
      <c r="H110" s="50">
        <v>0</v>
      </c>
      <c r="I110" s="51">
        <v>0</v>
      </c>
      <c r="J110" s="68"/>
      <c r="K110" s="40">
        <f t="shared" si="2"/>
        <v>0</v>
      </c>
      <c r="L110" s="46" t="e">
        <f t="shared" si="3"/>
        <v>#DIV/0!</v>
      </c>
      <c r="N110" s="62"/>
      <c r="O110" s="62"/>
    </row>
    <row r="111" spans="2:15" s="54" customFormat="1" ht="20.25" x14ac:dyDescent="0.25">
      <c r="B111" s="47">
        <v>98</v>
      </c>
      <c r="C111" s="48"/>
      <c r="D111" s="48"/>
      <c r="E111" s="48"/>
      <c r="F111" s="48" t="s">
        <v>104</v>
      </c>
      <c r="G111" s="49"/>
      <c r="H111" s="50">
        <v>0</v>
      </c>
      <c r="I111" s="51">
        <v>0</v>
      </c>
      <c r="J111" s="68"/>
      <c r="K111" s="40">
        <f t="shared" si="2"/>
        <v>0</v>
      </c>
      <c r="L111" s="46" t="e">
        <f t="shared" si="3"/>
        <v>#DIV/0!</v>
      </c>
      <c r="N111" s="62"/>
      <c r="O111" s="62"/>
    </row>
    <row r="112" spans="2:15" s="54" customFormat="1" ht="20.25" x14ac:dyDescent="0.25">
      <c r="B112" s="47">
        <v>99</v>
      </c>
      <c r="C112" s="48"/>
      <c r="D112" s="48"/>
      <c r="E112" s="48"/>
      <c r="F112" s="48" t="s">
        <v>105</v>
      </c>
      <c r="G112" s="49"/>
      <c r="H112" s="50">
        <v>0</v>
      </c>
      <c r="I112" s="51">
        <v>0</v>
      </c>
      <c r="J112" s="68"/>
      <c r="K112" s="40">
        <f t="shared" si="2"/>
        <v>0</v>
      </c>
      <c r="L112" s="46" t="e">
        <f t="shared" si="3"/>
        <v>#DIV/0!</v>
      </c>
      <c r="N112" s="62"/>
      <c r="O112" s="62"/>
    </row>
    <row r="113" spans="2:15" s="41" customFormat="1" ht="20.25" x14ac:dyDescent="0.25">
      <c r="B113" s="29">
        <v>100</v>
      </c>
      <c r="C113" s="36"/>
      <c r="D113" s="36"/>
      <c r="E113" s="36" t="s">
        <v>106</v>
      </c>
      <c r="F113" s="36"/>
      <c r="G113" s="37"/>
      <c r="H113" s="44">
        <v>0</v>
      </c>
      <c r="I113" s="45">
        <v>0</v>
      </c>
      <c r="J113" s="40"/>
      <c r="K113" s="40">
        <f t="shared" si="2"/>
        <v>0</v>
      </c>
      <c r="L113" s="46" t="e">
        <f t="shared" si="3"/>
        <v>#DIV/0!</v>
      </c>
      <c r="N113" s="178"/>
      <c r="O113" s="178"/>
    </row>
    <row r="114" spans="2:15" s="54" customFormat="1" ht="20.25" x14ac:dyDescent="0.25">
      <c r="B114" s="47">
        <v>101</v>
      </c>
      <c r="C114" s="48"/>
      <c r="D114" s="48"/>
      <c r="E114" s="48"/>
      <c r="F114" s="48" t="s">
        <v>107</v>
      </c>
      <c r="G114" s="49"/>
      <c r="H114" s="50">
        <v>0</v>
      </c>
      <c r="I114" s="51">
        <v>0</v>
      </c>
      <c r="J114" s="52"/>
      <c r="K114" s="40">
        <f t="shared" si="2"/>
        <v>0</v>
      </c>
      <c r="L114" s="46" t="e">
        <f t="shared" si="3"/>
        <v>#DIV/0!</v>
      </c>
      <c r="N114" s="62"/>
      <c r="O114" s="62"/>
    </row>
    <row r="115" spans="2:15" s="54" customFormat="1" ht="20.25" x14ac:dyDescent="0.25">
      <c r="B115" s="47">
        <v>102</v>
      </c>
      <c r="C115" s="48"/>
      <c r="D115" s="48"/>
      <c r="E115" s="48"/>
      <c r="F115" s="48" t="s">
        <v>108</v>
      </c>
      <c r="G115" s="49"/>
      <c r="H115" s="50">
        <v>0</v>
      </c>
      <c r="I115" s="51">
        <v>0</v>
      </c>
      <c r="J115" s="52"/>
      <c r="K115" s="40">
        <f t="shared" si="2"/>
        <v>0</v>
      </c>
      <c r="L115" s="46" t="e">
        <f t="shared" si="3"/>
        <v>#DIV/0!</v>
      </c>
      <c r="N115" s="62"/>
      <c r="O115" s="62"/>
    </row>
    <row r="116" spans="2:15" s="41" customFormat="1" ht="20.25" x14ac:dyDescent="0.25">
      <c r="B116" s="29">
        <v>103</v>
      </c>
      <c r="C116" s="36"/>
      <c r="D116" s="36"/>
      <c r="E116" s="36"/>
      <c r="F116" s="65" t="s">
        <v>109</v>
      </c>
      <c r="G116" s="37"/>
      <c r="H116" s="44">
        <v>0</v>
      </c>
      <c r="I116" s="45">
        <v>0</v>
      </c>
      <c r="J116" s="40"/>
      <c r="K116" s="40">
        <f t="shared" si="2"/>
        <v>0</v>
      </c>
      <c r="L116" s="46" t="e">
        <f t="shared" si="3"/>
        <v>#DIV/0!</v>
      </c>
      <c r="N116" s="178"/>
      <c r="O116" s="178"/>
    </row>
    <row r="117" spans="2:15" s="54" customFormat="1" ht="20.25" x14ac:dyDescent="0.25">
      <c r="B117" s="47">
        <v>104</v>
      </c>
      <c r="C117" s="48"/>
      <c r="D117" s="48"/>
      <c r="E117" s="48"/>
      <c r="F117" s="48"/>
      <c r="G117" s="69"/>
      <c r="H117" s="50"/>
      <c r="I117" s="51"/>
      <c r="K117" s="40"/>
      <c r="L117" s="46"/>
      <c r="N117" s="62"/>
      <c r="O117" s="62"/>
    </row>
    <row r="118" spans="2:15" s="41" customFormat="1" ht="20.25" x14ac:dyDescent="0.25">
      <c r="B118" s="29">
        <v>105</v>
      </c>
      <c r="C118" s="36"/>
      <c r="D118" s="36" t="s">
        <v>110</v>
      </c>
      <c r="E118" s="36"/>
      <c r="F118" s="36"/>
      <c r="G118" s="37"/>
      <c r="H118" s="44"/>
      <c r="I118" s="45"/>
      <c r="K118" s="40"/>
      <c r="L118" s="46"/>
      <c r="N118" s="178"/>
      <c r="O118" s="178"/>
    </row>
    <row r="119" spans="2:15" s="41" customFormat="1" ht="20.25" x14ac:dyDescent="0.25">
      <c r="B119" s="29">
        <v>106</v>
      </c>
      <c r="C119" s="36"/>
      <c r="D119" s="36"/>
      <c r="E119" s="36" t="s">
        <v>111</v>
      </c>
      <c r="F119" s="36"/>
      <c r="G119" s="55"/>
      <c r="H119" s="44">
        <v>108850722582</v>
      </c>
      <c r="I119" s="45">
        <v>108850722582</v>
      </c>
      <c r="J119" s="40"/>
      <c r="K119" s="40">
        <f t="shared" si="2"/>
        <v>0</v>
      </c>
      <c r="L119" s="46">
        <f t="shared" si="3"/>
        <v>0</v>
      </c>
      <c r="M119" s="70"/>
      <c r="N119" s="178"/>
      <c r="O119" s="178"/>
    </row>
    <row r="120" spans="2:15" s="41" customFormat="1" ht="20.25" x14ac:dyDescent="0.25">
      <c r="B120" s="47">
        <v>107</v>
      </c>
      <c r="C120" s="36"/>
      <c r="D120" s="36"/>
      <c r="E120" s="48"/>
      <c r="F120" s="48" t="s">
        <v>111</v>
      </c>
      <c r="G120" s="49"/>
      <c r="H120" s="50">
        <v>108850722582</v>
      </c>
      <c r="I120" s="51">
        <v>108850722582</v>
      </c>
      <c r="J120" s="40"/>
      <c r="K120" s="40">
        <f t="shared" si="2"/>
        <v>0</v>
      </c>
      <c r="L120" s="46">
        <f t="shared" si="3"/>
        <v>0</v>
      </c>
      <c r="M120" s="70"/>
      <c r="N120" s="178"/>
      <c r="O120" s="178"/>
    </row>
    <row r="121" spans="2:15" s="41" customFormat="1" ht="20.25" x14ac:dyDescent="0.25">
      <c r="B121" s="29">
        <v>108</v>
      </c>
      <c r="C121" s="36"/>
      <c r="D121" s="36"/>
      <c r="E121" s="36" t="s">
        <v>112</v>
      </c>
      <c r="F121" s="36"/>
      <c r="G121" s="55"/>
      <c r="H121" s="44">
        <v>176049302102</v>
      </c>
      <c r="I121" s="45">
        <v>176300274321</v>
      </c>
      <c r="J121" s="40"/>
      <c r="K121" s="40">
        <f t="shared" si="2"/>
        <v>-250972219</v>
      </c>
      <c r="L121" s="46">
        <f t="shared" si="3"/>
        <v>-0.14235497929120661</v>
      </c>
      <c r="M121" s="70"/>
      <c r="N121" s="178"/>
      <c r="O121" s="178"/>
    </row>
    <row r="122" spans="2:15" s="41" customFormat="1" ht="20.25" x14ac:dyDescent="0.25">
      <c r="B122" s="47">
        <v>109</v>
      </c>
      <c r="C122" s="36"/>
      <c r="D122" s="36"/>
      <c r="E122" s="48"/>
      <c r="F122" s="48" t="s">
        <v>113</v>
      </c>
      <c r="G122" s="49"/>
      <c r="H122" s="50">
        <v>16331627517</v>
      </c>
      <c r="I122" s="51">
        <v>16969681260</v>
      </c>
      <c r="J122" s="40"/>
      <c r="K122" s="40">
        <f t="shared" si="2"/>
        <v>-638053743</v>
      </c>
      <c r="L122" s="46">
        <f t="shared" si="3"/>
        <v>-3.7599630377500679</v>
      </c>
      <c r="M122" s="70"/>
      <c r="N122" s="178"/>
      <c r="O122" s="178"/>
    </row>
    <row r="123" spans="2:15" s="41" customFormat="1" ht="20.25" x14ac:dyDescent="0.25">
      <c r="B123" s="47">
        <v>110</v>
      </c>
      <c r="C123" s="36"/>
      <c r="D123" s="36"/>
      <c r="E123" s="48"/>
      <c r="F123" s="48" t="s">
        <v>114</v>
      </c>
      <c r="G123" s="49"/>
      <c r="H123" s="50">
        <v>37512474616</v>
      </c>
      <c r="I123" s="51">
        <v>35254848366</v>
      </c>
      <c r="J123" s="40"/>
      <c r="K123" s="40">
        <f t="shared" si="2"/>
        <v>2257626250</v>
      </c>
      <c r="L123" s="46">
        <f t="shared" si="3"/>
        <v>6.403732691068015</v>
      </c>
      <c r="M123" s="70"/>
      <c r="N123" s="178"/>
      <c r="O123" s="178"/>
    </row>
    <row r="124" spans="2:15" s="41" customFormat="1" ht="20.25" x14ac:dyDescent="0.25">
      <c r="B124" s="47">
        <v>111</v>
      </c>
      <c r="C124" s="36"/>
      <c r="D124" s="36"/>
      <c r="E124" s="48"/>
      <c r="F124" s="48" t="s">
        <v>115</v>
      </c>
      <c r="G124" s="49"/>
      <c r="H124" s="50">
        <v>474850000</v>
      </c>
      <c r="I124" s="51">
        <v>133850000</v>
      </c>
      <c r="J124" s="40"/>
      <c r="K124" s="40">
        <f t="shared" si="2"/>
        <v>341000000</v>
      </c>
      <c r="L124" s="46">
        <f t="shared" si="3"/>
        <v>254.76279417258124</v>
      </c>
      <c r="M124" s="70"/>
      <c r="N124" s="178"/>
      <c r="O124" s="178"/>
    </row>
    <row r="125" spans="2:15" s="41" customFormat="1" ht="20.25" x14ac:dyDescent="0.25">
      <c r="B125" s="47">
        <v>112</v>
      </c>
      <c r="C125" s="36"/>
      <c r="D125" s="36"/>
      <c r="E125" s="48"/>
      <c r="F125" s="48" t="s">
        <v>116</v>
      </c>
      <c r="G125" s="49"/>
      <c r="H125" s="50">
        <v>0</v>
      </c>
      <c r="I125" s="51">
        <v>0</v>
      </c>
      <c r="J125" s="40"/>
      <c r="K125" s="40">
        <f t="shared" si="2"/>
        <v>0</v>
      </c>
      <c r="L125" s="46" t="e">
        <f t="shared" si="3"/>
        <v>#DIV/0!</v>
      </c>
      <c r="M125" s="70"/>
      <c r="N125" s="178"/>
      <c r="O125" s="178"/>
    </row>
    <row r="126" spans="2:15" s="41" customFormat="1" ht="20.25" x14ac:dyDescent="0.25">
      <c r="B126" s="47">
        <v>113</v>
      </c>
      <c r="C126" s="36"/>
      <c r="D126" s="36"/>
      <c r="E126" s="48"/>
      <c r="F126" s="48" t="s">
        <v>117</v>
      </c>
      <c r="G126" s="49"/>
      <c r="H126" s="50">
        <v>63295146178</v>
      </c>
      <c r="I126" s="51">
        <v>64538031236</v>
      </c>
      <c r="J126" s="40"/>
      <c r="K126" s="40">
        <f t="shared" si="2"/>
        <v>-1242885058</v>
      </c>
      <c r="L126" s="46">
        <f t="shared" si="3"/>
        <v>-1.9258180551790762</v>
      </c>
      <c r="M126" s="70"/>
      <c r="N126" s="178"/>
      <c r="O126" s="178"/>
    </row>
    <row r="127" spans="2:15" s="41" customFormat="1" ht="20.25" x14ac:dyDescent="0.25">
      <c r="B127" s="47">
        <v>114</v>
      </c>
      <c r="C127" s="36"/>
      <c r="D127" s="36"/>
      <c r="E127" s="48"/>
      <c r="F127" s="48" t="s">
        <v>118</v>
      </c>
      <c r="G127" s="49"/>
      <c r="H127" s="50">
        <v>6118148739</v>
      </c>
      <c r="I127" s="51">
        <v>6236405458</v>
      </c>
      <c r="J127" s="40"/>
      <c r="K127" s="40">
        <f t="shared" si="2"/>
        <v>-118256719</v>
      </c>
      <c r="L127" s="46">
        <f t="shared" si="3"/>
        <v>-1.8962320489970941</v>
      </c>
      <c r="M127" s="70"/>
      <c r="N127" s="178"/>
      <c r="O127" s="178"/>
    </row>
    <row r="128" spans="2:15" s="41" customFormat="1" ht="20.25" x14ac:dyDescent="0.25">
      <c r="B128" s="47">
        <v>115</v>
      </c>
      <c r="C128" s="36"/>
      <c r="D128" s="36"/>
      <c r="E128" s="48"/>
      <c r="F128" s="48" t="s">
        <v>119</v>
      </c>
      <c r="G128" s="49"/>
      <c r="H128" s="50">
        <v>150065000</v>
      </c>
      <c r="I128" s="51">
        <v>150065000</v>
      </c>
      <c r="J128" s="40"/>
      <c r="K128" s="40">
        <f t="shared" si="2"/>
        <v>0</v>
      </c>
      <c r="L128" s="46">
        <f t="shared" si="3"/>
        <v>0</v>
      </c>
      <c r="M128" s="70"/>
      <c r="N128" s="178"/>
      <c r="O128" s="178"/>
    </row>
    <row r="129" spans="2:15" s="41" customFormat="1" ht="20.25" x14ac:dyDescent="0.25">
      <c r="B129" s="47">
        <v>116</v>
      </c>
      <c r="C129" s="36"/>
      <c r="D129" s="36"/>
      <c r="E129" s="48"/>
      <c r="F129" s="48" t="s">
        <v>120</v>
      </c>
      <c r="G129" s="49"/>
      <c r="H129" s="50">
        <v>23750000</v>
      </c>
      <c r="I129" s="51">
        <v>91250000</v>
      </c>
      <c r="J129" s="40"/>
      <c r="K129" s="40">
        <f t="shared" si="2"/>
        <v>-67500000</v>
      </c>
      <c r="L129" s="46">
        <f t="shared" si="3"/>
        <v>-73.972602739726028</v>
      </c>
      <c r="M129" s="70"/>
      <c r="N129" s="178"/>
      <c r="O129" s="178"/>
    </row>
    <row r="130" spans="2:15" s="41" customFormat="1" ht="20.25" x14ac:dyDescent="0.25">
      <c r="B130" s="47">
        <v>117</v>
      </c>
      <c r="C130" s="36"/>
      <c r="D130" s="36"/>
      <c r="E130" s="48"/>
      <c r="F130" s="48" t="s">
        <v>121</v>
      </c>
      <c r="G130" s="49"/>
      <c r="H130" s="50">
        <v>0</v>
      </c>
      <c r="I130" s="51">
        <v>0</v>
      </c>
      <c r="J130" s="40"/>
      <c r="K130" s="40"/>
      <c r="L130" s="46"/>
      <c r="M130" s="70"/>
      <c r="N130" s="178"/>
      <c r="O130" s="178"/>
    </row>
    <row r="131" spans="2:15" s="41" customFormat="1" ht="20.25" x14ac:dyDescent="0.25">
      <c r="B131" s="47">
        <v>118</v>
      </c>
      <c r="C131" s="36"/>
      <c r="D131" s="36"/>
      <c r="E131" s="48"/>
      <c r="F131" s="48" t="s">
        <v>122</v>
      </c>
      <c r="G131" s="49"/>
      <c r="H131" s="50">
        <v>51370114852</v>
      </c>
      <c r="I131" s="51">
        <v>52153017801</v>
      </c>
      <c r="J131" s="40"/>
      <c r="K131" s="40">
        <f t="shared" si="2"/>
        <v>-782902949</v>
      </c>
      <c r="L131" s="46">
        <f t="shared" si="3"/>
        <v>-1.5011651904542105</v>
      </c>
      <c r="M131" s="70"/>
      <c r="N131" s="178"/>
      <c r="O131" s="178"/>
    </row>
    <row r="132" spans="2:15" s="41" customFormat="1" ht="20.25" x14ac:dyDescent="0.25">
      <c r="B132" s="47">
        <v>119</v>
      </c>
      <c r="C132" s="36"/>
      <c r="D132" s="36"/>
      <c r="E132" s="48"/>
      <c r="F132" s="48" t="s">
        <v>123</v>
      </c>
      <c r="G132" s="49"/>
      <c r="H132" s="50">
        <v>0</v>
      </c>
      <c r="I132" s="51">
        <v>0</v>
      </c>
      <c r="J132" s="40"/>
      <c r="K132" s="40">
        <f t="shared" si="2"/>
        <v>0</v>
      </c>
      <c r="L132" s="46" t="e">
        <f t="shared" si="3"/>
        <v>#DIV/0!</v>
      </c>
      <c r="M132" s="70"/>
      <c r="N132" s="178"/>
      <c r="O132" s="178"/>
    </row>
    <row r="133" spans="2:15" s="41" customFormat="1" ht="20.25" x14ac:dyDescent="0.25">
      <c r="B133" s="47">
        <v>120</v>
      </c>
      <c r="C133" s="36"/>
      <c r="D133" s="36"/>
      <c r="E133" s="48"/>
      <c r="F133" s="48" t="s">
        <v>124</v>
      </c>
      <c r="G133" s="49"/>
      <c r="H133" s="50">
        <v>0</v>
      </c>
      <c r="I133" s="51">
        <v>0</v>
      </c>
      <c r="J133" s="40"/>
      <c r="K133" s="40">
        <f t="shared" si="2"/>
        <v>0</v>
      </c>
      <c r="L133" s="46" t="e">
        <f t="shared" si="3"/>
        <v>#DIV/0!</v>
      </c>
      <c r="M133" s="70"/>
      <c r="N133" s="178"/>
      <c r="O133" s="178"/>
    </row>
    <row r="134" spans="2:15" s="41" customFormat="1" ht="20.25" x14ac:dyDescent="0.25">
      <c r="B134" s="47">
        <v>121</v>
      </c>
      <c r="C134" s="36"/>
      <c r="D134" s="36"/>
      <c r="E134" s="48"/>
      <c r="F134" s="48" t="s">
        <v>125</v>
      </c>
      <c r="G134" s="49"/>
      <c r="H134" s="50">
        <v>78373200</v>
      </c>
      <c r="I134" s="51">
        <v>78373200</v>
      </c>
      <c r="J134" s="40"/>
      <c r="K134" s="40">
        <f t="shared" si="2"/>
        <v>0</v>
      </c>
      <c r="L134" s="46">
        <f t="shared" si="3"/>
        <v>0</v>
      </c>
      <c r="M134" s="70"/>
      <c r="N134" s="178"/>
      <c r="O134" s="178"/>
    </row>
    <row r="135" spans="2:15" s="41" customFormat="1" ht="20.25" x14ac:dyDescent="0.25">
      <c r="B135" s="47">
        <v>122</v>
      </c>
      <c r="C135" s="36"/>
      <c r="D135" s="36"/>
      <c r="E135" s="48"/>
      <c r="F135" s="48" t="s">
        <v>126</v>
      </c>
      <c r="G135" s="49"/>
      <c r="H135" s="50">
        <v>0</v>
      </c>
      <c r="I135" s="51">
        <v>0</v>
      </c>
      <c r="J135" s="40"/>
      <c r="K135" s="40">
        <f t="shared" si="2"/>
        <v>0</v>
      </c>
      <c r="L135" s="46" t="e">
        <f t="shared" si="3"/>
        <v>#DIV/0!</v>
      </c>
      <c r="M135" s="70"/>
      <c r="N135" s="178"/>
      <c r="O135" s="178"/>
    </row>
    <row r="136" spans="2:15" s="41" customFormat="1" ht="20.25" x14ac:dyDescent="0.25">
      <c r="B136" s="47">
        <v>123</v>
      </c>
      <c r="C136" s="36"/>
      <c r="D136" s="36"/>
      <c r="E136" s="48"/>
      <c r="F136" s="48" t="s">
        <v>127</v>
      </c>
      <c r="G136" s="49"/>
      <c r="H136" s="50">
        <v>0</v>
      </c>
      <c r="I136" s="51">
        <v>0</v>
      </c>
      <c r="J136" s="40"/>
      <c r="K136" s="40">
        <f t="shared" si="2"/>
        <v>0</v>
      </c>
      <c r="L136" s="46" t="e">
        <f t="shared" si="3"/>
        <v>#DIV/0!</v>
      </c>
      <c r="M136" s="70"/>
      <c r="N136" s="178"/>
      <c r="O136" s="178"/>
    </row>
    <row r="137" spans="2:15" s="41" customFormat="1" ht="20.25" x14ac:dyDescent="0.25">
      <c r="B137" s="47">
        <v>124</v>
      </c>
      <c r="C137" s="36"/>
      <c r="D137" s="36"/>
      <c r="E137" s="48"/>
      <c r="F137" s="48" t="s">
        <v>128</v>
      </c>
      <c r="G137" s="49"/>
      <c r="H137" s="50">
        <v>0</v>
      </c>
      <c r="I137" s="51">
        <v>0</v>
      </c>
      <c r="J137" s="40"/>
      <c r="K137" s="40">
        <f t="shared" si="2"/>
        <v>0</v>
      </c>
      <c r="L137" s="46" t="e">
        <f t="shared" si="3"/>
        <v>#DIV/0!</v>
      </c>
      <c r="M137" s="70"/>
      <c r="N137" s="178"/>
      <c r="O137" s="178"/>
    </row>
    <row r="138" spans="2:15" s="41" customFormat="1" ht="20.25" x14ac:dyDescent="0.25">
      <c r="B138" s="47">
        <v>125</v>
      </c>
      <c r="C138" s="36"/>
      <c r="D138" s="36"/>
      <c r="E138" s="48"/>
      <c r="F138" s="48" t="s">
        <v>129</v>
      </c>
      <c r="G138" s="49"/>
      <c r="H138" s="50">
        <v>0</v>
      </c>
      <c r="I138" s="51">
        <v>0</v>
      </c>
      <c r="J138" s="40"/>
      <c r="K138" s="40">
        <f t="shared" si="2"/>
        <v>0</v>
      </c>
      <c r="L138" s="46" t="e">
        <f t="shared" si="3"/>
        <v>#DIV/0!</v>
      </c>
      <c r="M138" s="70"/>
      <c r="N138" s="178"/>
      <c r="O138" s="178"/>
    </row>
    <row r="139" spans="2:15" s="41" customFormat="1" ht="20.25" x14ac:dyDescent="0.25">
      <c r="B139" s="47">
        <v>126</v>
      </c>
      <c r="C139" s="36"/>
      <c r="D139" s="36"/>
      <c r="E139" s="48"/>
      <c r="F139" s="48" t="s">
        <v>130</v>
      </c>
      <c r="G139" s="49"/>
      <c r="H139" s="50">
        <v>0</v>
      </c>
      <c r="I139" s="51">
        <v>0</v>
      </c>
      <c r="J139" s="40"/>
      <c r="K139" s="40">
        <f t="shared" si="2"/>
        <v>0</v>
      </c>
      <c r="L139" s="46" t="e">
        <f t="shared" si="3"/>
        <v>#DIV/0!</v>
      </c>
      <c r="M139" s="70"/>
      <c r="N139" s="178"/>
      <c r="O139" s="178"/>
    </row>
    <row r="140" spans="2:15" s="41" customFormat="1" ht="20.25" x14ac:dyDescent="0.25">
      <c r="B140" s="47">
        <v>127</v>
      </c>
      <c r="C140" s="36"/>
      <c r="D140" s="36"/>
      <c r="E140" s="48"/>
      <c r="F140" s="48" t="s">
        <v>131</v>
      </c>
      <c r="G140" s="49"/>
      <c r="H140" s="50">
        <v>694752000</v>
      </c>
      <c r="I140" s="51">
        <v>694752000</v>
      </c>
      <c r="J140" s="40"/>
      <c r="K140" s="40">
        <f t="shared" si="2"/>
        <v>0</v>
      </c>
      <c r="L140" s="46">
        <f t="shared" si="3"/>
        <v>0</v>
      </c>
      <c r="M140" s="70"/>
      <c r="N140" s="178"/>
      <c r="O140" s="178"/>
    </row>
    <row r="141" spans="2:15" s="41" customFormat="1" ht="20.25" x14ac:dyDescent="0.25">
      <c r="B141" s="29">
        <v>128</v>
      </c>
      <c r="C141" s="36"/>
      <c r="D141" s="36"/>
      <c r="E141" s="36" t="s">
        <v>132</v>
      </c>
      <c r="F141" s="36"/>
      <c r="G141" s="55"/>
      <c r="H141" s="44">
        <v>241207363577</v>
      </c>
      <c r="I141" s="45">
        <v>241956926577</v>
      </c>
      <c r="J141" s="40"/>
      <c r="K141" s="40">
        <f t="shared" si="2"/>
        <v>-749563000</v>
      </c>
      <c r="L141" s="46">
        <f t="shared" si="3"/>
        <v>-0.30979191652174515</v>
      </c>
      <c r="M141" s="70"/>
      <c r="N141" s="178"/>
      <c r="O141" s="178"/>
    </row>
    <row r="142" spans="2:15" s="41" customFormat="1" ht="20.25" x14ac:dyDescent="0.25">
      <c r="B142" s="47">
        <v>129</v>
      </c>
      <c r="C142" s="36"/>
      <c r="D142" s="36"/>
      <c r="E142" s="48"/>
      <c r="F142" s="48" t="s">
        <v>133</v>
      </c>
      <c r="G142" s="49"/>
      <c r="H142" s="50">
        <v>239380152167</v>
      </c>
      <c r="I142" s="51">
        <v>240129715167</v>
      </c>
      <c r="J142" s="40"/>
      <c r="K142" s="40">
        <f t="shared" si="2"/>
        <v>-749563000</v>
      </c>
      <c r="L142" s="46">
        <f t="shared" si="3"/>
        <v>-0.31214920630656262</v>
      </c>
      <c r="M142" s="70"/>
      <c r="N142" s="178"/>
      <c r="O142" s="178"/>
    </row>
    <row r="143" spans="2:15" s="41" customFormat="1" ht="20.25" x14ac:dyDescent="0.25">
      <c r="B143" s="47">
        <v>130</v>
      </c>
      <c r="C143" s="36"/>
      <c r="D143" s="36"/>
      <c r="E143" s="48"/>
      <c r="F143" s="48" t="s">
        <v>134</v>
      </c>
      <c r="G143" s="49"/>
      <c r="H143" s="50">
        <v>0</v>
      </c>
      <c r="I143" s="51">
        <v>0</v>
      </c>
      <c r="J143" s="40"/>
      <c r="K143" s="40">
        <f t="shared" si="2"/>
        <v>0</v>
      </c>
      <c r="L143" s="46" t="e">
        <f t="shared" si="3"/>
        <v>#DIV/0!</v>
      </c>
      <c r="M143" s="70"/>
      <c r="N143" s="178"/>
      <c r="O143" s="178"/>
    </row>
    <row r="144" spans="2:15" s="41" customFormat="1" ht="20.25" x14ac:dyDescent="0.25">
      <c r="B144" s="47">
        <v>131</v>
      </c>
      <c r="C144" s="36"/>
      <c r="D144" s="36"/>
      <c r="E144" s="48"/>
      <c r="F144" s="48" t="s">
        <v>135</v>
      </c>
      <c r="G144" s="49"/>
      <c r="H144" s="50">
        <v>34500000</v>
      </c>
      <c r="I144" s="51">
        <v>34500000</v>
      </c>
      <c r="J144" s="40"/>
      <c r="K144" s="40">
        <f t="shared" si="2"/>
        <v>0</v>
      </c>
      <c r="L144" s="46">
        <f t="shared" si="3"/>
        <v>0</v>
      </c>
      <c r="M144" s="70"/>
      <c r="N144" s="178"/>
      <c r="O144" s="178"/>
    </row>
    <row r="145" spans="2:15" s="41" customFormat="1" ht="20.25" x14ac:dyDescent="0.25">
      <c r="B145" s="47">
        <v>132</v>
      </c>
      <c r="C145" s="36"/>
      <c r="D145" s="36"/>
      <c r="E145" s="48"/>
      <c r="F145" s="48" t="s">
        <v>136</v>
      </c>
      <c r="G145" s="49"/>
      <c r="H145" s="50">
        <v>1792711410</v>
      </c>
      <c r="I145" s="51">
        <v>1792711410</v>
      </c>
      <c r="J145" s="40"/>
      <c r="K145" s="40">
        <f t="shared" si="2"/>
        <v>0</v>
      </c>
      <c r="L145" s="46">
        <f t="shared" si="3"/>
        <v>0</v>
      </c>
      <c r="M145" s="70"/>
      <c r="N145" s="178"/>
      <c r="O145" s="178"/>
    </row>
    <row r="146" spans="2:15" s="41" customFormat="1" ht="20.25" x14ac:dyDescent="0.25">
      <c r="B146" s="29">
        <v>133</v>
      </c>
      <c r="C146" s="36"/>
      <c r="D146" s="36"/>
      <c r="E146" s="36" t="s">
        <v>137</v>
      </c>
      <c r="F146" s="36"/>
      <c r="G146" s="55"/>
      <c r="H146" s="44">
        <v>417436880</v>
      </c>
      <c r="I146" s="45">
        <v>417436880</v>
      </c>
      <c r="J146" s="40"/>
      <c r="K146" s="40">
        <f t="shared" si="2"/>
        <v>0</v>
      </c>
      <c r="L146" s="46">
        <f t="shared" si="3"/>
        <v>0</v>
      </c>
      <c r="M146" s="70"/>
      <c r="N146" s="178"/>
      <c r="O146" s="178"/>
    </row>
    <row r="147" spans="2:15" s="41" customFormat="1" ht="20.25" x14ac:dyDescent="0.25">
      <c r="B147" s="47">
        <v>134</v>
      </c>
      <c r="C147" s="36"/>
      <c r="D147" s="36"/>
      <c r="E147" s="48"/>
      <c r="F147" s="48" t="s">
        <v>138</v>
      </c>
      <c r="G147" s="49"/>
      <c r="H147" s="50">
        <v>0</v>
      </c>
      <c r="I147" s="51">
        <v>0</v>
      </c>
      <c r="J147" s="40"/>
      <c r="K147" s="40">
        <f t="shared" si="2"/>
        <v>0</v>
      </c>
      <c r="L147" s="46" t="e">
        <f t="shared" si="3"/>
        <v>#DIV/0!</v>
      </c>
      <c r="M147" s="70"/>
      <c r="N147" s="178"/>
      <c r="O147" s="178"/>
    </row>
    <row r="148" spans="2:15" s="41" customFormat="1" ht="20.25" x14ac:dyDescent="0.25">
      <c r="B148" s="47">
        <v>135</v>
      </c>
      <c r="C148" s="36"/>
      <c r="D148" s="36"/>
      <c r="E148" s="48"/>
      <c r="F148" s="48" t="s">
        <v>139</v>
      </c>
      <c r="G148" s="49"/>
      <c r="H148" s="50">
        <v>184250000</v>
      </c>
      <c r="I148" s="51">
        <v>184250000</v>
      </c>
      <c r="J148" s="40"/>
      <c r="K148" s="40">
        <f t="shared" si="2"/>
        <v>0</v>
      </c>
      <c r="L148" s="46">
        <f t="shared" si="3"/>
        <v>0</v>
      </c>
      <c r="M148" s="70"/>
      <c r="N148" s="178"/>
      <c r="O148" s="178"/>
    </row>
    <row r="149" spans="2:15" s="41" customFormat="1" ht="20.25" x14ac:dyDescent="0.25">
      <c r="B149" s="47">
        <v>136</v>
      </c>
      <c r="C149" s="36"/>
      <c r="D149" s="36"/>
      <c r="E149" s="48"/>
      <c r="F149" s="48" t="s">
        <v>140</v>
      </c>
      <c r="G149" s="49"/>
      <c r="H149" s="50">
        <v>233186880</v>
      </c>
      <c r="I149" s="51">
        <v>233186880</v>
      </c>
      <c r="J149" s="40"/>
      <c r="K149" s="40">
        <f t="shared" si="2"/>
        <v>0</v>
      </c>
      <c r="L149" s="46">
        <f t="shared" si="3"/>
        <v>0</v>
      </c>
      <c r="M149" s="70"/>
      <c r="N149" s="178"/>
      <c r="O149" s="178"/>
    </row>
    <row r="150" spans="2:15" s="41" customFormat="1" ht="20.25" x14ac:dyDescent="0.25">
      <c r="B150" s="47">
        <v>137</v>
      </c>
      <c r="C150" s="36"/>
      <c r="D150" s="36"/>
      <c r="E150" s="48"/>
      <c r="F150" s="48" t="s">
        <v>141</v>
      </c>
      <c r="G150" s="49"/>
      <c r="H150" s="50">
        <v>0</v>
      </c>
      <c r="I150" s="51">
        <v>0</v>
      </c>
      <c r="J150" s="40"/>
      <c r="K150" s="40">
        <f t="shared" si="2"/>
        <v>0</v>
      </c>
      <c r="L150" s="46" t="e">
        <f t="shared" si="3"/>
        <v>#DIV/0!</v>
      </c>
      <c r="M150" s="70"/>
      <c r="N150" s="178"/>
      <c r="O150" s="178"/>
    </row>
    <row r="151" spans="2:15" s="41" customFormat="1" ht="20.25" x14ac:dyDescent="0.25">
      <c r="B151" s="29">
        <v>138</v>
      </c>
      <c r="C151" s="36"/>
      <c r="D151" s="36"/>
      <c r="E151" s="36" t="s">
        <v>142</v>
      </c>
      <c r="F151" s="36"/>
      <c r="G151" s="55"/>
      <c r="H151" s="44">
        <v>472274000</v>
      </c>
      <c r="I151" s="45">
        <v>474379000</v>
      </c>
      <c r="J151" s="40"/>
      <c r="K151" s="40">
        <f t="shared" si="2"/>
        <v>-2105000</v>
      </c>
      <c r="L151" s="46">
        <f t="shared" si="3"/>
        <v>-0.44373802381639993</v>
      </c>
      <c r="M151" s="70"/>
      <c r="N151" s="178"/>
      <c r="O151" s="178"/>
    </row>
    <row r="152" spans="2:15" s="41" customFormat="1" ht="20.25" x14ac:dyDescent="0.25">
      <c r="B152" s="47">
        <v>139</v>
      </c>
      <c r="C152" s="36"/>
      <c r="D152" s="36"/>
      <c r="E152" s="48"/>
      <c r="F152" s="48" t="s">
        <v>143</v>
      </c>
      <c r="G152" s="49"/>
      <c r="H152" s="50">
        <v>53884000</v>
      </c>
      <c r="I152" s="51">
        <v>55984000</v>
      </c>
      <c r="J152" s="40"/>
      <c r="K152" s="40">
        <f t="shared" si="2"/>
        <v>-2100000</v>
      </c>
      <c r="L152" s="46">
        <f t="shared" si="3"/>
        <v>-3.751071734781366</v>
      </c>
      <c r="M152" s="70"/>
      <c r="N152" s="178"/>
      <c r="O152" s="178"/>
    </row>
    <row r="153" spans="2:15" s="41" customFormat="1" ht="20.25" x14ac:dyDescent="0.25">
      <c r="B153" s="47">
        <v>140</v>
      </c>
      <c r="C153" s="36"/>
      <c r="D153" s="36"/>
      <c r="E153" s="48"/>
      <c r="F153" s="48" t="s">
        <v>144</v>
      </c>
      <c r="G153" s="49"/>
      <c r="H153" s="50">
        <v>418390000</v>
      </c>
      <c r="I153" s="51">
        <v>418395000</v>
      </c>
      <c r="J153" s="40"/>
      <c r="K153" s="40">
        <f t="shared" si="2"/>
        <v>-5000</v>
      </c>
      <c r="L153" s="46">
        <f t="shared" si="3"/>
        <v>-1.1950429617944764E-3</v>
      </c>
      <c r="M153" s="70"/>
      <c r="N153" s="178"/>
      <c r="O153" s="178"/>
    </row>
    <row r="154" spans="2:15" s="41" customFormat="1" ht="20.25" x14ac:dyDescent="0.25">
      <c r="B154" s="47">
        <v>141</v>
      </c>
      <c r="C154" s="36"/>
      <c r="D154" s="36"/>
      <c r="E154" s="48"/>
      <c r="F154" s="48" t="s">
        <v>145</v>
      </c>
      <c r="G154" s="49"/>
      <c r="H154" s="50">
        <v>0</v>
      </c>
      <c r="I154" s="51">
        <v>0</v>
      </c>
      <c r="J154" s="40"/>
      <c r="K154" s="40">
        <f t="shared" si="2"/>
        <v>0</v>
      </c>
      <c r="L154" s="46" t="e">
        <f t="shared" si="3"/>
        <v>#DIV/0!</v>
      </c>
      <c r="M154" s="70"/>
      <c r="N154" s="178"/>
      <c r="O154" s="178"/>
    </row>
    <row r="155" spans="2:15" s="41" customFormat="1" ht="20.25" x14ac:dyDescent="0.25">
      <c r="B155" s="47">
        <v>142</v>
      </c>
      <c r="C155" s="36"/>
      <c r="D155" s="36"/>
      <c r="E155" s="48"/>
      <c r="F155" s="48" t="s">
        <v>146</v>
      </c>
      <c r="G155" s="49"/>
      <c r="H155" s="50">
        <v>0</v>
      </c>
      <c r="I155" s="51">
        <v>0</v>
      </c>
      <c r="J155" s="40"/>
      <c r="K155" s="40">
        <f t="shared" si="2"/>
        <v>0</v>
      </c>
      <c r="L155" s="46" t="e">
        <f t="shared" si="3"/>
        <v>#DIV/0!</v>
      </c>
      <c r="M155" s="70"/>
      <c r="N155" s="178"/>
      <c r="O155" s="178"/>
    </row>
    <row r="156" spans="2:15" s="41" customFormat="1" ht="20.25" x14ac:dyDescent="0.25">
      <c r="B156" s="47">
        <v>143</v>
      </c>
      <c r="C156" s="36"/>
      <c r="D156" s="36"/>
      <c r="E156" s="48"/>
      <c r="F156" s="48" t="s">
        <v>147</v>
      </c>
      <c r="G156" s="49"/>
      <c r="H156" s="50">
        <v>0</v>
      </c>
      <c r="I156" s="51">
        <v>0</v>
      </c>
      <c r="J156" s="40"/>
      <c r="K156" s="40">
        <f t="shared" ref="K156:K237" si="4">+H156-I156</f>
        <v>0</v>
      </c>
      <c r="L156" s="46" t="e">
        <f t="shared" ref="L156:L240" si="5">+K156/I156*100</f>
        <v>#DIV/0!</v>
      </c>
      <c r="M156" s="70"/>
      <c r="N156" s="178"/>
      <c r="O156" s="178"/>
    </row>
    <row r="157" spans="2:15" s="41" customFormat="1" ht="20.25" x14ac:dyDescent="0.25">
      <c r="B157" s="47">
        <v>144</v>
      </c>
      <c r="C157" s="36"/>
      <c r="D157" s="36"/>
      <c r="E157" s="48"/>
      <c r="F157" s="48" t="s">
        <v>148</v>
      </c>
      <c r="G157" s="49"/>
      <c r="H157" s="50">
        <v>0</v>
      </c>
      <c r="I157" s="51">
        <v>0</v>
      </c>
      <c r="J157" s="40"/>
      <c r="K157" s="40">
        <f t="shared" si="4"/>
        <v>0</v>
      </c>
      <c r="L157" s="46" t="e">
        <f t="shared" si="5"/>
        <v>#DIV/0!</v>
      </c>
      <c r="M157" s="70"/>
      <c r="N157" s="178"/>
      <c r="O157" s="178"/>
    </row>
    <row r="158" spans="2:15" s="41" customFormat="1" ht="20.25" x14ac:dyDescent="0.25">
      <c r="B158" s="47">
        <v>145</v>
      </c>
      <c r="C158" s="36"/>
      <c r="D158" s="36"/>
      <c r="E158" s="48"/>
      <c r="F158" s="48" t="s">
        <v>149</v>
      </c>
      <c r="G158" s="49"/>
      <c r="H158" s="50">
        <v>0</v>
      </c>
      <c r="I158" s="51">
        <v>0</v>
      </c>
      <c r="J158" s="40"/>
      <c r="K158" s="40">
        <f t="shared" si="4"/>
        <v>0</v>
      </c>
      <c r="L158" s="46" t="e">
        <f t="shared" si="5"/>
        <v>#DIV/0!</v>
      </c>
      <c r="M158" s="70"/>
      <c r="N158" s="178"/>
      <c r="O158" s="178"/>
    </row>
    <row r="159" spans="2:15" s="41" customFormat="1" ht="20.25" x14ac:dyDescent="0.25">
      <c r="B159" s="29">
        <v>146</v>
      </c>
      <c r="C159" s="36"/>
      <c r="D159" s="36"/>
      <c r="E159" s="36" t="s">
        <v>150</v>
      </c>
      <c r="F159" s="36"/>
      <c r="G159" s="55"/>
      <c r="H159" s="44">
        <v>0</v>
      </c>
      <c r="I159" s="45">
        <v>0</v>
      </c>
      <c r="J159" s="40"/>
      <c r="K159" s="40">
        <f t="shared" si="4"/>
        <v>0</v>
      </c>
      <c r="L159" s="46" t="e">
        <f t="shared" si="5"/>
        <v>#DIV/0!</v>
      </c>
      <c r="M159" s="70"/>
      <c r="N159" s="178"/>
      <c r="O159" s="178"/>
    </row>
    <row r="160" spans="2:15" s="41" customFormat="1" ht="20.25" x14ac:dyDescent="0.25">
      <c r="B160" s="47">
        <v>147</v>
      </c>
      <c r="C160" s="36"/>
      <c r="D160" s="36"/>
      <c r="E160" s="48"/>
      <c r="F160" s="48" t="s">
        <v>150</v>
      </c>
      <c r="G160" s="49"/>
      <c r="H160" s="50">
        <v>0</v>
      </c>
      <c r="I160" s="51">
        <v>0</v>
      </c>
      <c r="J160" s="40"/>
      <c r="K160" s="40">
        <f t="shared" si="4"/>
        <v>0</v>
      </c>
      <c r="L160" s="46" t="e">
        <f t="shared" si="5"/>
        <v>#DIV/0!</v>
      </c>
      <c r="M160" s="70"/>
      <c r="N160" s="178"/>
      <c r="O160" s="178"/>
    </row>
    <row r="161" spans="2:15" s="41" customFormat="1" ht="20.25" x14ac:dyDescent="0.25">
      <c r="B161" s="29">
        <v>148</v>
      </c>
      <c r="C161" s="36"/>
      <c r="D161" s="36"/>
      <c r="E161" s="36" t="s">
        <v>151</v>
      </c>
      <c r="F161" s="36"/>
      <c r="G161" s="55"/>
      <c r="H161" s="44">
        <v>-223372269963.76996</v>
      </c>
      <c r="I161" s="45">
        <v>-209918482749.08997</v>
      </c>
      <c r="J161" s="60"/>
      <c r="K161" s="40">
        <f t="shared" si="4"/>
        <v>-13453787214.679993</v>
      </c>
      <c r="L161" s="46">
        <f t="shared" si="5"/>
        <v>6.4090531898331946</v>
      </c>
      <c r="M161" s="70"/>
      <c r="N161" s="178"/>
      <c r="O161" s="178"/>
    </row>
    <row r="162" spans="2:15" s="41" customFormat="1" ht="20.25" x14ac:dyDescent="0.25">
      <c r="B162" s="47">
        <v>149</v>
      </c>
      <c r="C162" s="71"/>
      <c r="D162" s="71"/>
      <c r="E162" s="72"/>
      <c r="F162" s="72" t="s">
        <v>152</v>
      </c>
      <c r="G162" s="73"/>
      <c r="H162" s="74">
        <v>-155357482714.07999</v>
      </c>
      <c r="I162" s="75">
        <v>-146248911644.72998</v>
      </c>
      <c r="J162" s="60"/>
      <c r="K162" s="40">
        <f t="shared" si="4"/>
        <v>-9108571069.3500061</v>
      </c>
      <c r="L162" s="46">
        <f t="shared" si="5"/>
        <v>6.2281291306130759</v>
      </c>
      <c r="M162" s="70"/>
      <c r="N162" s="178"/>
      <c r="O162" s="178"/>
    </row>
    <row r="163" spans="2:15" s="41" customFormat="1" ht="20.25" x14ac:dyDescent="0.25">
      <c r="B163" s="47">
        <v>150</v>
      </c>
      <c r="C163" s="71"/>
      <c r="D163" s="71"/>
      <c r="E163" s="72"/>
      <c r="F163" s="72" t="s">
        <v>153</v>
      </c>
      <c r="G163" s="73"/>
      <c r="H163" s="74">
        <v>-67915854823.159981</v>
      </c>
      <c r="I163" s="75">
        <v>-63583178684.360001</v>
      </c>
      <c r="J163" s="60"/>
      <c r="K163" s="40">
        <f t="shared" si="4"/>
        <v>-4332676138.7999802</v>
      </c>
      <c r="L163" s="46">
        <f t="shared" si="5"/>
        <v>6.8141861235159018</v>
      </c>
      <c r="M163" s="70"/>
      <c r="N163" s="178"/>
      <c r="O163" s="178"/>
    </row>
    <row r="164" spans="2:15" s="41" customFormat="1" ht="20.25" x14ac:dyDescent="0.25">
      <c r="B164" s="47">
        <v>151</v>
      </c>
      <c r="C164" s="71"/>
      <c r="D164" s="71"/>
      <c r="E164" s="72"/>
      <c r="F164" s="72" t="s">
        <v>154</v>
      </c>
      <c r="G164" s="73"/>
      <c r="H164" s="74">
        <v>-98932426.530000001</v>
      </c>
      <c r="I164" s="75">
        <v>-86392420</v>
      </c>
      <c r="J164" s="60"/>
      <c r="K164" s="40">
        <f t="shared" si="4"/>
        <v>-12540006.530000001</v>
      </c>
      <c r="L164" s="46">
        <f t="shared" si="5"/>
        <v>14.515169884117149</v>
      </c>
      <c r="M164" s="70"/>
      <c r="N164" s="178"/>
      <c r="O164" s="178"/>
    </row>
    <row r="165" spans="2:15" s="41" customFormat="1" ht="20.25" x14ac:dyDescent="0.25">
      <c r="B165" s="47">
        <v>152</v>
      </c>
      <c r="C165" s="71"/>
      <c r="D165" s="71"/>
      <c r="E165" s="72"/>
      <c r="F165" s="72" t="s">
        <v>155</v>
      </c>
      <c r="G165" s="73"/>
      <c r="H165" s="74">
        <v>0</v>
      </c>
      <c r="I165" s="75">
        <v>0</v>
      </c>
      <c r="J165" s="60"/>
      <c r="K165" s="40">
        <f t="shared" si="4"/>
        <v>0</v>
      </c>
      <c r="L165" s="46" t="e">
        <f t="shared" si="5"/>
        <v>#DIV/0!</v>
      </c>
      <c r="M165" s="70"/>
      <c r="N165" s="178"/>
      <c r="O165" s="178"/>
    </row>
    <row r="166" spans="2:15" s="34" customFormat="1" ht="20.25" x14ac:dyDescent="0.25">
      <c r="B166" s="29">
        <v>153</v>
      </c>
      <c r="C166" s="76"/>
      <c r="D166" s="76"/>
      <c r="E166" s="76"/>
      <c r="F166" s="76" t="s">
        <v>156</v>
      </c>
      <c r="G166" s="77"/>
      <c r="H166" s="78">
        <v>303624829177.23004</v>
      </c>
      <c r="I166" s="45">
        <v>318081256610.91003</v>
      </c>
      <c r="J166" s="79"/>
      <c r="K166" s="40">
        <f t="shared" si="4"/>
        <v>-14456427433.679993</v>
      </c>
      <c r="L166" s="46">
        <f t="shared" si="5"/>
        <v>-4.5448850358899593</v>
      </c>
      <c r="N166" s="177"/>
      <c r="O166" s="177"/>
    </row>
    <row r="167" spans="2:15" s="41" customFormat="1" ht="20.25" x14ac:dyDescent="0.25">
      <c r="B167" s="47">
        <v>154</v>
      </c>
      <c r="C167" s="71"/>
      <c r="D167" s="71"/>
      <c r="E167" s="71"/>
      <c r="F167" s="80"/>
      <c r="G167" s="77"/>
      <c r="H167" s="78"/>
      <c r="I167" s="81"/>
      <c r="J167" s="40"/>
      <c r="K167" s="40"/>
      <c r="L167" s="46"/>
      <c r="N167" s="178"/>
      <c r="O167" s="178"/>
    </row>
    <row r="168" spans="2:15" s="41" customFormat="1" ht="20.25" x14ac:dyDescent="0.25">
      <c r="B168" s="29">
        <v>155</v>
      </c>
      <c r="C168" s="36"/>
      <c r="D168" s="36" t="s">
        <v>157</v>
      </c>
      <c r="E168" s="36"/>
      <c r="F168" s="36"/>
      <c r="G168" s="37"/>
      <c r="H168" s="44"/>
      <c r="I168" s="45"/>
      <c r="K168" s="40"/>
      <c r="L168" s="46"/>
      <c r="N168" s="178"/>
      <c r="O168" s="178"/>
    </row>
    <row r="169" spans="2:15" s="41" customFormat="1" ht="20.25" x14ac:dyDescent="0.25">
      <c r="B169" s="29">
        <v>156</v>
      </c>
      <c r="C169" s="36"/>
      <c r="D169" s="36"/>
      <c r="E169" s="36" t="s">
        <v>158</v>
      </c>
      <c r="F169" s="36"/>
      <c r="G169" s="55"/>
      <c r="H169" s="44">
        <v>0</v>
      </c>
      <c r="I169" s="45">
        <v>0</v>
      </c>
      <c r="J169" s="82"/>
      <c r="K169" s="40">
        <f t="shared" ref="K169:K170" si="6">+H169-I169</f>
        <v>0</v>
      </c>
      <c r="L169" s="46" t="e">
        <f t="shared" ref="L169:L170" si="7">+K169/I169*100</f>
        <v>#DIV/0!</v>
      </c>
      <c r="N169" s="178"/>
      <c r="O169" s="178"/>
    </row>
    <row r="170" spans="2:15" s="54" customFormat="1" ht="20.25" x14ac:dyDescent="0.25">
      <c r="B170" s="47">
        <v>157</v>
      </c>
      <c r="C170" s="48"/>
      <c r="D170" s="48"/>
      <c r="E170" s="48"/>
      <c r="F170" s="48" t="s">
        <v>158</v>
      </c>
      <c r="G170" s="49"/>
      <c r="H170" s="50">
        <v>0</v>
      </c>
      <c r="I170" s="51">
        <v>0</v>
      </c>
      <c r="J170" s="83"/>
      <c r="K170" s="40">
        <f t="shared" si="6"/>
        <v>0</v>
      </c>
      <c r="L170" s="46" t="e">
        <f t="shared" si="7"/>
        <v>#DIV/0!</v>
      </c>
      <c r="N170" s="62"/>
      <c r="O170" s="62"/>
    </row>
    <row r="171" spans="2:15" s="41" customFormat="1" ht="20.25" x14ac:dyDescent="0.25">
      <c r="B171" s="29">
        <v>158</v>
      </c>
      <c r="C171" s="36"/>
      <c r="D171" s="36"/>
      <c r="E171" s="36"/>
      <c r="F171" s="65" t="s">
        <v>159</v>
      </c>
      <c r="G171" s="37"/>
      <c r="H171" s="44">
        <v>0</v>
      </c>
      <c r="I171" s="45">
        <v>0</v>
      </c>
      <c r="J171" s="82"/>
      <c r="K171" s="40">
        <f t="shared" si="4"/>
        <v>0</v>
      </c>
      <c r="L171" s="46" t="e">
        <f t="shared" si="5"/>
        <v>#DIV/0!</v>
      </c>
      <c r="N171" s="178"/>
      <c r="O171" s="178"/>
    </row>
    <row r="172" spans="2:15" s="54" customFormat="1" ht="20.25" x14ac:dyDescent="0.25">
      <c r="B172" s="47">
        <v>159</v>
      </c>
      <c r="C172" s="84"/>
      <c r="D172" s="84"/>
      <c r="E172" s="84"/>
      <c r="F172" s="84"/>
      <c r="G172" s="85"/>
      <c r="H172" s="86"/>
      <c r="I172" s="51"/>
      <c r="K172" s="40"/>
      <c r="L172" s="46"/>
      <c r="N172" s="62"/>
      <c r="O172" s="62"/>
    </row>
    <row r="173" spans="2:15" s="41" customFormat="1" ht="20.25" x14ac:dyDescent="0.25">
      <c r="B173" s="29">
        <v>160</v>
      </c>
      <c r="C173" s="87"/>
      <c r="D173" s="87" t="s">
        <v>160</v>
      </c>
      <c r="E173" s="87"/>
      <c r="F173" s="87"/>
      <c r="G173" s="31"/>
      <c r="H173" s="88"/>
      <c r="I173" s="45"/>
      <c r="K173" s="40"/>
      <c r="L173" s="46"/>
      <c r="N173" s="178"/>
      <c r="O173" s="178"/>
    </row>
    <row r="174" spans="2:15" s="41" customFormat="1" ht="20.25" x14ac:dyDescent="0.25">
      <c r="B174" s="29">
        <v>161</v>
      </c>
      <c r="C174" s="87"/>
      <c r="D174" s="87"/>
      <c r="E174" s="87" t="s">
        <v>161</v>
      </c>
      <c r="F174" s="87"/>
      <c r="G174" s="31"/>
      <c r="H174" s="88">
        <v>0</v>
      </c>
      <c r="I174" s="45">
        <v>0</v>
      </c>
      <c r="K174" s="40">
        <f t="shared" si="4"/>
        <v>0</v>
      </c>
      <c r="L174" s="46" t="e">
        <f t="shared" si="5"/>
        <v>#DIV/0!</v>
      </c>
      <c r="N174" s="178"/>
      <c r="O174" s="178"/>
    </row>
    <row r="175" spans="2:15" s="93" customFormat="1" ht="20.25" x14ac:dyDescent="0.25">
      <c r="B175" s="47">
        <v>162</v>
      </c>
      <c r="C175" s="89"/>
      <c r="D175" s="89"/>
      <c r="E175" s="89"/>
      <c r="F175" s="89" t="s">
        <v>162</v>
      </c>
      <c r="G175" s="90"/>
      <c r="H175" s="91">
        <v>0</v>
      </c>
      <c r="I175" s="92">
        <v>0</v>
      </c>
      <c r="K175" s="40">
        <f t="shared" si="4"/>
        <v>0</v>
      </c>
      <c r="L175" s="46" t="e">
        <f t="shared" si="5"/>
        <v>#DIV/0!</v>
      </c>
      <c r="N175" s="179"/>
      <c r="O175" s="179"/>
    </row>
    <row r="176" spans="2:15" s="93" customFormat="1" ht="20.25" x14ac:dyDescent="0.25">
      <c r="B176" s="47">
        <v>163</v>
      </c>
      <c r="C176" s="89"/>
      <c r="D176" s="89"/>
      <c r="E176" s="89"/>
      <c r="F176" s="89" t="s">
        <v>163</v>
      </c>
      <c r="G176" s="90"/>
      <c r="H176" s="91">
        <v>0</v>
      </c>
      <c r="I176" s="92">
        <v>0</v>
      </c>
      <c r="K176" s="40">
        <f t="shared" si="4"/>
        <v>0</v>
      </c>
      <c r="L176" s="46" t="e">
        <f t="shared" si="5"/>
        <v>#DIV/0!</v>
      </c>
      <c r="N176" s="179"/>
      <c r="O176" s="179"/>
    </row>
    <row r="177" spans="2:15" s="41" customFormat="1" ht="20.25" x14ac:dyDescent="0.25">
      <c r="B177" s="29">
        <v>164</v>
      </c>
      <c r="C177" s="36"/>
      <c r="D177" s="36"/>
      <c r="E177" s="36" t="s">
        <v>164</v>
      </c>
      <c r="F177" s="36"/>
      <c r="G177" s="55"/>
      <c r="H177" s="44">
        <v>38940000</v>
      </c>
      <c r="I177" s="45">
        <v>2931597000</v>
      </c>
      <c r="J177" s="40"/>
      <c r="K177" s="40">
        <f t="shared" si="4"/>
        <v>-2892657000</v>
      </c>
      <c r="L177" s="46">
        <f t="shared" si="5"/>
        <v>-98.671713745102068</v>
      </c>
      <c r="N177" s="178"/>
      <c r="O177" s="178"/>
    </row>
    <row r="178" spans="2:15" s="41" customFormat="1" ht="20.25" x14ac:dyDescent="0.25">
      <c r="B178" s="47">
        <v>165</v>
      </c>
      <c r="C178" s="36"/>
      <c r="D178" s="36"/>
      <c r="E178" s="36"/>
      <c r="F178" s="48" t="s">
        <v>164</v>
      </c>
      <c r="G178" s="49"/>
      <c r="H178" s="50">
        <v>38940000</v>
      </c>
      <c r="I178" s="51">
        <v>2931597000</v>
      </c>
      <c r="J178" s="40"/>
      <c r="K178" s="40">
        <f t="shared" si="4"/>
        <v>-2892657000</v>
      </c>
      <c r="L178" s="46">
        <f t="shared" si="5"/>
        <v>-98.671713745102068</v>
      </c>
      <c r="N178" s="178"/>
      <c r="O178" s="178"/>
    </row>
    <row r="179" spans="2:15" s="41" customFormat="1" ht="20.25" x14ac:dyDescent="0.25">
      <c r="B179" s="29">
        <v>166</v>
      </c>
      <c r="C179" s="36"/>
      <c r="D179" s="36"/>
      <c r="E179" s="36" t="s">
        <v>165</v>
      </c>
      <c r="F179" s="36"/>
      <c r="G179" s="55"/>
      <c r="H179" s="44">
        <v>599432000</v>
      </c>
      <c r="I179" s="45">
        <v>501362000</v>
      </c>
      <c r="J179" s="40"/>
      <c r="K179" s="40">
        <f t="shared" si="4"/>
        <v>98070000</v>
      </c>
      <c r="L179" s="46">
        <f t="shared" si="5"/>
        <v>19.560716607959915</v>
      </c>
      <c r="N179" s="178"/>
      <c r="O179" s="178"/>
    </row>
    <row r="180" spans="2:15" s="54" customFormat="1" ht="20.25" x14ac:dyDescent="0.25">
      <c r="B180" s="47">
        <v>167</v>
      </c>
      <c r="C180" s="48"/>
      <c r="D180" s="48"/>
      <c r="E180" s="48"/>
      <c r="F180" s="48" t="s">
        <v>165</v>
      </c>
      <c r="G180" s="49"/>
      <c r="H180" s="50">
        <v>599432000</v>
      </c>
      <c r="I180" s="51">
        <v>501362000</v>
      </c>
      <c r="J180" s="52"/>
      <c r="K180" s="40">
        <f t="shared" si="4"/>
        <v>98070000</v>
      </c>
      <c r="L180" s="46">
        <f t="shared" si="5"/>
        <v>19.560716607959915</v>
      </c>
      <c r="N180" s="62"/>
      <c r="O180" s="62"/>
    </row>
    <row r="181" spans="2:15" s="41" customFormat="1" ht="20.25" x14ac:dyDescent="0.25">
      <c r="B181" s="29">
        <v>168</v>
      </c>
      <c r="C181" s="36"/>
      <c r="D181" s="36"/>
      <c r="E181" s="36" t="s">
        <v>166</v>
      </c>
      <c r="F181" s="36"/>
      <c r="G181" s="55"/>
      <c r="H181" s="44">
        <v>11011193060</v>
      </c>
      <c r="I181" s="45">
        <v>6553631591.0500002</v>
      </c>
      <c r="J181" s="40"/>
      <c r="K181" s="40">
        <f t="shared" si="4"/>
        <v>4457561468.9499998</v>
      </c>
      <c r="L181" s="46">
        <f t="shared" si="5"/>
        <v>68.016662319522055</v>
      </c>
      <c r="N181" s="178"/>
      <c r="O181" s="178"/>
    </row>
    <row r="182" spans="2:15" s="54" customFormat="1" ht="20.25" x14ac:dyDescent="0.25">
      <c r="B182" s="47">
        <v>169</v>
      </c>
      <c r="C182" s="48"/>
      <c r="D182" s="48"/>
      <c r="E182" s="48"/>
      <c r="F182" s="48" t="s">
        <v>167</v>
      </c>
      <c r="G182" s="49"/>
      <c r="H182" s="50">
        <v>11011193060</v>
      </c>
      <c r="I182" s="51">
        <v>6553631591.0500002</v>
      </c>
      <c r="J182" s="52"/>
      <c r="K182" s="40">
        <f t="shared" si="4"/>
        <v>4457561468.9499998</v>
      </c>
      <c r="L182" s="46">
        <f t="shared" si="5"/>
        <v>68.016662319522055</v>
      </c>
      <c r="N182" s="62"/>
      <c r="O182" s="62"/>
    </row>
    <row r="183" spans="2:15" s="41" customFormat="1" ht="20.25" x14ac:dyDescent="0.25">
      <c r="B183" s="29">
        <v>170</v>
      </c>
      <c r="C183" s="87"/>
      <c r="D183" s="87"/>
      <c r="E183" s="36" t="s">
        <v>168</v>
      </c>
      <c r="F183" s="87"/>
      <c r="G183" s="95"/>
      <c r="H183" s="88">
        <v>-599432000</v>
      </c>
      <c r="I183" s="96">
        <v>-461662000</v>
      </c>
      <c r="J183" s="40"/>
      <c r="K183" s="40">
        <f t="shared" si="4"/>
        <v>-137770000</v>
      </c>
      <c r="L183" s="46">
        <f t="shared" si="5"/>
        <v>29.842178910111727</v>
      </c>
      <c r="N183" s="178"/>
      <c r="O183" s="178"/>
    </row>
    <row r="184" spans="2:15" s="54" customFormat="1" ht="20.25" x14ac:dyDescent="0.25">
      <c r="B184" s="47">
        <v>171</v>
      </c>
      <c r="C184" s="97"/>
      <c r="D184" s="48"/>
      <c r="E184" s="48"/>
      <c r="F184" s="59" t="s">
        <v>168</v>
      </c>
      <c r="G184" s="49"/>
      <c r="H184" s="50">
        <v>-599432000</v>
      </c>
      <c r="I184" s="51">
        <v>-461662000</v>
      </c>
      <c r="J184" s="52"/>
      <c r="K184" s="40">
        <f t="shared" si="4"/>
        <v>-137770000</v>
      </c>
      <c r="L184" s="46">
        <f t="shared" si="5"/>
        <v>29.842178910111727</v>
      </c>
      <c r="N184" s="62"/>
      <c r="O184" s="62"/>
    </row>
    <row r="185" spans="2:15" s="105" customFormat="1" ht="20.25" x14ac:dyDescent="0.25">
      <c r="B185" s="29">
        <v>172</v>
      </c>
      <c r="C185" s="98"/>
      <c r="D185" s="99"/>
      <c r="E185" s="99" t="s">
        <v>169</v>
      </c>
      <c r="F185" s="100"/>
      <c r="G185" s="101"/>
      <c r="H185" s="102">
        <v>-11020181329.92</v>
      </c>
      <c r="I185" s="103">
        <v>-7865701538</v>
      </c>
      <c r="J185" s="104"/>
      <c r="K185" s="40">
        <f t="shared" si="4"/>
        <v>-3154479791.9200001</v>
      </c>
      <c r="L185" s="46">
        <f t="shared" si="5"/>
        <v>40.104239611436931</v>
      </c>
      <c r="N185" s="180"/>
      <c r="O185" s="180"/>
    </row>
    <row r="186" spans="2:15" s="54" customFormat="1" ht="20.25" x14ac:dyDescent="0.25">
      <c r="B186" s="47">
        <v>173</v>
      </c>
      <c r="C186" s="97"/>
      <c r="D186" s="48"/>
      <c r="E186" s="48"/>
      <c r="F186" s="48" t="s">
        <v>169</v>
      </c>
      <c r="G186" s="49"/>
      <c r="H186" s="50">
        <v>-11020181329.92</v>
      </c>
      <c r="I186" s="51">
        <v>-7865701538</v>
      </c>
      <c r="J186" s="52"/>
      <c r="K186" s="40">
        <f t="shared" si="4"/>
        <v>-3154479791.9200001</v>
      </c>
      <c r="L186" s="46">
        <f t="shared" si="5"/>
        <v>40.104239611436931</v>
      </c>
      <c r="N186" s="62"/>
      <c r="O186" s="62"/>
    </row>
    <row r="187" spans="2:15" s="41" customFormat="1" ht="20.25" x14ac:dyDescent="0.25">
      <c r="B187" s="29">
        <v>174</v>
      </c>
      <c r="C187" s="107"/>
      <c r="D187" s="36"/>
      <c r="E187" s="36"/>
      <c r="F187" s="65" t="s">
        <v>170</v>
      </c>
      <c r="G187" s="37"/>
      <c r="H187" s="44">
        <v>29951730.079999924</v>
      </c>
      <c r="I187" s="45">
        <v>1659227053.0499992</v>
      </c>
      <c r="J187" s="40"/>
      <c r="K187" s="40">
        <f t="shared" si="4"/>
        <v>-1629275322.9699993</v>
      </c>
      <c r="L187" s="46">
        <f t="shared" si="5"/>
        <v>-98.194838372184051</v>
      </c>
      <c r="N187" s="178"/>
      <c r="O187" s="178"/>
    </row>
    <row r="188" spans="2:15" s="41" customFormat="1" ht="20.25" x14ac:dyDescent="0.25">
      <c r="B188" s="47">
        <v>175</v>
      </c>
      <c r="C188" s="107"/>
      <c r="D188" s="36"/>
      <c r="E188" s="36"/>
      <c r="F188" s="36"/>
      <c r="G188" s="37"/>
      <c r="H188" s="44"/>
      <c r="I188" s="45"/>
      <c r="J188" s="40"/>
      <c r="K188" s="40"/>
      <c r="L188" s="46"/>
      <c r="N188" s="178"/>
      <c r="O188" s="178"/>
    </row>
    <row r="189" spans="2:15" s="41" customFormat="1" ht="20.25" x14ac:dyDescent="0.25">
      <c r="B189" s="29">
        <v>176</v>
      </c>
      <c r="C189" s="107"/>
      <c r="D189" s="36"/>
      <c r="E189" s="36"/>
      <c r="F189" s="65" t="s">
        <v>171</v>
      </c>
      <c r="G189" s="37"/>
      <c r="H189" s="44">
        <v>1815364281898.8999</v>
      </c>
      <c r="I189" s="45">
        <v>1986427010709.1799</v>
      </c>
      <c r="J189" s="40"/>
      <c r="K189" s="40">
        <f t="shared" si="4"/>
        <v>-171062728810.28003</v>
      </c>
      <c r="L189" s="46">
        <f t="shared" si="5"/>
        <v>-8.6115788744338726</v>
      </c>
      <c r="N189" s="178"/>
      <c r="O189" s="178"/>
    </row>
    <row r="190" spans="2:15" s="41" customFormat="1" ht="20.25" x14ac:dyDescent="0.25">
      <c r="B190" s="47">
        <v>177</v>
      </c>
      <c r="C190" s="87"/>
      <c r="D190" s="87"/>
      <c r="E190" s="87"/>
      <c r="F190" s="87"/>
      <c r="G190" s="31"/>
      <c r="H190" s="88"/>
      <c r="I190" s="96"/>
      <c r="K190" s="40"/>
      <c r="L190" s="46"/>
      <c r="N190" s="178"/>
      <c r="O190" s="178"/>
    </row>
    <row r="191" spans="2:15" s="41" customFormat="1" ht="20.25" x14ac:dyDescent="0.25">
      <c r="B191" s="29">
        <v>178</v>
      </c>
      <c r="C191" s="108" t="s">
        <v>172</v>
      </c>
      <c r="D191" s="87"/>
      <c r="E191" s="87"/>
      <c r="F191" s="87"/>
      <c r="G191" s="31"/>
      <c r="H191" s="88"/>
      <c r="I191" s="45"/>
      <c r="J191" s="40"/>
      <c r="K191" s="40"/>
      <c r="L191" s="46"/>
      <c r="N191" s="178"/>
      <c r="O191" s="178"/>
    </row>
    <row r="192" spans="2:15" s="41" customFormat="1" ht="20.25" x14ac:dyDescent="0.25">
      <c r="B192" s="29">
        <v>179</v>
      </c>
      <c r="C192" s="36"/>
      <c r="D192" s="36" t="s">
        <v>173</v>
      </c>
      <c r="E192" s="36"/>
      <c r="F192" s="36"/>
      <c r="G192" s="37"/>
      <c r="H192" s="44"/>
      <c r="I192" s="45"/>
      <c r="J192" s="109"/>
      <c r="K192" s="40"/>
      <c r="L192" s="46"/>
      <c r="N192" s="178"/>
      <c r="O192" s="178"/>
    </row>
    <row r="193" spans="2:15" s="41" customFormat="1" ht="20.25" x14ac:dyDescent="0.25">
      <c r="B193" s="29">
        <v>180</v>
      </c>
      <c r="C193" s="36"/>
      <c r="D193" s="36"/>
      <c r="E193" s="36" t="s">
        <v>174</v>
      </c>
      <c r="F193" s="36"/>
      <c r="G193" s="37"/>
      <c r="H193" s="44">
        <v>0</v>
      </c>
      <c r="I193" s="45">
        <v>0</v>
      </c>
      <c r="J193" s="109"/>
      <c r="K193" s="40">
        <f t="shared" si="4"/>
        <v>0</v>
      </c>
      <c r="L193" s="46" t="e">
        <f t="shared" si="5"/>
        <v>#DIV/0!</v>
      </c>
      <c r="N193" s="178"/>
      <c r="O193" s="178"/>
    </row>
    <row r="194" spans="2:15" s="41" customFormat="1" ht="20.25" x14ac:dyDescent="0.25">
      <c r="B194" s="47">
        <v>181</v>
      </c>
      <c r="C194" s="36"/>
      <c r="D194" s="36"/>
      <c r="E194" s="36"/>
      <c r="F194" s="48" t="s">
        <v>175</v>
      </c>
      <c r="G194" s="69"/>
      <c r="H194" s="50">
        <v>0</v>
      </c>
      <c r="I194" s="51">
        <v>0</v>
      </c>
      <c r="J194" s="109"/>
      <c r="K194" s="40">
        <f t="shared" si="4"/>
        <v>0</v>
      </c>
      <c r="L194" s="46" t="e">
        <f t="shared" si="5"/>
        <v>#DIV/0!</v>
      </c>
      <c r="N194" s="178"/>
      <c r="O194" s="178"/>
    </row>
    <row r="195" spans="2:15" s="41" customFormat="1" ht="20.25" x14ac:dyDescent="0.25">
      <c r="B195" s="47">
        <v>182</v>
      </c>
      <c r="C195" s="36"/>
      <c r="D195" s="36"/>
      <c r="E195" s="36"/>
      <c r="F195" s="48" t="s">
        <v>176</v>
      </c>
      <c r="G195" s="69"/>
      <c r="H195" s="50">
        <v>0</v>
      </c>
      <c r="I195" s="51">
        <v>0</v>
      </c>
      <c r="J195" s="109"/>
      <c r="K195" s="40">
        <f t="shared" si="4"/>
        <v>0</v>
      </c>
      <c r="L195" s="46" t="e">
        <f t="shared" si="5"/>
        <v>#DIV/0!</v>
      </c>
      <c r="N195" s="178"/>
      <c r="O195" s="178"/>
    </row>
    <row r="196" spans="2:15" s="41" customFormat="1" ht="20.25" x14ac:dyDescent="0.25">
      <c r="B196" s="47">
        <v>183</v>
      </c>
      <c r="C196" s="36"/>
      <c r="D196" s="36"/>
      <c r="E196" s="36"/>
      <c r="F196" s="48" t="s">
        <v>177</v>
      </c>
      <c r="G196" s="69"/>
      <c r="H196" s="50">
        <v>0</v>
      </c>
      <c r="I196" s="51">
        <v>0</v>
      </c>
      <c r="J196" s="109"/>
      <c r="K196" s="40">
        <f t="shared" si="4"/>
        <v>0</v>
      </c>
      <c r="L196" s="46" t="e">
        <f t="shared" si="5"/>
        <v>#DIV/0!</v>
      </c>
      <c r="N196" s="178"/>
      <c r="O196" s="178"/>
    </row>
    <row r="197" spans="2:15" s="41" customFormat="1" ht="20.25" x14ac:dyDescent="0.25">
      <c r="B197" s="47">
        <v>184</v>
      </c>
      <c r="C197" s="36"/>
      <c r="D197" s="36"/>
      <c r="E197" s="36"/>
      <c r="F197" s="48" t="s">
        <v>178</v>
      </c>
      <c r="G197" s="69"/>
      <c r="H197" s="50">
        <v>0</v>
      </c>
      <c r="I197" s="51">
        <v>0</v>
      </c>
      <c r="J197" s="109"/>
      <c r="K197" s="40">
        <f t="shared" si="4"/>
        <v>0</v>
      </c>
      <c r="L197" s="46" t="e">
        <f t="shared" si="5"/>
        <v>#DIV/0!</v>
      </c>
      <c r="N197" s="178"/>
      <c r="O197" s="178"/>
    </row>
    <row r="198" spans="2:15" s="41" customFormat="1" ht="20.25" x14ac:dyDescent="0.25">
      <c r="B198" s="47">
        <v>185</v>
      </c>
      <c r="C198" s="36"/>
      <c r="D198" s="36"/>
      <c r="E198" s="36"/>
      <c r="F198" s="48" t="s">
        <v>179</v>
      </c>
      <c r="G198" s="69"/>
      <c r="H198" s="50">
        <v>0</v>
      </c>
      <c r="I198" s="51">
        <v>0</v>
      </c>
      <c r="J198" s="109"/>
      <c r="K198" s="40">
        <f t="shared" si="4"/>
        <v>0</v>
      </c>
      <c r="L198" s="46" t="e">
        <f t="shared" si="5"/>
        <v>#DIV/0!</v>
      </c>
      <c r="N198" s="178"/>
      <c r="O198" s="178"/>
    </row>
    <row r="199" spans="2:15" s="41" customFormat="1" ht="20.25" x14ac:dyDescent="0.25">
      <c r="B199" s="47">
        <v>186</v>
      </c>
      <c r="C199" s="36"/>
      <c r="D199" s="36"/>
      <c r="E199" s="36"/>
      <c r="F199" s="48" t="s">
        <v>180</v>
      </c>
      <c r="G199" s="69"/>
      <c r="H199" s="50">
        <v>0</v>
      </c>
      <c r="I199" s="51">
        <v>0</v>
      </c>
      <c r="J199" s="109"/>
      <c r="K199" s="40">
        <f t="shared" si="4"/>
        <v>0</v>
      </c>
      <c r="L199" s="46" t="e">
        <f t="shared" si="5"/>
        <v>#DIV/0!</v>
      </c>
      <c r="N199" s="178"/>
      <c r="O199" s="178"/>
    </row>
    <row r="200" spans="2:15" s="41" customFormat="1" ht="20.25" x14ac:dyDescent="0.25">
      <c r="B200" s="47">
        <v>187</v>
      </c>
      <c r="C200" s="36"/>
      <c r="D200" s="36"/>
      <c r="E200" s="36"/>
      <c r="F200" s="48" t="s">
        <v>181</v>
      </c>
      <c r="G200" s="69"/>
      <c r="H200" s="50">
        <v>0</v>
      </c>
      <c r="I200" s="51">
        <v>0</v>
      </c>
      <c r="J200" s="109"/>
      <c r="K200" s="40">
        <f t="shared" si="4"/>
        <v>0</v>
      </c>
      <c r="L200" s="46" t="e">
        <f t="shared" si="5"/>
        <v>#DIV/0!</v>
      </c>
      <c r="N200" s="178"/>
      <c r="O200" s="178"/>
    </row>
    <row r="201" spans="2:15" s="41" customFormat="1" ht="20.25" x14ac:dyDescent="0.25">
      <c r="B201" s="47">
        <v>188</v>
      </c>
      <c r="C201" s="36"/>
      <c r="D201" s="36"/>
      <c r="E201" s="36"/>
      <c r="F201" s="48" t="s">
        <v>182</v>
      </c>
      <c r="G201" s="69"/>
      <c r="H201" s="50">
        <v>0</v>
      </c>
      <c r="I201" s="51">
        <v>0</v>
      </c>
      <c r="J201" s="109"/>
      <c r="K201" s="40">
        <f t="shared" si="4"/>
        <v>0</v>
      </c>
      <c r="L201" s="46" t="e">
        <f t="shared" si="5"/>
        <v>#DIV/0!</v>
      </c>
      <c r="N201" s="178"/>
      <c r="O201" s="178"/>
    </row>
    <row r="202" spans="2:15" s="41" customFormat="1" ht="20.25" x14ac:dyDescent="0.25">
      <c r="B202" s="47">
        <v>189</v>
      </c>
      <c r="C202" s="36"/>
      <c r="D202" s="36"/>
      <c r="E202" s="36"/>
      <c r="F202" s="48" t="s">
        <v>183</v>
      </c>
      <c r="G202" s="69"/>
      <c r="H202" s="50">
        <v>0</v>
      </c>
      <c r="I202" s="51">
        <v>0</v>
      </c>
      <c r="J202" s="109"/>
      <c r="K202" s="40">
        <f t="shared" si="4"/>
        <v>0</v>
      </c>
      <c r="L202" s="46" t="e">
        <f t="shared" si="5"/>
        <v>#DIV/0!</v>
      </c>
      <c r="N202" s="178"/>
      <c r="O202" s="178"/>
    </row>
    <row r="203" spans="2:15" s="41" customFormat="1" ht="20.25" x14ac:dyDescent="0.25">
      <c r="B203" s="29">
        <v>190</v>
      </c>
      <c r="C203" s="36"/>
      <c r="D203" s="36"/>
      <c r="E203" s="36" t="s">
        <v>184</v>
      </c>
      <c r="F203" s="36"/>
      <c r="G203" s="37"/>
      <c r="H203" s="44">
        <v>0</v>
      </c>
      <c r="I203" s="45">
        <v>0</v>
      </c>
      <c r="J203" s="109"/>
      <c r="K203" s="40">
        <f t="shared" si="4"/>
        <v>0</v>
      </c>
      <c r="L203" s="46" t="e">
        <f t="shared" si="5"/>
        <v>#DIV/0!</v>
      </c>
      <c r="N203" s="178"/>
      <c r="O203" s="178"/>
    </row>
    <row r="204" spans="2:15" s="41" customFormat="1" ht="20.25" x14ac:dyDescent="0.25">
      <c r="B204" s="47">
        <v>191</v>
      </c>
      <c r="C204" s="36"/>
      <c r="D204" s="36"/>
      <c r="E204" s="36"/>
      <c r="F204" s="48" t="s">
        <v>185</v>
      </c>
      <c r="G204" s="69"/>
      <c r="H204" s="50">
        <v>0</v>
      </c>
      <c r="I204" s="51">
        <v>0</v>
      </c>
      <c r="J204" s="109"/>
      <c r="K204" s="40">
        <f t="shared" si="4"/>
        <v>0</v>
      </c>
      <c r="L204" s="46" t="e">
        <f t="shared" si="5"/>
        <v>#DIV/0!</v>
      </c>
      <c r="N204" s="178"/>
      <c r="O204" s="178"/>
    </row>
    <row r="205" spans="2:15" s="41" customFormat="1" ht="20.25" x14ac:dyDescent="0.25">
      <c r="B205" s="47">
        <v>192</v>
      </c>
      <c r="C205" s="36"/>
      <c r="D205" s="36"/>
      <c r="E205" s="36"/>
      <c r="F205" s="48" t="s">
        <v>186</v>
      </c>
      <c r="G205" s="69"/>
      <c r="H205" s="50">
        <v>0</v>
      </c>
      <c r="I205" s="51">
        <v>0</v>
      </c>
      <c r="J205" s="109"/>
      <c r="K205" s="40">
        <f t="shared" si="4"/>
        <v>0</v>
      </c>
      <c r="L205" s="46" t="e">
        <f t="shared" si="5"/>
        <v>#DIV/0!</v>
      </c>
      <c r="N205" s="178"/>
      <c r="O205" s="178"/>
    </row>
    <row r="206" spans="2:15" s="41" customFormat="1" ht="20.25" x14ac:dyDescent="0.25">
      <c r="B206" s="47">
        <v>193</v>
      </c>
      <c r="C206" s="36"/>
      <c r="D206" s="36"/>
      <c r="E206" s="36"/>
      <c r="F206" s="48" t="s">
        <v>187</v>
      </c>
      <c r="G206" s="69"/>
      <c r="H206" s="50">
        <v>0</v>
      </c>
      <c r="I206" s="51">
        <v>0</v>
      </c>
      <c r="J206" s="109"/>
      <c r="K206" s="40">
        <f t="shared" si="4"/>
        <v>0</v>
      </c>
      <c r="L206" s="46" t="e">
        <f t="shared" si="5"/>
        <v>#DIV/0!</v>
      </c>
      <c r="N206" s="178"/>
      <c r="O206" s="178"/>
    </row>
    <row r="207" spans="2:15" s="41" customFormat="1" ht="20.25" x14ac:dyDescent="0.25">
      <c r="B207" s="47">
        <v>194</v>
      </c>
      <c r="C207" s="36"/>
      <c r="D207" s="36"/>
      <c r="E207" s="36"/>
      <c r="F207" s="48" t="s">
        <v>188</v>
      </c>
      <c r="G207" s="69"/>
      <c r="H207" s="50">
        <v>0</v>
      </c>
      <c r="I207" s="51">
        <v>0</v>
      </c>
      <c r="J207" s="109"/>
      <c r="K207" s="40">
        <f t="shared" si="4"/>
        <v>0</v>
      </c>
      <c r="L207" s="46" t="e">
        <f t="shared" si="5"/>
        <v>#DIV/0!</v>
      </c>
      <c r="N207" s="178"/>
      <c r="O207" s="178"/>
    </row>
    <row r="208" spans="2:15" s="41" customFormat="1" ht="20.25" x14ac:dyDescent="0.25">
      <c r="B208" s="47">
        <v>195</v>
      </c>
      <c r="C208" s="36"/>
      <c r="D208" s="36"/>
      <c r="E208" s="36"/>
      <c r="F208" s="48" t="s">
        <v>189</v>
      </c>
      <c r="G208" s="69"/>
      <c r="H208" s="50">
        <v>0</v>
      </c>
      <c r="I208" s="51">
        <v>0</v>
      </c>
      <c r="J208" s="109"/>
      <c r="K208" s="40">
        <f t="shared" si="4"/>
        <v>0</v>
      </c>
      <c r="L208" s="46" t="e">
        <f t="shared" si="5"/>
        <v>#DIV/0!</v>
      </c>
      <c r="N208" s="178"/>
      <c r="O208" s="178"/>
    </row>
    <row r="209" spans="2:15" s="41" customFormat="1" ht="20.25" x14ac:dyDescent="0.25">
      <c r="B209" s="47">
        <v>196</v>
      </c>
      <c r="C209" s="36"/>
      <c r="D209" s="36"/>
      <c r="E209" s="36"/>
      <c r="F209" s="48" t="s">
        <v>190</v>
      </c>
      <c r="G209" s="69"/>
      <c r="H209" s="50">
        <v>0</v>
      </c>
      <c r="I209" s="51">
        <v>0</v>
      </c>
      <c r="J209" s="109"/>
      <c r="K209" s="40">
        <f t="shared" si="4"/>
        <v>0</v>
      </c>
      <c r="L209" s="46" t="e">
        <f t="shared" si="5"/>
        <v>#DIV/0!</v>
      </c>
      <c r="N209" s="178"/>
      <c r="O209" s="178"/>
    </row>
    <row r="210" spans="2:15" s="41" customFormat="1" ht="20.25" x14ac:dyDescent="0.25">
      <c r="B210" s="29">
        <v>197</v>
      </c>
      <c r="C210" s="36"/>
      <c r="D210" s="36"/>
      <c r="E210" s="36" t="s">
        <v>191</v>
      </c>
      <c r="F210" s="36"/>
      <c r="G210" s="37"/>
      <c r="H210" s="44">
        <v>0</v>
      </c>
      <c r="I210" s="45">
        <v>0</v>
      </c>
      <c r="J210" s="109"/>
      <c r="K210" s="40">
        <f t="shared" si="4"/>
        <v>0</v>
      </c>
      <c r="L210" s="46" t="e">
        <f t="shared" si="5"/>
        <v>#DIV/0!</v>
      </c>
      <c r="N210" s="178"/>
      <c r="O210" s="178"/>
    </row>
    <row r="211" spans="2:15" s="41" customFormat="1" ht="20.25" x14ac:dyDescent="0.25">
      <c r="B211" s="47">
        <v>198</v>
      </c>
      <c r="C211" s="36"/>
      <c r="D211" s="36"/>
      <c r="E211" s="36"/>
      <c r="F211" s="48" t="s">
        <v>192</v>
      </c>
      <c r="G211" s="69"/>
      <c r="H211" s="50">
        <v>0</v>
      </c>
      <c r="I211" s="51">
        <v>0</v>
      </c>
      <c r="J211" s="109"/>
      <c r="K211" s="40">
        <f t="shared" si="4"/>
        <v>0</v>
      </c>
      <c r="L211" s="46" t="e">
        <f t="shared" si="5"/>
        <v>#DIV/0!</v>
      </c>
      <c r="N211" s="178"/>
      <c r="O211" s="178"/>
    </row>
    <row r="212" spans="2:15" s="41" customFormat="1" ht="20.25" x14ac:dyDescent="0.25">
      <c r="B212" s="47">
        <v>199</v>
      </c>
      <c r="C212" s="36"/>
      <c r="D212" s="36"/>
      <c r="E212" s="36"/>
      <c r="F212" s="48" t="s">
        <v>193</v>
      </c>
      <c r="G212" s="69"/>
      <c r="H212" s="50">
        <v>0</v>
      </c>
      <c r="I212" s="51">
        <v>0</v>
      </c>
      <c r="J212" s="109"/>
      <c r="K212" s="40">
        <f t="shared" si="4"/>
        <v>0</v>
      </c>
      <c r="L212" s="46" t="e">
        <f t="shared" si="5"/>
        <v>#DIV/0!</v>
      </c>
      <c r="N212" s="178"/>
      <c r="O212" s="178"/>
    </row>
    <row r="213" spans="2:15" s="41" customFormat="1" ht="19.350000000000001" customHeight="1" x14ac:dyDescent="0.25">
      <c r="B213" s="47">
        <v>200</v>
      </c>
      <c r="C213" s="36"/>
      <c r="D213" s="36"/>
      <c r="E213" s="36"/>
      <c r="F213" s="61" t="s">
        <v>194</v>
      </c>
      <c r="G213" s="69"/>
      <c r="H213" s="50">
        <v>0</v>
      </c>
      <c r="I213" s="51">
        <v>0</v>
      </c>
      <c r="J213" s="109"/>
      <c r="K213" s="40">
        <f t="shared" si="4"/>
        <v>0</v>
      </c>
      <c r="L213" s="46" t="e">
        <f t="shared" si="5"/>
        <v>#DIV/0!</v>
      </c>
      <c r="N213" s="178"/>
      <c r="O213" s="178"/>
    </row>
    <row r="214" spans="2:15" s="41" customFormat="1" ht="20.25" x14ac:dyDescent="0.25">
      <c r="B214" s="47">
        <v>201</v>
      </c>
      <c r="C214" s="36"/>
      <c r="D214" s="36"/>
      <c r="E214" s="36"/>
      <c r="F214" s="48" t="s">
        <v>195</v>
      </c>
      <c r="G214" s="69"/>
      <c r="H214" s="50">
        <v>0</v>
      </c>
      <c r="I214" s="51">
        <v>0</v>
      </c>
      <c r="J214" s="109"/>
      <c r="K214" s="40">
        <f t="shared" si="4"/>
        <v>0</v>
      </c>
      <c r="L214" s="46" t="e">
        <f t="shared" si="5"/>
        <v>#DIV/0!</v>
      </c>
      <c r="N214" s="178"/>
      <c r="O214" s="178"/>
    </row>
    <row r="215" spans="2:15" s="41" customFormat="1" ht="20.25" x14ac:dyDescent="0.25">
      <c r="B215" s="29">
        <v>202</v>
      </c>
      <c r="C215" s="36"/>
      <c r="D215" s="36"/>
      <c r="E215" s="36" t="s">
        <v>196</v>
      </c>
      <c r="F215" s="36"/>
      <c r="G215" s="37"/>
      <c r="H215" s="44">
        <v>0</v>
      </c>
      <c r="I215" s="45">
        <v>0</v>
      </c>
      <c r="J215" s="109"/>
      <c r="K215" s="40">
        <f t="shared" si="4"/>
        <v>0</v>
      </c>
      <c r="L215" s="46" t="e">
        <f t="shared" si="5"/>
        <v>#DIV/0!</v>
      </c>
      <c r="N215" s="178"/>
      <c r="O215" s="178"/>
    </row>
    <row r="216" spans="2:15" s="41" customFormat="1" ht="20.25" x14ac:dyDescent="0.25">
      <c r="B216" s="47">
        <v>203</v>
      </c>
      <c r="C216" s="36"/>
      <c r="D216" s="36"/>
      <c r="E216" s="36"/>
      <c r="F216" s="48" t="s">
        <v>197</v>
      </c>
      <c r="G216" s="69"/>
      <c r="H216" s="50">
        <v>0</v>
      </c>
      <c r="I216" s="51">
        <v>0</v>
      </c>
      <c r="J216" s="109"/>
      <c r="K216" s="40">
        <f t="shared" si="4"/>
        <v>0</v>
      </c>
      <c r="L216" s="46" t="e">
        <f t="shared" si="5"/>
        <v>#DIV/0!</v>
      </c>
      <c r="N216" s="178"/>
      <c r="O216" s="178"/>
    </row>
    <row r="217" spans="2:15" s="41" customFormat="1" ht="20.25" x14ac:dyDescent="0.25">
      <c r="B217" s="47">
        <v>204</v>
      </c>
      <c r="C217" s="36"/>
      <c r="D217" s="36"/>
      <c r="E217" s="36"/>
      <c r="F217" s="48" t="s">
        <v>198</v>
      </c>
      <c r="G217" s="69"/>
      <c r="H217" s="50">
        <v>0</v>
      </c>
      <c r="I217" s="51">
        <v>0</v>
      </c>
      <c r="J217" s="109"/>
      <c r="K217" s="40">
        <f t="shared" si="4"/>
        <v>0</v>
      </c>
      <c r="L217" s="46" t="e">
        <f t="shared" si="5"/>
        <v>#DIV/0!</v>
      </c>
      <c r="N217" s="178"/>
      <c r="O217" s="178"/>
    </row>
    <row r="218" spans="2:15" s="41" customFormat="1" ht="20.25" x14ac:dyDescent="0.25">
      <c r="B218" s="47">
        <v>205</v>
      </c>
      <c r="C218" s="36"/>
      <c r="D218" s="36"/>
      <c r="E218" s="36"/>
      <c r="F218" s="48" t="s">
        <v>199</v>
      </c>
      <c r="G218" s="69"/>
      <c r="H218" s="50">
        <v>0</v>
      </c>
      <c r="I218" s="51">
        <v>0</v>
      </c>
      <c r="J218" s="109"/>
      <c r="K218" s="40">
        <f t="shared" si="4"/>
        <v>0</v>
      </c>
      <c r="L218" s="46" t="e">
        <f t="shared" si="5"/>
        <v>#DIV/0!</v>
      </c>
      <c r="N218" s="178"/>
      <c r="O218" s="178"/>
    </row>
    <row r="219" spans="2:15" s="41" customFormat="1" ht="20.25" x14ac:dyDescent="0.25">
      <c r="B219" s="47">
        <v>206</v>
      </c>
      <c r="C219" s="36"/>
      <c r="D219" s="36"/>
      <c r="E219" s="36"/>
      <c r="F219" s="48" t="s">
        <v>200</v>
      </c>
      <c r="G219" s="69"/>
      <c r="H219" s="50">
        <v>0</v>
      </c>
      <c r="I219" s="51">
        <v>0</v>
      </c>
      <c r="J219" s="109"/>
      <c r="K219" s="40">
        <f t="shared" si="4"/>
        <v>0</v>
      </c>
      <c r="L219" s="46" t="e">
        <f t="shared" si="5"/>
        <v>#DIV/0!</v>
      </c>
      <c r="N219" s="178"/>
      <c r="O219" s="178"/>
    </row>
    <row r="220" spans="2:15" s="41" customFormat="1" ht="20.25" x14ac:dyDescent="0.25">
      <c r="B220" s="47">
        <v>207</v>
      </c>
      <c r="C220" s="36"/>
      <c r="D220" s="36"/>
      <c r="E220" s="36"/>
      <c r="F220" s="48" t="s">
        <v>201</v>
      </c>
      <c r="G220" s="69"/>
      <c r="H220" s="50">
        <v>0</v>
      </c>
      <c r="I220" s="51">
        <v>0</v>
      </c>
      <c r="J220" s="109"/>
      <c r="K220" s="40">
        <f t="shared" si="4"/>
        <v>0</v>
      </c>
      <c r="L220" s="46" t="e">
        <f t="shared" si="5"/>
        <v>#DIV/0!</v>
      </c>
      <c r="N220" s="178"/>
      <c r="O220" s="178"/>
    </row>
    <row r="221" spans="2:15" s="41" customFormat="1" ht="20.25" x14ac:dyDescent="0.25">
      <c r="B221" s="29">
        <v>208</v>
      </c>
      <c r="C221" s="36"/>
      <c r="D221" s="36"/>
      <c r="E221" s="36" t="s">
        <v>202</v>
      </c>
      <c r="F221" s="36"/>
      <c r="G221" s="55"/>
      <c r="H221" s="66">
        <v>37348700000</v>
      </c>
      <c r="I221" s="67">
        <v>36066667825</v>
      </c>
      <c r="J221" s="40"/>
      <c r="K221" s="40">
        <f t="shared" si="4"/>
        <v>1282032175</v>
      </c>
      <c r="L221" s="46">
        <f t="shared" si="5"/>
        <v>3.5546177462819162</v>
      </c>
      <c r="N221" s="178"/>
      <c r="O221" s="178"/>
    </row>
    <row r="222" spans="2:15" s="41" customFormat="1" ht="20.25" x14ac:dyDescent="0.25">
      <c r="B222" s="47">
        <v>209</v>
      </c>
      <c r="C222" s="87"/>
      <c r="D222" s="87"/>
      <c r="E222" s="87"/>
      <c r="F222" s="84" t="s">
        <v>203</v>
      </c>
      <c r="G222" s="110"/>
      <c r="H222" s="111">
        <v>0</v>
      </c>
      <c r="I222" s="112">
        <v>0</v>
      </c>
      <c r="J222" s="40"/>
      <c r="K222" s="40">
        <f t="shared" si="4"/>
        <v>0</v>
      </c>
      <c r="L222" s="46" t="e">
        <f t="shared" si="5"/>
        <v>#DIV/0!</v>
      </c>
      <c r="N222" s="178"/>
      <c r="O222" s="178"/>
    </row>
    <row r="223" spans="2:15" s="93" customFormat="1" ht="20.25" x14ac:dyDescent="0.25">
      <c r="B223" s="47">
        <v>210</v>
      </c>
      <c r="C223" s="89"/>
      <c r="D223" s="89"/>
      <c r="E223" s="89"/>
      <c r="F223" s="89" t="s">
        <v>204</v>
      </c>
      <c r="G223" s="113"/>
      <c r="H223" s="114">
        <v>37348700000</v>
      </c>
      <c r="I223" s="115">
        <v>36066667825</v>
      </c>
      <c r="J223" s="116"/>
      <c r="K223" s="40">
        <f t="shared" si="4"/>
        <v>1282032175</v>
      </c>
      <c r="L223" s="46">
        <f t="shared" si="5"/>
        <v>3.5546177462819162</v>
      </c>
      <c r="N223" s="179"/>
      <c r="O223" s="179"/>
    </row>
    <row r="224" spans="2:15" s="93" customFormat="1" ht="20.25" x14ac:dyDescent="0.25">
      <c r="B224" s="47">
        <v>211</v>
      </c>
      <c r="C224" s="89"/>
      <c r="D224" s="89"/>
      <c r="E224" s="89"/>
      <c r="F224" s="89" t="s">
        <v>205</v>
      </c>
      <c r="G224" s="113"/>
      <c r="H224" s="114">
        <v>0</v>
      </c>
      <c r="I224" s="115">
        <v>0</v>
      </c>
      <c r="J224" s="116"/>
      <c r="K224" s="40">
        <f t="shared" si="4"/>
        <v>0</v>
      </c>
      <c r="L224" s="46" t="e">
        <f t="shared" si="5"/>
        <v>#DIV/0!</v>
      </c>
      <c r="N224" s="179"/>
      <c r="O224" s="179"/>
    </row>
    <row r="225" spans="2:15" s="41" customFormat="1" ht="20.25" x14ac:dyDescent="0.25">
      <c r="B225" s="29">
        <v>212</v>
      </c>
      <c r="C225" s="87"/>
      <c r="D225" s="87"/>
      <c r="E225" s="87" t="s">
        <v>206</v>
      </c>
      <c r="F225" s="87"/>
      <c r="G225" s="95"/>
      <c r="H225" s="117">
        <v>0</v>
      </c>
      <c r="I225" s="118">
        <v>0</v>
      </c>
      <c r="J225" s="40"/>
      <c r="K225" s="40">
        <f t="shared" si="4"/>
        <v>0</v>
      </c>
      <c r="L225" s="46" t="e">
        <f t="shared" si="5"/>
        <v>#DIV/0!</v>
      </c>
      <c r="M225" s="119"/>
      <c r="N225" s="178"/>
      <c r="O225" s="178"/>
    </row>
    <row r="226" spans="2:15" s="54" customFormat="1" ht="20.25" x14ac:dyDescent="0.25">
      <c r="B226" s="47">
        <v>213</v>
      </c>
      <c r="C226" s="84"/>
      <c r="D226" s="84"/>
      <c r="E226" s="84"/>
      <c r="F226" s="84" t="s">
        <v>207</v>
      </c>
      <c r="G226" s="110"/>
      <c r="H226" s="120">
        <v>0</v>
      </c>
      <c r="I226" s="121">
        <v>0</v>
      </c>
      <c r="J226" s="52"/>
      <c r="K226" s="40">
        <f t="shared" si="4"/>
        <v>0</v>
      </c>
      <c r="L226" s="46" t="e">
        <f t="shared" si="5"/>
        <v>#DIV/0!</v>
      </c>
      <c r="N226" s="62"/>
      <c r="O226" s="62"/>
    </row>
    <row r="227" spans="2:15" s="54" customFormat="1" ht="20.25" x14ac:dyDescent="0.25">
      <c r="B227" s="47">
        <v>214</v>
      </c>
      <c r="C227" s="84"/>
      <c r="D227" s="84"/>
      <c r="E227" s="84"/>
      <c r="F227" s="84" t="s">
        <v>208</v>
      </c>
      <c r="G227" s="110"/>
      <c r="H227" s="120">
        <v>0</v>
      </c>
      <c r="I227" s="121">
        <v>0</v>
      </c>
      <c r="J227" s="52"/>
      <c r="K227" s="40">
        <f t="shared" si="4"/>
        <v>0</v>
      </c>
      <c r="L227" s="46" t="e">
        <f t="shared" si="5"/>
        <v>#DIV/0!</v>
      </c>
      <c r="N227" s="62"/>
      <c r="O227" s="62"/>
    </row>
    <row r="228" spans="2:15" s="54" customFormat="1" ht="20.25" x14ac:dyDescent="0.25">
      <c r="B228" s="47">
        <v>215</v>
      </c>
      <c r="C228" s="84"/>
      <c r="D228" s="84"/>
      <c r="E228" s="84"/>
      <c r="F228" s="84" t="s">
        <v>209</v>
      </c>
      <c r="G228" s="110"/>
      <c r="H228" s="120">
        <v>0</v>
      </c>
      <c r="I228" s="121">
        <v>0</v>
      </c>
      <c r="J228" s="52"/>
      <c r="K228" s="40">
        <f t="shared" si="4"/>
        <v>0</v>
      </c>
      <c r="L228" s="46" t="e">
        <f t="shared" si="5"/>
        <v>#DIV/0!</v>
      </c>
      <c r="N228" s="62"/>
      <c r="O228" s="62"/>
    </row>
    <row r="229" spans="2:15" s="54" customFormat="1" ht="20.25" x14ac:dyDescent="0.25">
      <c r="B229" s="47">
        <v>216</v>
      </c>
      <c r="C229" s="84"/>
      <c r="D229" s="84"/>
      <c r="E229" s="84"/>
      <c r="F229" s="84" t="s">
        <v>210</v>
      </c>
      <c r="G229" s="110"/>
      <c r="H229" s="120">
        <v>0</v>
      </c>
      <c r="I229" s="121">
        <v>0</v>
      </c>
      <c r="J229" s="52"/>
      <c r="K229" s="40">
        <f t="shared" si="4"/>
        <v>0</v>
      </c>
      <c r="L229" s="46" t="e">
        <f t="shared" si="5"/>
        <v>#DIV/0!</v>
      </c>
      <c r="N229" s="62"/>
      <c r="O229" s="62"/>
    </row>
    <row r="230" spans="2:15" s="54" customFormat="1" ht="20.25" x14ac:dyDescent="0.25">
      <c r="B230" s="47">
        <v>217</v>
      </c>
      <c r="C230" s="84"/>
      <c r="D230" s="84"/>
      <c r="E230" s="84"/>
      <c r="F230" s="84" t="s">
        <v>211</v>
      </c>
      <c r="G230" s="110"/>
      <c r="H230" s="120">
        <v>0</v>
      </c>
      <c r="I230" s="121">
        <v>0</v>
      </c>
      <c r="J230" s="52"/>
      <c r="K230" s="40">
        <f t="shared" si="4"/>
        <v>0</v>
      </c>
      <c r="L230" s="46" t="e">
        <f t="shared" si="5"/>
        <v>#DIV/0!</v>
      </c>
      <c r="N230" s="62"/>
      <c r="O230" s="62"/>
    </row>
    <row r="231" spans="2:15" s="54" customFormat="1" ht="20.25" x14ac:dyDescent="0.25">
      <c r="B231" s="47">
        <v>218</v>
      </c>
      <c r="C231" s="84"/>
      <c r="D231" s="84"/>
      <c r="E231" s="84"/>
      <c r="F231" s="84" t="s">
        <v>212</v>
      </c>
      <c r="G231" s="110"/>
      <c r="H231" s="120">
        <v>0</v>
      </c>
      <c r="I231" s="121">
        <v>0</v>
      </c>
      <c r="J231" s="52"/>
      <c r="K231" s="40">
        <f t="shared" si="4"/>
        <v>0</v>
      </c>
      <c r="L231" s="46" t="e">
        <f t="shared" si="5"/>
        <v>#DIV/0!</v>
      </c>
      <c r="N231" s="62"/>
      <c r="O231" s="62"/>
    </row>
    <row r="232" spans="2:15" s="54" customFormat="1" ht="20.25" x14ac:dyDescent="0.25">
      <c r="B232" s="47">
        <v>219</v>
      </c>
      <c r="C232" s="84"/>
      <c r="D232" s="84"/>
      <c r="E232" s="84"/>
      <c r="F232" s="84" t="s">
        <v>213</v>
      </c>
      <c r="G232" s="110"/>
      <c r="H232" s="120">
        <v>0</v>
      </c>
      <c r="I232" s="121">
        <v>0</v>
      </c>
      <c r="J232" s="52"/>
      <c r="K232" s="40">
        <f t="shared" si="4"/>
        <v>0</v>
      </c>
      <c r="L232" s="46" t="e">
        <f t="shared" si="5"/>
        <v>#DIV/0!</v>
      </c>
      <c r="N232" s="62"/>
      <c r="O232" s="62"/>
    </row>
    <row r="233" spans="2:15" s="54" customFormat="1" ht="20.25" x14ac:dyDescent="0.25">
      <c r="B233" s="47">
        <v>220</v>
      </c>
      <c r="C233" s="84"/>
      <c r="D233" s="84"/>
      <c r="E233" s="84"/>
      <c r="F233" s="84" t="s">
        <v>214</v>
      </c>
      <c r="G233" s="110"/>
      <c r="H233" s="120">
        <v>0</v>
      </c>
      <c r="I233" s="121">
        <v>0</v>
      </c>
      <c r="J233" s="52"/>
      <c r="K233" s="40">
        <f t="shared" si="4"/>
        <v>0</v>
      </c>
      <c r="L233" s="46" t="e">
        <f t="shared" si="5"/>
        <v>#DIV/0!</v>
      </c>
      <c r="N233" s="62"/>
      <c r="O233" s="62"/>
    </row>
    <row r="234" spans="2:15" s="54" customFormat="1" ht="20.25" x14ac:dyDescent="0.25">
      <c r="B234" s="47">
        <v>221</v>
      </c>
      <c r="C234" s="84"/>
      <c r="D234" s="84"/>
      <c r="E234" s="84"/>
      <c r="F234" s="84" t="s">
        <v>215</v>
      </c>
      <c r="G234" s="110"/>
      <c r="H234" s="120">
        <v>0</v>
      </c>
      <c r="I234" s="121">
        <v>0</v>
      </c>
      <c r="J234" s="52"/>
      <c r="K234" s="40">
        <f t="shared" si="4"/>
        <v>0</v>
      </c>
      <c r="L234" s="46" t="e">
        <f t="shared" si="5"/>
        <v>#DIV/0!</v>
      </c>
      <c r="N234" s="62"/>
      <c r="O234" s="62"/>
    </row>
    <row r="235" spans="2:15" s="54" customFormat="1" ht="20.25" x14ac:dyDescent="0.25">
      <c r="B235" s="47">
        <v>222</v>
      </c>
      <c r="C235" s="84"/>
      <c r="D235" s="84"/>
      <c r="E235" s="84"/>
      <c r="F235" s="84" t="s">
        <v>216</v>
      </c>
      <c r="G235" s="110"/>
      <c r="H235" s="120">
        <v>0</v>
      </c>
      <c r="I235" s="121">
        <v>0</v>
      </c>
      <c r="J235" s="52"/>
      <c r="K235" s="40">
        <f t="shared" si="4"/>
        <v>0</v>
      </c>
      <c r="L235" s="46" t="e">
        <f t="shared" si="5"/>
        <v>#DIV/0!</v>
      </c>
      <c r="N235" s="62"/>
      <c r="O235" s="62"/>
    </row>
    <row r="236" spans="2:15" s="54" customFormat="1" ht="20.25" x14ac:dyDescent="0.25">
      <c r="B236" s="47">
        <v>223</v>
      </c>
      <c r="C236" s="84"/>
      <c r="D236" s="84"/>
      <c r="E236" s="84"/>
      <c r="F236" s="84" t="s">
        <v>217</v>
      </c>
      <c r="G236" s="110"/>
      <c r="H236" s="120">
        <v>0</v>
      </c>
      <c r="I236" s="121">
        <v>0</v>
      </c>
      <c r="J236" s="52"/>
      <c r="K236" s="40">
        <f t="shared" si="4"/>
        <v>0</v>
      </c>
      <c r="L236" s="46" t="e">
        <f t="shared" si="5"/>
        <v>#DIV/0!</v>
      </c>
      <c r="N236" s="62"/>
      <c r="O236" s="62"/>
    </row>
    <row r="237" spans="2:15" s="54" customFormat="1" ht="20.25" x14ac:dyDescent="0.25">
      <c r="B237" s="47">
        <v>224</v>
      </c>
      <c r="C237" s="84"/>
      <c r="D237" s="84"/>
      <c r="E237" s="84"/>
      <c r="F237" s="84" t="s">
        <v>218</v>
      </c>
      <c r="G237" s="110"/>
      <c r="H237" s="120">
        <v>0</v>
      </c>
      <c r="I237" s="121">
        <v>0</v>
      </c>
      <c r="J237" s="52"/>
      <c r="K237" s="40">
        <f t="shared" si="4"/>
        <v>0</v>
      </c>
      <c r="L237" s="46" t="e">
        <f t="shared" si="5"/>
        <v>#DIV/0!</v>
      </c>
      <c r="N237" s="62"/>
      <c r="O237" s="62"/>
    </row>
    <row r="238" spans="2:15" s="54" customFormat="1" ht="20.25" x14ac:dyDescent="0.25">
      <c r="B238" s="47">
        <v>225</v>
      </c>
      <c r="C238" s="84"/>
      <c r="D238" s="84"/>
      <c r="E238" s="84"/>
      <c r="F238" s="84" t="s">
        <v>219</v>
      </c>
      <c r="G238" s="110"/>
      <c r="H238" s="120">
        <v>0</v>
      </c>
      <c r="I238" s="121">
        <v>0</v>
      </c>
      <c r="J238" s="52"/>
      <c r="K238" s="40">
        <f t="shared" ref="K238:K297" si="8">+H238-I238</f>
        <v>0</v>
      </c>
      <c r="L238" s="46" t="e">
        <f t="shared" si="5"/>
        <v>#DIV/0!</v>
      </c>
      <c r="N238" s="62"/>
      <c r="O238" s="62"/>
    </row>
    <row r="239" spans="2:15" s="41" customFormat="1" ht="20.25" x14ac:dyDescent="0.25">
      <c r="B239" s="29">
        <v>226</v>
      </c>
      <c r="C239" s="87"/>
      <c r="D239" s="87"/>
      <c r="E239" s="87" t="s">
        <v>220</v>
      </c>
      <c r="F239" s="87"/>
      <c r="G239" s="95"/>
      <c r="H239" s="117">
        <v>0</v>
      </c>
      <c r="I239" s="118">
        <v>0</v>
      </c>
      <c r="J239" s="40"/>
      <c r="K239" s="40">
        <f t="shared" si="8"/>
        <v>0</v>
      </c>
      <c r="L239" s="46" t="e">
        <f t="shared" si="5"/>
        <v>#DIV/0!</v>
      </c>
      <c r="M239" s="119"/>
      <c r="N239" s="178"/>
      <c r="O239" s="178"/>
    </row>
    <row r="240" spans="2:15" s="54" customFormat="1" ht="20.25" x14ac:dyDescent="0.25">
      <c r="B240" s="47">
        <v>227</v>
      </c>
      <c r="C240" s="84"/>
      <c r="D240" s="84"/>
      <c r="E240" s="84"/>
      <c r="F240" s="84" t="s">
        <v>221</v>
      </c>
      <c r="G240" s="110"/>
      <c r="H240" s="120">
        <v>0</v>
      </c>
      <c r="I240" s="121">
        <v>0</v>
      </c>
      <c r="J240" s="52"/>
      <c r="K240" s="40">
        <f t="shared" si="8"/>
        <v>0</v>
      </c>
      <c r="L240" s="46" t="e">
        <f t="shared" si="5"/>
        <v>#DIV/0!</v>
      </c>
      <c r="N240" s="62"/>
      <c r="O240" s="62"/>
    </row>
    <row r="241" spans="2:15" s="54" customFormat="1" ht="20.25" x14ac:dyDescent="0.25">
      <c r="B241" s="47">
        <v>228</v>
      </c>
      <c r="C241" s="84"/>
      <c r="D241" s="84"/>
      <c r="E241" s="84"/>
      <c r="F241" s="84" t="s">
        <v>222</v>
      </c>
      <c r="G241" s="110"/>
      <c r="H241" s="120">
        <v>0</v>
      </c>
      <c r="I241" s="121">
        <v>0</v>
      </c>
      <c r="J241" s="52"/>
      <c r="K241" s="40">
        <f t="shared" si="8"/>
        <v>0</v>
      </c>
      <c r="L241" s="46" t="e">
        <f t="shared" ref="L241:L244" si="9">+K241/I241*100</f>
        <v>#DIV/0!</v>
      </c>
      <c r="N241" s="62"/>
      <c r="O241" s="62"/>
    </row>
    <row r="242" spans="2:15" s="54" customFormat="1" ht="20.25" x14ac:dyDescent="0.25">
      <c r="B242" s="47">
        <v>229</v>
      </c>
      <c r="C242" s="84"/>
      <c r="D242" s="84"/>
      <c r="E242" s="84"/>
      <c r="F242" s="84" t="s">
        <v>223</v>
      </c>
      <c r="G242" s="110"/>
      <c r="H242" s="120">
        <v>0</v>
      </c>
      <c r="I242" s="121">
        <v>0</v>
      </c>
      <c r="J242" s="52"/>
      <c r="K242" s="40">
        <f t="shared" si="8"/>
        <v>0</v>
      </c>
      <c r="L242" s="46" t="e">
        <f t="shared" si="9"/>
        <v>#DIV/0!</v>
      </c>
      <c r="N242" s="62"/>
      <c r="O242" s="62"/>
    </row>
    <row r="243" spans="2:15" s="54" customFormat="1" ht="20.25" x14ac:dyDescent="0.25">
      <c r="B243" s="47">
        <v>230</v>
      </c>
      <c r="C243" s="84"/>
      <c r="D243" s="84"/>
      <c r="E243" s="84"/>
      <c r="F243" s="84" t="s">
        <v>224</v>
      </c>
      <c r="G243" s="110"/>
      <c r="H243" s="120">
        <v>0</v>
      </c>
      <c r="I243" s="121">
        <v>0</v>
      </c>
      <c r="J243" s="52"/>
      <c r="K243" s="40">
        <f t="shared" si="8"/>
        <v>0</v>
      </c>
      <c r="L243" s="46" t="e">
        <f t="shared" si="9"/>
        <v>#DIV/0!</v>
      </c>
      <c r="N243" s="62"/>
      <c r="O243" s="62"/>
    </row>
    <row r="244" spans="2:15" s="41" customFormat="1" ht="20.25" x14ac:dyDescent="0.25">
      <c r="B244" s="29">
        <v>231</v>
      </c>
      <c r="C244" s="87"/>
      <c r="D244" s="87"/>
      <c r="E244" s="87"/>
      <c r="F244" s="30" t="s">
        <v>225</v>
      </c>
      <c r="G244" s="95"/>
      <c r="H244" s="88">
        <v>37348700000</v>
      </c>
      <c r="I244" s="96">
        <v>36066667825</v>
      </c>
      <c r="J244" s="40"/>
      <c r="K244" s="40">
        <f t="shared" si="8"/>
        <v>1282032175</v>
      </c>
      <c r="L244" s="46">
        <f t="shared" si="9"/>
        <v>3.5546177462819162</v>
      </c>
      <c r="N244" s="178"/>
      <c r="O244" s="178"/>
    </row>
    <row r="245" spans="2:15" s="54" customFormat="1" ht="20.25" x14ac:dyDescent="0.25">
      <c r="B245" s="47">
        <v>232</v>
      </c>
      <c r="C245" s="48"/>
      <c r="D245" s="48"/>
      <c r="E245" s="48"/>
      <c r="F245" s="48"/>
      <c r="G245" s="49"/>
      <c r="H245" s="50"/>
      <c r="I245" s="51"/>
      <c r="J245" s="52"/>
      <c r="K245" s="40"/>
      <c r="L245" s="46"/>
      <c r="N245" s="62"/>
      <c r="O245" s="62"/>
    </row>
    <row r="246" spans="2:15" s="41" customFormat="1" ht="20.25" x14ac:dyDescent="0.25">
      <c r="B246" s="29">
        <v>233</v>
      </c>
      <c r="C246" s="36"/>
      <c r="D246" s="36" t="s">
        <v>226</v>
      </c>
      <c r="E246" s="36"/>
      <c r="F246" s="36"/>
      <c r="G246" s="37"/>
      <c r="H246" s="44"/>
      <c r="I246" s="45"/>
      <c r="K246" s="40"/>
      <c r="L246" s="46"/>
      <c r="N246" s="178"/>
      <c r="O246" s="178"/>
    </row>
    <row r="247" spans="2:15" s="41" customFormat="1" ht="20.25" x14ac:dyDescent="0.25">
      <c r="B247" s="29">
        <v>234</v>
      </c>
      <c r="C247" s="36"/>
      <c r="D247" s="36"/>
      <c r="E247" s="36" t="s">
        <v>227</v>
      </c>
      <c r="F247" s="36"/>
      <c r="G247" s="122"/>
      <c r="H247" s="44">
        <v>0</v>
      </c>
      <c r="I247" s="45">
        <v>0</v>
      </c>
      <c r="J247" s="123"/>
      <c r="K247" s="40">
        <f t="shared" si="8"/>
        <v>0</v>
      </c>
      <c r="L247" s="46" t="e">
        <f t="shared" ref="L247:L297" si="10">+K247/I247*100</f>
        <v>#DIV/0!</v>
      </c>
      <c r="N247" s="178"/>
      <c r="O247" s="178"/>
    </row>
    <row r="248" spans="2:15" s="54" customFormat="1" ht="20.25" x14ac:dyDescent="0.25">
      <c r="B248" s="47">
        <v>235</v>
      </c>
      <c r="C248" s="48"/>
      <c r="D248" s="48"/>
      <c r="E248" s="48"/>
      <c r="F248" s="48" t="s">
        <v>228</v>
      </c>
      <c r="G248" s="69"/>
      <c r="H248" s="50">
        <v>0</v>
      </c>
      <c r="I248" s="51">
        <v>0</v>
      </c>
      <c r="J248" s="124"/>
      <c r="K248" s="40">
        <f t="shared" si="8"/>
        <v>0</v>
      </c>
      <c r="L248" s="46" t="e">
        <f t="shared" si="10"/>
        <v>#DIV/0!</v>
      </c>
      <c r="N248" s="62"/>
      <c r="O248" s="62"/>
    </row>
    <row r="249" spans="2:15" s="54" customFormat="1" ht="20.25" x14ac:dyDescent="0.25">
      <c r="B249" s="47">
        <v>236</v>
      </c>
      <c r="C249" s="48"/>
      <c r="D249" s="48"/>
      <c r="E249" s="48"/>
      <c r="F249" s="48" t="s">
        <v>229</v>
      </c>
      <c r="G249" s="69"/>
      <c r="H249" s="50">
        <v>0</v>
      </c>
      <c r="I249" s="51">
        <v>0</v>
      </c>
      <c r="J249" s="124"/>
      <c r="K249" s="40">
        <f t="shared" si="8"/>
        <v>0</v>
      </c>
      <c r="L249" s="46" t="e">
        <f t="shared" si="10"/>
        <v>#DIV/0!</v>
      </c>
      <c r="N249" s="62"/>
      <c r="O249" s="62"/>
    </row>
    <row r="250" spans="2:15" s="54" customFormat="1" ht="20.25" x14ac:dyDescent="0.25">
      <c r="B250" s="47">
        <v>237</v>
      </c>
      <c r="C250" s="48"/>
      <c r="D250" s="48"/>
      <c r="E250" s="48"/>
      <c r="F250" s="48" t="s">
        <v>230</v>
      </c>
      <c r="G250" s="69"/>
      <c r="H250" s="50">
        <v>0</v>
      </c>
      <c r="I250" s="51">
        <v>0</v>
      </c>
      <c r="J250" s="124"/>
      <c r="K250" s="40">
        <f t="shared" si="8"/>
        <v>0</v>
      </c>
      <c r="L250" s="46" t="e">
        <f t="shared" si="10"/>
        <v>#DIV/0!</v>
      </c>
      <c r="N250" s="62"/>
      <c r="O250" s="62"/>
    </row>
    <row r="251" spans="2:15" s="41" customFormat="1" ht="20.25" x14ac:dyDescent="0.25">
      <c r="B251" s="29">
        <v>238</v>
      </c>
      <c r="C251" s="36"/>
      <c r="D251" s="36"/>
      <c r="E251" s="36" t="s">
        <v>231</v>
      </c>
      <c r="F251" s="36"/>
      <c r="G251" s="37"/>
      <c r="H251" s="44">
        <v>0</v>
      </c>
      <c r="I251" s="45">
        <v>0</v>
      </c>
      <c r="J251" s="123"/>
      <c r="K251" s="40">
        <f t="shared" si="8"/>
        <v>0</v>
      </c>
      <c r="L251" s="46" t="e">
        <f t="shared" si="10"/>
        <v>#DIV/0!</v>
      </c>
      <c r="N251" s="178"/>
      <c r="O251" s="178"/>
    </row>
    <row r="252" spans="2:15" s="54" customFormat="1" ht="20.25" x14ac:dyDescent="0.25">
      <c r="B252" s="47">
        <v>239</v>
      </c>
      <c r="C252" s="48"/>
      <c r="D252" s="48"/>
      <c r="E252" s="36"/>
      <c r="F252" s="48" t="s">
        <v>232</v>
      </c>
      <c r="G252" s="69"/>
      <c r="H252" s="50">
        <v>0</v>
      </c>
      <c r="I252" s="51">
        <v>0</v>
      </c>
      <c r="J252" s="124"/>
      <c r="K252" s="40">
        <f t="shared" si="8"/>
        <v>0</v>
      </c>
      <c r="L252" s="46" t="e">
        <f t="shared" si="10"/>
        <v>#DIV/0!</v>
      </c>
      <c r="N252" s="62"/>
      <c r="O252" s="62"/>
    </row>
    <row r="253" spans="2:15" s="54" customFormat="1" ht="20.25" x14ac:dyDescent="0.25">
      <c r="B253" s="47">
        <v>240</v>
      </c>
      <c r="C253" s="48"/>
      <c r="D253" s="48"/>
      <c r="E253" s="36"/>
      <c r="F253" s="48" t="s">
        <v>233</v>
      </c>
      <c r="G253" s="69"/>
      <c r="H253" s="50">
        <v>0</v>
      </c>
      <c r="I253" s="51">
        <v>0</v>
      </c>
      <c r="J253" s="124"/>
      <c r="K253" s="40">
        <f t="shared" si="8"/>
        <v>0</v>
      </c>
      <c r="L253" s="46" t="e">
        <f t="shared" si="10"/>
        <v>#DIV/0!</v>
      </c>
      <c r="N253" s="62"/>
      <c r="O253" s="62"/>
    </row>
    <row r="254" spans="2:15" s="54" customFormat="1" ht="20.25" x14ac:dyDescent="0.25">
      <c r="B254" s="47">
        <v>241</v>
      </c>
      <c r="C254" s="48"/>
      <c r="D254" s="48"/>
      <c r="E254" s="36"/>
      <c r="F254" s="48" t="s">
        <v>234</v>
      </c>
      <c r="G254" s="69"/>
      <c r="H254" s="50">
        <v>0</v>
      </c>
      <c r="I254" s="51">
        <v>0</v>
      </c>
      <c r="J254" s="124"/>
      <c r="K254" s="40">
        <f t="shared" si="8"/>
        <v>0</v>
      </c>
      <c r="L254" s="46" t="e">
        <f t="shared" si="10"/>
        <v>#DIV/0!</v>
      </c>
      <c r="N254" s="62"/>
      <c r="O254" s="62"/>
    </row>
    <row r="255" spans="2:15" s="41" customFormat="1" ht="20.25" x14ac:dyDescent="0.25">
      <c r="B255" s="29">
        <v>242</v>
      </c>
      <c r="C255" s="36"/>
      <c r="D255" s="36"/>
      <c r="E255" s="36" t="s">
        <v>235</v>
      </c>
      <c r="F255" s="36"/>
      <c r="G255" s="37"/>
      <c r="H255" s="44">
        <v>0</v>
      </c>
      <c r="I255" s="45">
        <v>0</v>
      </c>
      <c r="J255" s="123"/>
      <c r="K255" s="40">
        <f t="shared" si="8"/>
        <v>0</v>
      </c>
      <c r="L255" s="46" t="e">
        <f t="shared" si="10"/>
        <v>#DIV/0!</v>
      </c>
      <c r="N255" s="178"/>
      <c r="O255" s="178"/>
    </row>
    <row r="256" spans="2:15" s="54" customFormat="1" ht="20.25" x14ac:dyDescent="0.25">
      <c r="B256" s="47">
        <v>243</v>
      </c>
      <c r="C256" s="48"/>
      <c r="D256" s="48"/>
      <c r="E256" s="36"/>
      <c r="F256" s="48" t="s">
        <v>236</v>
      </c>
      <c r="G256" s="69"/>
      <c r="H256" s="50">
        <v>0</v>
      </c>
      <c r="I256" s="51">
        <v>0</v>
      </c>
      <c r="J256" s="124"/>
      <c r="K256" s="40">
        <f t="shared" si="8"/>
        <v>0</v>
      </c>
      <c r="L256" s="46" t="e">
        <f t="shared" si="10"/>
        <v>#DIV/0!</v>
      </c>
      <c r="N256" s="62"/>
      <c r="O256" s="62"/>
    </row>
    <row r="257" spans="2:15" s="54" customFormat="1" ht="20.25" x14ac:dyDescent="0.25">
      <c r="B257" s="47">
        <v>244</v>
      </c>
      <c r="C257" s="48"/>
      <c r="D257" s="48"/>
      <c r="E257" s="36"/>
      <c r="F257" s="48" t="s">
        <v>237</v>
      </c>
      <c r="G257" s="69"/>
      <c r="H257" s="50">
        <v>0</v>
      </c>
      <c r="I257" s="51">
        <v>0</v>
      </c>
      <c r="J257" s="124"/>
      <c r="K257" s="40">
        <f t="shared" si="8"/>
        <v>0</v>
      </c>
      <c r="L257" s="46" t="e">
        <f t="shared" si="10"/>
        <v>#DIV/0!</v>
      </c>
      <c r="N257" s="62"/>
      <c r="O257" s="62"/>
    </row>
    <row r="258" spans="2:15" s="54" customFormat="1" ht="20.25" x14ac:dyDescent="0.25">
      <c r="B258" s="47">
        <v>245</v>
      </c>
      <c r="C258" s="48"/>
      <c r="D258" s="48"/>
      <c r="E258" s="36"/>
      <c r="F258" s="48" t="s">
        <v>238</v>
      </c>
      <c r="G258" s="69"/>
      <c r="H258" s="50">
        <v>0</v>
      </c>
      <c r="I258" s="51">
        <v>0</v>
      </c>
      <c r="J258" s="124"/>
      <c r="K258" s="40">
        <f t="shared" si="8"/>
        <v>0</v>
      </c>
      <c r="L258" s="46" t="e">
        <f t="shared" si="10"/>
        <v>#DIV/0!</v>
      </c>
      <c r="N258" s="62"/>
      <c r="O258" s="62"/>
    </row>
    <row r="259" spans="2:15" s="41" customFormat="1" ht="20.25" x14ac:dyDescent="0.25">
      <c r="B259" s="29">
        <v>246</v>
      </c>
      <c r="C259" s="36"/>
      <c r="D259" s="36"/>
      <c r="E259" s="36" t="s">
        <v>239</v>
      </c>
      <c r="F259" s="36"/>
      <c r="G259" s="37"/>
      <c r="H259" s="44">
        <v>0</v>
      </c>
      <c r="I259" s="45">
        <v>0</v>
      </c>
      <c r="J259" s="123"/>
      <c r="K259" s="40">
        <f t="shared" si="8"/>
        <v>0</v>
      </c>
      <c r="L259" s="46" t="e">
        <f t="shared" si="10"/>
        <v>#DIV/0!</v>
      </c>
      <c r="N259" s="178"/>
      <c r="O259" s="178"/>
    </row>
    <row r="260" spans="2:15" s="54" customFormat="1" ht="20.25" x14ac:dyDescent="0.25">
      <c r="B260" s="47">
        <v>247</v>
      </c>
      <c r="C260" s="48"/>
      <c r="D260" s="48"/>
      <c r="E260" s="36"/>
      <c r="F260" s="48" t="s">
        <v>240</v>
      </c>
      <c r="G260" s="69"/>
      <c r="H260" s="50"/>
      <c r="I260" s="51">
        <v>0</v>
      </c>
      <c r="J260" s="124"/>
      <c r="K260" s="40">
        <f t="shared" si="8"/>
        <v>0</v>
      </c>
      <c r="L260" s="46" t="e">
        <f t="shared" si="10"/>
        <v>#DIV/0!</v>
      </c>
      <c r="N260" s="62"/>
      <c r="O260" s="62"/>
    </row>
    <row r="261" spans="2:15" s="41" customFormat="1" ht="20.25" x14ac:dyDescent="0.25">
      <c r="B261" s="29">
        <v>248</v>
      </c>
      <c r="C261" s="36"/>
      <c r="D261" s="36"/>
      <c r="E261" s="36"/>
      <c r="F261" s="30" t="s">
        <v>241</v>
      </c>
      <c r="G261" s="37"/>
      <c r="H261" s="44">
        <v>0</v>
      </c>
      <c r="I261" s="45">
        <v>0</v>
      </c>
      <c r="J261" s="46"/>
      <c r="K261" s="40">
        <f t="shared" si="8"/>
        <v>0</v>
      </c>
      <c r="L261" s="46" t="e">
        <f t="shared" si="10"/>
        <v>#DIV/0!</v>
      </c>
      <c r="N261" s="178"/>
      <c r="O261" s="178"/>
    </row>
    <row r="262" spans="2:15" s="41" customFormat="1" ht="20.25" x14ac:dyDescent="0.25">
      <c r="B262" s="47">
        <v>249</v>
      </c>
      <c r="C262" s="36"/>
      <c r="D262" s="36"/>
      <c r="E262" s="36"/>
      <c r="F262" s="36"/>
      <c r="G262" s="37"/>
      <c r="H262" s="44"/>
      <c r="I262" s="45"/>
      <c r="J262" s="46"/>
      <c r="K262" s="40"/>
      <c r="L262" s="46"/>
      <c r="N262" s="178"/>
      <c r="O262" s="178"/>
    </row>
    <row r="263" spans="2:15" s="41" customFormat="1" ht="20.25" x14ac:dyDescent="0.25">
      <c r="B263" s="29">
        <v>250</v>
      </c>
      <c r="C263" s="87"/>
      <c r="D263" s="87"/>
      <c r="E263" s="87"/>
      <c r="F263" s="30" t="s">
        <v>242</v>
      </c>
      <c r="G263" s="31"/>
      <c r="H263" s="88">
        <v>37348700000</v>
      </c>
      <c r="I263" s="96">
        <v>36066667825</v>
      </c>
      <c r="J263" s="40"/>
      <c r="K263" s="40">
        <f t="shared" si="8"/>
        <v>1282032175</v>
      </c>
      <c r="L263" s="46">
        <f t="shared" si="10"/>
        <v>3.5546177462819162</v>
      </c>
      <c r="N263" s="178"/>
      <c r="O263" s="178"/>
    </row>
    <row r="264" spans="2:15" s="41" customFormat="1" ht="20.25" x14ac:dyDescent="0.25">
      <c r="B264" s="47">
        <v>251</v>
      </c>
      <c r="C264" s="87"/>
      <c r="D264" s="87"/>
      <c r="E264" s="87"/>
      <c r="F264" s="125"/>
      <c r="G264" s="31"/>
      <c r="H264" s="88"/>
      <c r="I264" s="96"/>
      <c r="J264" s="40"/>
      <c r="K264" s="40"/>
      <c r="L264" s="46"/>
      <c r="N264" s="178"/>
      <c r="O264" s="178"/>
    </row>
    <row r="265" spans="2:15" s="41" customFormat="1" ht="20.25" x14ac:dyDescent="0.25">
      <c r="B265" s="47">
        <v>252</v>
      </c>
      <c r="C265" s="36"/>
      <c r="D265" s="36" t="s">
        <v>243</v>
      </c>
      <c r="E265" s="36"/>
      <c r="F265" s="36"/>
      <c r="G265" s="49"/>
      <c r="H265" s="44"/>
      <c r="I265" s="45"/>
      <c r="J265" s="40"/>
      <c r="K265" s="40"/>
      <c r="L265" s="46"/>
      <c r="N265" s="178"/>
      <c r="O265" s="178"/>
    </row>
    <row r="266" spans="2:15" s="41" customFormat="1" ht="20.25" hidden="1" x14ac:dyDescent="0.25">
      <c r="B266" s="47">
        <v>253</v>
      </c>
      <c r="C266" s="36" t="s">
        <v>243</v>
      </c>
      <c r="D266" s="36"/>
      <c r="E266" s="36"/>
      <c r="F266" s="36"/>
      <c r="G266" s="55"/>
      <c r="H266" s="44"/>
      <c r="I266" s="45"/>
      <c r="J266" s="40"/>
      <c r="K266" s="40">
        <f t="shared" si="8"/>
        <v>0</v>
      </c>
      <c r="L266" s="46" t="e">
        <f t="shared" si="10"/>
        <v>#DIV/0!</v>
      </c>
      <c r="N266" s="178"/>
      <c r="O266" s="178"/>
    </row>
    <row r="267" spans="2:15" s="41" customFormat="1" ht="20.25" hidden="1" x14ac:dyDescent="0.25">
      <c r="B267" s="47">
        <v>254</v>
      </c>
      <c r="C267" s="36" t="s">
        <v>243</v>
      </c>
      <c r="D267" s="36" t="s">
        <v>244</v>
      </c>
      <c r="E267" s="36"/>
      <c r="F267" s="36"/>
      <c r="G267" s="55"/>
      <c r="H267" s="126"/>
      <c r="I267" s="127"/>
      <c r="J267" s="40"/>
      <c r="K267" s="40">
        <f t="shared" si="8"/>
        <v>0</v>
      </c>
      <c r="L267" s="46" t="e">
        <f t="shared" si="10"/>
        <v>#DIV/0!</v>
      </c>
      <c r="N267" s="178"/>
      <c r="O267" s="178"/>
    </row>
    <row r="268" spans="2:15" s="54" customFormat="1" ht="20.25" hidden="1" x14ac:dyDescent="0.25">
      <c r="B268" s="47">
        <v>255</v>
      </c>
      <c r="C268" s="36" t="s">
        <v>243</v>
      </c>
      <c r="D268" s="48"/>
      <c r="E268" s="48"/>
      <c r="F268" s="48" t="s">
        <v>245</v>
      </c>
      <c r="G268" s="49"/>
      <c r="H268" s="128" t="s">
        <v>277</v>
      </c>
      <c r="I268" s="129">
        <v>0</v>
      </c>
      <c r="J268" s="52"/>
      <c r="K268" s="40">
        <f t="shared" si="8"/>
        <v>2</v>
      </c>
      <c r="L268" s="46" t="e">
        <f t="shared" si="10"/>
        <v>#DIV/0!</v>
      </c>
      <c r="N268" s="62"/>
      <c r="O268" s="62"/>
    </row>
    <row r="269" spans="2:15" s="54" customFormat="1" ht="20.25" hidden="1" x14ac:dyDescent="0.25">
      <c r="B269" s="47">
        <v>256</v>
      </c>
      <c r="C269" s="36" t="s">
        <v>243</v>
      </c>
      <c r="D269" s="48"/>
      <c r="E269" s="48"/>
      <c r="F269" s="48" t="s">
        <v>246</v>
      </c>
      <c r="G269" s="49"/>
      <c r="H269" s="128">
        <v>0</v>
      </c>
      <c r="I269" s="129">
        <v>0</v>
      </c>
      <c r="J269" s="52"/>
      <c r="K269" s="40">
        <f t="shared" si="8"/>
        <v>0</v>
      </c>
      <c r="L269" s="46" t="e">
        <f t="shared" si="10"/>
        <v>#DIV/0!</v>
      </c>
      <c r="N269" s="62"/>
      <c r="O269" s="62"/>
    </row>
    <row r="270" spans="2:15" s="54" customFormat="1" ht="20.25" hidden="1" x14ac:dyDescent="0.25">
      <c r="B270" s="47">
        <v>257</v>
      </c>
      <c r="C270" s="36" t="s">
        <v>243</v>
      </c>
      <c r="D270" s="48"/>
      <c r="E270" s="48"/>
      <c r="F270" s="48" t="s">
        <v>247</v>
      </c>
      <c r="G270" s="49"/>
      <c r="H270" s="128" t="s">
        <v>277</v>
      </c>
      <c r="I270" s="129">
        <v>0</v>
      </c>
      <c r="J270" s="52"/>
      <c r="K270" s="40">
        <f t="shared" si="8"/>
        <v>2</v>
      </c>
      <c r="L270" s="46" t="e">
        <f t="shared" si="10"/>
        <v>#DIV/0!</v>
      </c>
      <c r="N270" s="62"/>
      <c r="O270" s="62"/>
    </row>
    <row r="271" spans="2:15" s="54" customFormat="1" ht="20.25" hidden="1" customHeight="1" x14ac:dyDescent="0.25">
      <c r="B271" s="47">
        <v>258</v>
      </c>
      <c r="C271" s="36" t="s">
        <v>243</v>
      </c>
      <c r="D271" s="48"/>
      <c r="E271" s="48"/>
      <c r="F271" s="63" t="s">
        <v>248</v>
      </c>
      <c r="G271" s="49"/>
      <c r="H271" s="130" t="s">
        <v>277</v>
      </c>
      <c r="I271" s="131">
        <v>0</v>
      </c>
      <c r="J271" s="52"/>
      <c r="K271" s="40">
        <f t="shared" si="8"/>
        <v>2</v>
      </c>
      <c r="L271" s="46" t="e">
        <f t="shared" si="10"/>
        <v>#DIV/0!</v>
      </c>
      <c r="M271" s="132"/>
      <c r="N271" s="62"/>
      <c r="O271" s="62"/>
    </row>
    <row r="272" spans="2:15" s="54" customFormat="1" ht="20.25" hidden="1" x14ac:dyDescent="0.25">
      <c r="B272" s="47">
        <v>259</v>
      </c>
      <c r="C272" s="36" t="s">
        <v>243</v>
      </c>
      <c r="D272" s="48"/>
      <c r="E272" s="48"/>
      <c r="F272" s="63"/>
      <c r="G272" s="49"/>
      <c r="H272" s="130"/>
      <c r="I272" s="131"/>
      <c r="J272" s="83"/>
      <c r="K272" s="40">
        <f t="shared" si="8"/>
        <v>0</v>
      </c>
      <c r="L272" s="46" t="e">
        <f t="shared" si="10"/>
        <v>#DIV/0!</v>
      </c>
      <c r="N272" s="62"/>
      <c r="O272" s="62"/>
    </row>
    <row r="273" spans="2:15" s="54" customFormat="1" ht="20.25" hidden="1" x14ac:dyDescent="0.25">
      <c r="B273" s="47">
        <v>260</v>
      </c>
      <c r="C273" s="36" t="s">
        <v>243</v>
      </c>
      <c r="D273" s="36" t="s">
        <v>249</v>
      </c>
      <c r="E273" s="48"/>
      <c r="F273" s="63"/>
      <c r="G273" s="49"/>
      <c r="H273" s="130"/>
      <c r="I273" s="131"/>
      <c r="J273" s="82"/>
      <c r="K273" s="40">
        <f t="shared" si="8"/>
        <v>0</v>
      </c>
      <c r="L273" s="46" t="e">
        <f t="shared" si="10"/>
        <v>#DIV/0!</v>
      </c>
      <c r="N273" s="62"/>
      <c r="O273" s="62"/>
    </row>
    <row r="274" spans="2:15" s="54" customFormat="1" ht="20.25" hidden="1" x14ac:dyDescent="0.25">
      <c r="B274" s="47">
        <v>261</v>
      </c>
      <c r="C274" s="36" t="s">
        <v>243</v>
      </c>
      <c r="D274" s="48"/>
      <c r="E274" s="48"/>
      <c r="F274" s="48" t="s">
        <v>250</v>
      </c>
      <c r="G274" s="49"/>
      <c r="H274" s="128" t="s">
        <v>277</v>
      </c>
      <c r="I274" s="129" t="e">
        <v>#REF!</v>
      </c>
      <c r="J274" s="52"/>
      <c r="K274" s="40" t="e">
        <f t="shared" si="8"/>
        <v>#REF!</v>
      </c>
      <c r="L274" s="46" t="e">
        <f t="shared" si="10"/>
        <v>#REF!</v>
      </c>
      <c r="N274" s="62"/>
      <c r="O274" s="62"/>
    </row>
    <row r="275" spans="2:15" s="54" customFormat="1" ht="20.25" hidden="1" x14ac:dyDescent="0.25">
      <c r="B275" s="47">
        <v>262</v>
      </c>
      <c r="C275" s="36" t="s">
        <v>243</v>
      </c>
      <c r="D275" s="48"/>
      <c r="E275" s="48"/>
      <c r="F275" s="48" t="s">
        <v>251</v>
      </c>
      <c r="G275" s="49"/>
      <c r="H275" s="128">
        <v>0</v>
      </c>
      <c r="I275" s="129">
        <v>0</v>
      </c>
      <c r="J275" s="52"/>
      <c r="K275" s="40">
        <f t="shared" si="8"/>
        <v>0</v>
      </c>
      <c r="L275" s="46" t="e">
        <f t="shared" si="10"/>
        <v>#DIV/0!</v>
      </c>
      <c r="N275" s="62"/>
      <c r="O275" s="62"/>
    </row>
    <row r="276" spans="2:15" s="54" customFormat="1" ht="20.25" hidden="1" x14ac:dyDescent="0.25">
      <c r="B276" s="47">
        <v>263</v>
      </c>
      <c r="C276" s="36" t="s">
        <v>243</v>
      </c>
      <c r="D276" s="48"/>
      <c r="E276" s="48"/>
      <c r="F276" s="48" t="s">
        <v>252</v>
      </c>
      <c r="G276" s="49"/>
      <c r="H276" s="128" t="s">
        <v>278</v>
      </c>
      <c r="I276" s="129">
        <v>0</v>
      </c>
      <c r="J276" s="52"/>
      <c r="K276" s="40">
        <f t="shared" si="8"/>
        <v>3</v>
      </c>
      <c r="L276" s="46" t="e">
        <f t="shared" si="10"/>
        <v>#DIV/0!</v>
      </c>
      <c r="N276" s="62"/>
      <c r="O276" s="62"/>
    </row>
    <row r="277" spans="2:15" s="54" customFormat="1" ht="20.25" hidden="1" x14ac:dyDescent="0.25">
      <c r="B277" s="47">
        <v>264</v>
      </c>
      <c r="C277" s="36" t="s">
        <v>243</v>
      </c>
      <c r="D277" s="48"/>
      <c r="E277" s="48"/>
      <c r="F277" s="133"/>
      <c r="G277" s="49"/>
      <c r="H277" s="128"/>
      <c r="I277" s="129"/>
      <c r="J277" s="52"/>
      <c r="K277" s="40">
        <f t="shared" si="8"/>
        <v>0</v>
      </c>
      <c r="L277" s="46" t="e">
        <f t="shared" si="10"/>
        <v>#DIV/0!</v>
      </c>
      <c r="N277" s="62"/>
      <c r="O277" s="62"/>
    </row>
    <row r="278" spans="2:15" s="54" customFormat="1" ht="20.25" hidden="1" x14ac:dyDescent="0.25">
      <c r="B278" s="47">
        <v>265</v>
      </c>
      <c r="C278" s="36" t="s">
        <v>243</v>
      </c>
      <c r="D278" s="36" t="s">
        <v>253</v>
      </c>
      <c r="E278" s="48"/>
      <c r="F278" s="133"/>
      <c r="G278" s="49"/>
      <c r="H278" s="128"/>
      <c r="I278" s="129"/>
      <c r="J278" s="52"/>
      <c r="K278" s="40">
        <f t="shared" si="8"/>
        <v>0</v>
      </c>
      <c r="L278" s="46" t="e">
        <f t="shared" si="10"/>
        <v>#DIV/0!</v>
      </c>
      <c r="N278" s="62"/>
      <c r="O278" s="62"/>
    </row>
    <row r="279" spans="2:15" s="54" customFormat="1" ht="20.25" hidden="1" x14ac:dyDescent="0.25">
      <c r="B279" s="47">
        <v>266</v>
      </c>
      <c r="C279" s="36" t="s">
        <v>243</v>
      </c>
      <c r="D279" s="48"/>
      <c r="E279" s="48"/>
      <c r="F279" s="133" t="s">
        <v>254</v>
      </c>
      <c r="G279" s="49"/>
      <c r="H279" s="128" t="s">
        <v>278</v>
      </c>
      <c r="I279" s="129">
        <v>0</v>
      </c>
      <c r="J279" s="52"/>
      <c r="K279" s="40">
        <f t="shared" si="8"/>
        <v>3</v>
      </c>
      <c r="L279" s="46" t="e">
        <f t="shared" si="10"/>
        <v>#DIV/0!</v>
      </c>
      <c r="N279" s="62"/>
      <c r="O279" s="62"/>
    </row>
    <row r="280" spans="2:15" s="54" customFormat="1" ht="20.25" hidden="1" x14ac:dyDescent="0.25">
      <c r="B280" s="47">
        <v>267</v>
      </c>
      <c r="C280" s="36" t="s">
        <v>243</v>
      </c>
      <c r="D280" s="48"/>
      <c r="E280" s="48"/>
      <c r="F280" s="48" t="s">
        <v>255</v>
      </c>
      <c r="G280" s="49"/>
      <c r="H280" s="50" t="s">
        <v>278</v>
      </c>
      <c r="I280" s="51">
        <v>0</v>
      </c>
      <c r="J280" s="52"/>
      <c r="K280" s="40">
        <f t="shared" si="8"/>
        <v>3</v>
      </c>
      <c r="L280" s="46" t="e">
        <f t="shared" si="10"/>
        <v>#DIV/0!</v>
      </c>
      <c r="N280" s="62"/>
      <c r="O280" s="62"/>
    </row>
    <row r="281" spans="2:15" s="54" customFormat="1" ht="20.25" hidden="1" x14ac:dyDescent="0.25">
      <c r="B281" s="47">
        <v>268</v>
      </c>
      <c r="C281" s="36" t="s">
        <v>243</v>
      </c>
      <c r="D281" s="48"/>
      <c r="E281" s="48"/>
      <c r="F281" s="48" t="s">
        <v>256</v>
      </c>
      <c r="G281" s="49"/>
      <c r="H281" s="134" t="s">
        <v>278</v>
      </c>
      <c r="I281" s="135">
        <v>0</v>
      </c>
      <c r="J281" s="83"/>
      <c r="K281" s="40">
        <f t="shared" si="8"/>
        <v>3</v>
      </c>
      <c r="L281" s="46" t="e">
        <f t="shared" si="10"/>
        <v>#DIV/0!</v>
      </c>
      <c r="N281" s="62"/>
      <c r="O281" s="62"/>
    </row>
    <row r="282" spans="2:15" s="54" customFormat="1" ht="20.25" hidden="1" x14ac:dyDescent="0.25">
      <c r="B282" s="47">
        <v>269</v>
      </c>
      <c r="C282" s="36" t="s">
        <v>243</v>
      </c>
      <c r="D282" s="48"/>
      <c r="E282" s="48"/>
      <c r="F282" s="48"/>
      <c r="G282" s="49"/>
      <c r="H282" s="134"/>
      <c r="I282" s="135"/>
      <c r="J282" s="83"/>
      <c r="K282" s="40">
        <f t="shared" si="8"/>
        <v>0</v>
      </c>
      <c r="L282" s="46" t="e">
        <f t="shared" si="10"/>
        <v>#DIV/0!</v>
      </c>
      <c r="N282" s="62"/>
      <c r="O282" s="62"/>
    </row>
    <row r="283" spans="2:15" s="41" customFormat="1" ht="20.25" hidden="1" x14ac:dyDescent="0.25">
      <c r="B283" s="47">
        <v>270</v>
      </c>
      <c r="C283" s="36" t="s">
        <v>243</v>
      </c>
      <c r="D283" s="36" t="s">
        <v>257</v>
      </c>
      <c r="E283" s="36"/>
      <c r="F283" s="36"/>
      <c r="G283" s="55"/>
      <c r="H283" s="136"/>
      <c r="I283" s="118"/>
      <c r="J283" s="82"/>
      <c r="K283" s="40">
        <f t="shared" si="8"/>
        <v>0</v>
      </c>
      <c r="L283" s="46" t="e">
        <f t="shared" si="10"/>
        <v>#DIV/0!</v>
      </c>
      <c r="N283" s="178"/>
      <c r="O283" s="178"/>
    </row>
    <row r="284" spans="2:15" s="41" customFormat="1" ht="20.25" hidden="1" x14ac:dyDescent="0.25">
      <c r="B284" s="47">
        <v>271</v>
      </c>
      <c r="C284" s="36" t="s">
        <v>243</v>
      </c>
      <c r="D284" s="36" t="s">
        <v>258</v>
      </c>
      <c r="E284" s="36"/>
      <c r="F284" s="137"/>
      <c r="G284" s="55"/>
      <c r="H284" s="44"/>
      <c r="I284" s="45"/>
      <c r="J284" s="82"/>
      <c r="K284" s="40">
        <f t="shared" si="8"/>
        <v>0</v>
      </c>
      <c r="L284" s="46" t="e">
        <f t="shared" si="10"/>
        <v>#DIV/0!</v>
      </c>
      <c r="N284" s="178"/>
      <c r="O284" s="178"/>
    </row>
    <row r="285" spans="2:15" s="41" customFormat="1" ht="20.25" x14ac:dyDescent="0.25">
      <c r="B285" s="47">
        <v>272</v>
      </c>
      <c r="D285" s="36"/>
      <c r="E285" s="36" t="s">
        <v>243</v>
      </c>
      <c r="F285" s="137"/>
      <c r="G285" s="138"/>
      <c r="H285" s="44">
        <v>13393734304645.9</v>
      </c>
      <c r="I285" s="45">
        <v>12908728695345.18</v>
      </c>
      <c r="J285" s="82"/>
      <c r="K285" s="40">
        <f t="shared" si="8"/>
        <v>485005609300.7207</v>
      </c>
      <c r="L285" s="46">
        <f t="shared" si="10"/>
        <v>3.7571911281674946</v>
      </c>
      <c r="N285" s="178"/>
      <c r="O285" s="178"/>
    </row>
    <row r="286" spans="2:15" s="54" customFormat="1" ht="20.25" x14ac:dyDescent="0.25">
      <c r="B286" s="47">
        <v>273</v>
      </c>
      <c r="D286" s="48"/>
      <c r="E286" s="48"/>
      <c r="F286" s="48" t="s">
        <v>259</v>
      </c>
      <c r="G286" s="139"/>
      <c r="H286" s="50">
        <v>1399397452250.2495</v>
      </c>
      <c r="I286" s="51">
        <v>1817591944804.48</v>
      </c>
      <c r="J286" s="83"/>
      <c r="K286" s="52">
        <f t="shared" si="8"/>
        <v>-418194492554.23047</v>
      </c>
      <c r="L286" s="140">
        <f t="shared" si="10"/>
        <v>-23.008161636588682</v>
      </c>
      <c r="N286" s="62"/>
      <c r="O286" s="62"/>
    </row>
    <row r="287" spans="2:15" s="54" customFormat="1" ht="20.25" x14ac:dyDescent="0.25">
      <c r="B287" s="47">
        <v>274</v>
      </c>
      <c r="C287" s="48"/>
      <c r="D287" s="48"/>
      <c r="E287" s="48"/>
      <c r="F287" s="63" t="s">
        <v>260</v>
      </c>
      <c r="G287" s="139"/>
      <c r="H287" s="50">
        <v>11994336852395.65</v>
      </c>
      <c r="I287" s="51">
        <v>11091136750540.699</v>
      </c>
      <c r="J287" s="83"/>
      <c r="K287" s="52">
        <f t="shared" si="8"/>
        <v>903200101854.95117</v>
      </c>
      <c r="L287" s="140">
        <f t="shared" si="10"/>
        <v>8.1434403178819306</v>
      </c>
      <c r="N287" s="62"/>
      <c r="O287" s="62"/>
    </row>
    <row r="288" spans="2:15" s="41" customFormat="1" ht="20.25" x14ac:dyDescent="0.25">
      <c r="B288" s="47">
        <v>275</v>
      </c>
      <c r="C288" s="36"/>
      <c r="D288" s="36"/>
      <c r="E288" s="36" t="s">
        <v>261</v>
      </c>
      <c r="F288" s="137"/>
      <c r="G288" s="141"/>
      <c r="H288" s="44">
        <v>0</v>
      </c>
      <c r="I288" s="45">
        <v>0</v>
      </c>
      <c r="J288" s="82"/>
      <c r="K288" s="40">
        <f t="shared" si="8"/>
        <v>0</v>
      </c>
      <c r="L288" s="46" t="e">
        <f t="shared" si="10"/>
        <v>#DIV/0!</v>
      </c>
      <c r="N288" s="178"/>
      <c r="O288" s="178"/>
    </row>
    <row r="289" spans="2:15" s="54" customFormat="1" ht="20.25" x14ac:dyDescent="0.25">
      <c r="B289" s="47">
        <v>276</v>
      </c>
      <c r="C289" s="48"/>
      <c r="D289" s="48"/>
      <c r="E289" s="48"/>
      <c r="F289" s="63" t="s">
        <v>262</v>
      </c>
      <c r="G289" s="139"/>
      <c r="H289" s="50">
        <v>0</v>
      </c>
      <c r="I289" s="51">
        <v>0</v>
      </c>
      <c r="J289" s="83"/>
      <c r="K289" s="52">
        <f t="shared" si="8"/>
        <v>0</v>
      </c>
      <c r="L289" s="140" t="e">
        <f t="shared" si="10"/>
        <v>#DIV/0!</v>
      </c>
      <c r="N289" s="62"/>
      <c r="O289" s="62"/>
    </row>
    <row r="290" spans="2:15" s="54" customFormat="1" ht="20.25" x14ac:dyDescent="0.25">
      <c r="B290" s="47">
        <v>277</v>
      </c>
      <c r="C290" s="48"/>
      <c r="D290" s="48"/>
      <c r="E290" s="48"/>
      <c r="F290" s="63" t="s">
        <v>263</v>
      </c>
      <c r="G290" s="139"/>
      <c r="H290" s="50">
        <v>0</v>
      </c>
      <c r="I290" s="51">
        <v>0</v>
      </c>
      <c r="J290" s="83"/>
      <c r="K290" s="52">
        <f t="shared" si="8"/>
        <v>0</v>
      </c>
      <c r="L290" s="140" t="e">
        <f t="shared" si="10"/>
        <v>#DIV/0!</v>
      </c>
      <c r="N290" s="62"/>
      <c r="O290" s="62"/>
    </row>
    <row r="291" spans="2:15" s="54" customFormat="1" ht="20.25" x14ac:dyDescent="0.25">
      <c r="B291" s="47">
        <v>278</v>
      </c>
      <c r="C291" s="48"/>
      <c r="D291" s="48"/>
      <c r="E291" s="48"/>
      <c r="F291" s="63" t="s">
        <v>264</v>
      </c>
      <c r="G291" s="139"/>
      <c r="H291" s="50">
        <v>0</v>
      </c>
      <c r="I291" s="51">
        <v>0</v>
      </c>
      <c r="J291" s="83"/>
      <c r="K291" s="52">
        <f t="shared" si="8"/>
        <v>0</v>
      </c>
      <c r="L291" s="140" t="e">
        <f t="shared" si="10"/>
        <v>#DIV/0!</v>
      </c>
      <c r="N291" s="62"/>
      <c r="O291" s="62"/>
    </row>
    <row r="292" spans="2:15" s="54" customFormat="1" ht="20.25" x14ac:dyDescent="0.25">
      <c r="B292" s="47">
        <v>279</v>
      </c>
      <c r="C292" s="48"/>
      <c r="D292" s="48"/>
      <c r="E292" s="48"/>
      <c r="F292" s="63" t="s">
        <v>265</v>
      </c>
      <c r="G292" s="139"/>
      <c r="H292" s="50">
        <v>0</v>
      </c>
      <c r="I292" s="51">
        <v>0</v>
      </c>
      <c r="J292" s="83"/>
      <c r="K292" s="52">
        <f t="shared" si="8"/>
        <v>0</v>
      </c>
      <c r="L292" s="140" t="e">
        <f t="shared" si="10"/>
        <v>#DIV/0!</v>
      </c>
      <c r="N292" s="62"/>
      <c r="O292" s="62"/>
    </row>
    <row r="293" spans="2:15" s="54" customFormat="1" ht="20.25" x14ac:dyDescent="0.25">
      <c r="B293" s="47">
        <v>280</v>
      </c>
      <c r="C293" s="48"/>
      <c r="D293" s="48"/>
      <c r="E293" s="48"/>
      <c r="F293" s="63" t="s">
        <v>266</v>
      </c>
      <c r="G293" s="139"/>
      <c r="H293" s="50">
        <v>0</v>
      </c>
      <c r="I293" s="51">
        <v>0</v>
      </c>
      <c r="J293" s="83"/>
      <c r="K293" s="52">
        <f t="shared" si="8"/>
        <v>0</v>
      </c>
      <c r="L293" s="140" t="e">
        <f t="shared" si="10"/>
        <v>#DIV/0!</v>
      </c>
      <c r="N293" s="62"/>
      <c r="O293" s="62"/>
    </row>
    <row r="294" spans="2:15" s="54" customFormat="1" ht="20.25" x14ac:dyDescent="0.25">
      <c r="B294" s="47">
        <v>281</v>
      </c>
      <c r="C294" s="48"/>
      <c r="D294" s="48"/>
      <c r="E294" s="48"/>
      <c r="F294" s="63" t="s">
        <v>267</v>
      </c>
      <c r="G294" s="139"/>
      <c r="H294" s="50">
        <v>0</v>
      </c>
      <c r="I294" s="51">
        <v>0</v>
      </c>
      <c r="J294" s="83"/>
      <c r="K294" s="52">
        <f t="shared" si="8"/>
        <v>0</v>
      </c>
      <c r="L294" s="140" t="e">
        <f t="shared" si="10"/>
        <v>#DIV/0!</v>
      </c>
      <c r="N294" s="62"/>
      <c r="O294" s="62"/>
    </row>
    <row r="295" spans="2:15" s="41" customFormat="1" ht="20.25" x14ac:dyDescent="0.25">
      <c r="B295" s="47">
        <v>282</v>
      </c>
      <c r="C295" s="36"/>
      <c r="D295" s="36"/>
      <c r="E295" s="36" t="s">
        <v>268</v>
      </c>
      <c r="F295" s="137"/>
      <c r="G295" s="141"/>
      <c r="H295" s="44">
        <v>-11615718722747</v>
      </c>
      <c r="I295" s="45">
        <v>-10958368352461</v>
      </c>
      <c r="J295" s="82"/>
      <c r="K295" s="40">
        <f t="shared" si="8"/>
        <v>-657350370286</v>
      </c>
      <c r="L295" s="46">
        <f t="shared" si="10"/>
        <v>5.9986153881966748</v>
      </c>
      <c r="N295" s="178"/>
      <c r="O295" s="178"/>
    </row>
    <row r="296" spans="2:15" s="54" customFormat="1" ht="20.25" x14ac:dyDescent="0.25">
      <c r="B296" s="47">
        <v>283</v>
      </c>
      <c r="C296" s="48"/>
      <c r="D296" s="48"/>
      <c r="E296" s="48"/>
      <c r="F296" s="63" t="s">
        <v>269</v>
      </c>
      <c r="G296" s="139"/>
      <c r="H296" s="50">
        <v>-11615718722747</v>
      </c>
      <c r="I296" s="51">
        <v>-10958368352461</v>
      </c>
      <c r="J296" s="83"/>
      <c r="K296" s="52">
        <f t="shared" si="8"/>
        <v>-657350370286</v>
      </c>
      <c r="L296" s="140">
        <f t="shared" si="10"/>
        <v>5.9986153881966748</v>
      </c>
      <c r="N296" s="62"/>
      <c r="O296" s="62"/>
    </row>
    <row r="297" spans="2:15" s="41" customFormat="1" ht="20.25" x14ac:dyDescent="0.25">
      <c r="B297" s="47">
        <v>284</v>
      </c>
      <c r="C297" s="36"/>
      <c r="D297" s="36"/>
      <c r="E297" s="36"/>
      <c r="F297" s="65" t="s">
        <v>270</v>
      </c>
      <c r="G297" s="37"/>
      <c r="H297" s="56">
        <v>1778015581898.9004</v>
      </c>
      <c r="I297" s="45">
        <v>1950360342884.1797</v>
      </c>
      <c r="J297" s="40"/>
      <c r="K297" s="40">
        <f t="shared" si="8"/>
        <v>-172344760985.2793</v>
      </c>
      <c r="L297" s="46">
        <f t="shared" si="10"/>
        <v>-8.8365599523223004</v>
      </c>
      <c r="N297" s="178"/>
      <c r="O297" s="178"/>
    </row>
    <row r="298" spans="2:15" s="54" customFormat="1" ht="20.25" x14ac:dyDescent="0.25">
      <c r="B298" s="47">
        <v>285</v>
      </c>
      <c r="C298" s="48"/>
      <c r="D298" s="48"/>
      <c r="E298" s="48"/>
      <c r="F298" s="142"/>
      <c r="G298" s="69"/>
      <c r="H298" s="143"/>
      <c r="I298" s="51"/>
      <c r="J298" s="52"/>
      <c r="K298" s="40"/>
      <c r="L298" s="46"/>
      <c r="N298" s="62"/>
      <c r="O298" s="62"/>
    </row>
    <row r="299" spans="2:15" s="41" customFormat="1" ht="21" thickBot="1" x14ac:dyDescent="0.3">
      <c r="B299" s="47">
        <v>286</v>
      </c>
      <c r="C299" s="144"/>
      <c r="D299" s="144"/>
      <c r="E299" s="144"/>
      <c r="F299" s="145" t="s">
        <v>271</v>
      </c>
      <c r="G299" s="146"/>
      <c r="H299" s="147">
        <v>1815364281898.9004</v>
      </c>
      <c r="I299" s="148">
        <v>1986427010709.1797</v>
      </c>
      <c r="J299" s="40"/>
      <c r="K299" s="40">
        <f t="shared" ref="K299" si="11">+H299-I299</f>
        <v>-171062728810.2793</v>
      </c>
      <c r="L299" s="46">
        <f t="shared" ref="L299" si="12">+K299/I299*100</f>
        <v>-8.6115788744338371</v>
      </c>
      <c r="N299" s="178"/>
      <c r="O299" s="178"/>
    </row>
    <row r="300" spans="2:15" s="12" customFormat="1" ht="21.75" thickTop="1" x14ac:dyDescent="0.25">
      <c r="B300" s="149" t="s">
        <v>272</v>
      </c>
      <c r="D300" s="150"/>
      <c r="F300" s="149"/>
      <c r="G300" s="149"/>
      <c r="H300" s="151">
        <f>H299-H189</f>
        <v>0</v>
      </c>
      <c r="I300" s="152">
        <f>I299-I189</f>
        <v>0</v>
      </c>
      <c r="J300" s="153"/>
      <c r="K300" s="154">
        <f>I299-[1]NERACA!H6771</f>
        <v>0</v>
      </c>
      <c r="N300" s="174"/>
      <c r="O300" s="174"/>
    </row>
    <row r="301" spans="2:15" s="12" customFormat="1" ht="21" x14ac:dyDescent="0.25">
      <c r="B301" s="11"/>
      <c r="D301" s="150"/>
      <c r="E301" s="155"/>
      <c r="F301" s="155"/>
      <c r="G301" s="155"/>
      <c r="H301" s="156"/>
      <c r="I301" s="157"/>
      <c r="J301" s="158"/>
      <c r="N301" s="174"/>
      <c r="O301" s="174"/>
    </row>
    <row r="302" spans="2:15" s="12" customFormat="1" ht="21" x14ac:dyDescent="0.25">
      <c r="B302" s="11"/>
      <c r="D302" s="150"/>
      <c r="E302" s="155"/>
      <c r="F302" s="155"/>
      <c r="G302" s="155"/>
      <c r="H302" s="159">
        <f>+H299-H189</f>
        <v>0</v>
      </c>
      <c r="I302" s="160"/>
      <c r="J302" s="153"/>
      <c r="K302" s="13"/>
      <c r="N302" s="174"/>
      <c r="O302" s="174"/>
    </row>
    <row r="303" spans="2:15" s="12" customFormat="1" ht="22.5" x14ac:dyDescent="0.25">
      <c r="B303" s="11"/>
      <c r="H303" s="184" t="s">
        <v>273</v>
      </c>
      <c r="I303" s="184"/>
      <c r="J303" s="20"/>
      <c r="K303" s="161"/>
      <c r="N303" s="174"/>
      <c r="O303" s="174"/>
    </row>
    <row r="304" spans="2:15" s="12" customFormat="1" ht="22.5" x14ac:dyDescent="0.25">
      <c r="B304" s="11"/>
      <c r="H304" s="184" t="s">
        <v>274</v>
      </c>
      <c r="I304" s="184"/>
      <c r="J304" s="20"/>
      <c r="K304" s="162"/>
      <c r="N304" s="174"/>
      <c r="O304" s="174"/>
    </row>
    <row r="305" spans="2:15" s="12" customFormat="1" ht="22.5" x14ac:dyDescent="0.25">
      <c r="B305" s="11"/>
      <c r="H305" s="163"/>
      <c r="I305" s="163"/>
      <c r="J305" s="164"/>
      <c r="K305" s="13"/>
      <c r="N305" s="174"/>
      <c r="O305" s="174"/>
    </row>
    <row r="306" spans="2:15" s="12" customFormat="1" ht="22.5" x14ac:dyDescent="0.25">
      <c r="B306" s="11"/>
      <c r="H306" s="165"/>
      <c r="I306" s="7"/>
      <c r="J306" s="20"/>
      <c r="K306" s="162"/>
      <c r="N306" s="174"/>
      <c r="O306" s="174"/>
    </row>
    <row r="307" spans="2:15" s="12" customFormat="1" ht="23.25" x14ac:dyDescent="0.25">
      <c r="B307" s="11"/>
      <c r="H307" s="166"/>
      <c r="I307" s="7"/>
      <c r="J307" s="21"/>
      <c r="K307" s="13"/>
      <c r="N307" s="174"/>
      <c r="O307" s="174"/>
    </row>
    <row r="308" spans="2:15" s="12" customFormat="1" ht="22.5" x14ac:dyDescent="0.25">
      <c r="B308" s="11"/>
      <c r="H308" s="185" t="s">
        <v>275</v>
      </c>
      <c r="I308" s="185"/>
      <c r="J308" s="20"/>
      <c r="K308" s="13"/>
      <c r="N308" s="174"/>
      <c r="O308" s="174"/>
    </row>
    <row r="309" spans="2:15" ht="26.25" x14ac:dyDescent="0.25">
      <c r="H309" s="186" t="s">
        <v>276</v>
      </c>
      <c r="I309" s="186"/>
      <c r="K309" s="167"/>
    </row>
    <row r="311" spans="2:15" ht="23.25" x14ac:dyDescent="0.25">
      <c r="H311" s="168">
        <f>H189</f>
        <v>1815364281898.8999</v>
      </c>
      <c r="I311" s="168">
        <f>I189</f>
        <v>1986427010709.1799</v>
      </c>
      <c r="K311" s="169"/>
    </row>
    <row r="312" spans="2:15" x14ac:dyDescent="0.25">
      <c r="H312" s="168">
        <f>H299</f>
        <v>1815364281898.9004</v>
      </c>
      <c r="I312" s="168">
        <f>I299</f>
        <v>1986427010709.1797</v>
      </c>
      <c r="K312" s="5"/>
    </row>
    <row r="313" spans="2:15" x14ac:dyDescent="0.25">
      <c r="H313" s="168">
        <f>H311-H312</f>
        <v>0</v>
      </c>
      <c r="I313" s="168">
        <f>I311-I312</f>
        <v>0</v>
      </c>
      <c r="K313" s="5"/>
    </row>
    <row r="314" spans="2:15" x14ac:dyDescent="0.25">
      <c r="K314" s="5"/>
    </row>
    <row r="315" spans="2:15" ht="18.75" x14ac:dyDescent="0.25">
      <c r="K315" s="170"/>
    </row>
    <row r="316" spans="2:15" ht="26.25" x14ac:dyDescent="0.25">
      <c r="K316" s="167"/>
    </row>
    <row r="317" spans="2:15" ht="26.25" x14ac:dyDescent="0.25">
      <c r="K317" s="171"/>
    </row>
    <row r="318" spans="2:15" ht="26.25" x14ac:dyDescent="0.25">
      <c r="K318" s="167"/>
    </row>
  </sheetData>
  <mergeCells count="11">
    <mergeCell ref="C12:F12"/>
    <mergeCell ref="D5:I5"/>
    <mergeCell ref="B7:I7"/>
    <mergeCell ref="B8:I8"/>
    <mergeCell ref="B9:I9"/>
    <mergeCell ref="B10:I10"/>
    <mergeCell ref="C13:F13"/>
    <mergeCell ref="H303:I303"/>
    <mergeCell ref="H304:I304"/>
    <mergeCell ref="H308:I308"/>
    <mergeCell ref="H309:I309"/>
  </mergeCells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D25" sqref="D25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eko</dc:creator>
  <cp:lastModifiedBy>DELL Optiplek 3070</cp:lastModifiedBy>
  <dcterms:created xsi:type="dcterms:W3CDTF">2022-10-05T03:27:27Z</dcterms:created>
  <dcterms:modified xsi:type="dcterms:W3CDTF">2022-10-05T07:14:27Z</dcterms:modified>
</cp:coreProperties>
</file>