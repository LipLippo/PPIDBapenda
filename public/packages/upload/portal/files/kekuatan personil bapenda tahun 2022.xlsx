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4CC927A-9D32-4E2C-9F44-BF0049F89F0B}" xr6:coauthVersionLast="45" xr6:coauthVersionMax="45" xr10:uidLastSave="{00000000-0000-0000-0000-000000000000}"/>
  <bookViews>
    <workbookView xWindow="-120" yWindow="-120" windowWidth="20730" windowHeight="11040" tabRatio="973" xr2:uid="{00000000-000D-0000-FFFF-FFFF00000000}"/>
  </bookViews>
  <sheets>
    <sheet name="MEI" sheetId="141" r:id="rId1"/>
    <sheet name="APRIL" sheetId="140" r:id="rId2"/>
    <sheet name="MARET" sheetId="139" r:id="rId3"/>
    <sheet name="FEBRUARI" sheetId="138" r:id="rId4"/>
    <sheet name="JANUARI" sheetId="137" r:id="rId5"/>
    <sheet name="JABATAN YANG KOSONG" sheetId="133" r:id="rId6"/>
  </sheets>
  <definedNames>
    <definedName name="_xlnm._FilterDatabase" localSheetId="1" hidden="1">APRIL!#REF!</definedName>
    <definedName name="_xlnm._FilterDatabase" localSheetId="3" hidden="1">FEBRUARI!#REF!</definedName>
    <definedName name="_xlnm._FilterDatabase" localSheetId="4" hidden="1">JANUARI!#REF!</definedName>
    <definedName name="_xlnm._FilterDatabase" localSheetId="2" hidden="1">MARET!#REF!</definedName>
    <definedName name="_xlnm._FilterDatabase" localSheetId="0" hidden="1">MEI!#REF!</definedName>
    <definedName name="_xlnm.Print_Area" localSheetId="1">APRIL!$A$1:$Z$55</definedName>
    <definedName name="_xlnm.Print_Area" localSheetId="3">FEBRUARI!$A$1:$Z$55</definedName>
    <definedName name="_xlnm.Print_Area" localSheetId="4">JANUARI!$A$1:$Z$55</definedName>
    <definedName name="_xlnm.Print_Area" localSheetId="2">MARET!$A$1:$Z$55</definedName>
    <definedName name="_xlnm.Print_Area" localSheetId="0">MEI!$A$1:$Z$55</definedName>
    <definedName name="_xlnm.Print_Titles" localSheetId="1">APRIL!$1:$12</definedName>
    <definedName name="_xlnm.Print_Titles" localSheetId="3">FEBRUARI!$1:$12</definedName>
    <definedName name="_xlnm.Print_Titles" localSheetId="4">JANUARI!$1:$12</definedName>
    <definedName name="_xlnm.Print_Titles" localSheetId="2">MARET!$1:$12</definedName>
    <definedName name="_xlnm.Print_Titles" localSheetId="0">MEI!$1:$12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5" i="141" l="1"/>
  <c r="U55" i="141"/>
  <c r="S55" i="141"/>
  <c r="R55" i="141"/>
  <c r="P55" i="141"/>
  <c r="O55" i="141"/>
  <c r="M55" i="141"/>
  <c r="K83" i="141" s="1"/>
  <c r="L55" i="141"/>
  <c r="J55" i="141"/>
  <c r="I55" i="141"/>
  <c r="G55" i="141"/>
  <c r="F55" i="141"/>
  <c r="C83" i="141" s="1"/>
  <c r="E55" i="141"/>
  <c r="X54" i="141"/>
  <c r="W54" i="141"/>
  <c r="T54" i="141"/>
  <c r="Q54" i="141"/>
  <c r="N54" i="141"/>
  <c r="K54" i="141"/>
  <c r="H54" i="141"/>
  <c r="X53" i="141"/>
  <c r="W53" i="141"/>
  <c r="T53" i="141"/>
  <c r="Q53" i="141"/>
  <c r="N53" i="141"/>
  <c r="Y53" i="141" s="1"/>
  <c r="K53" i="141"/>
  <c r="H53" i="141"/>
  <c r="X52" i="141"/>
  <c r="W52" i="141"/>
  <c r="T52" i="141"/>
  <c r="Q52" i="141"/>
  <c r="N52" i="141"/>
  <c r="Y52" i="141" s="1"/>
  <c r="K52" i="141"/>
  <c r="H52" i="141"/>
  <c r="X51" i="141"/>
  <c r="W51" i="141"/>
  <c r="T51" i="141"/>
  <c r="Q51" i="141"/>
  <c r="N51" i="141"/>
  <c r="K51" i="141"/>
  <c r="H51" i="141"/>
  <c r="X50" i="141"/>
  <c r="W50" i="141"/>
  <c r="T50" i="141"/>
  <c r="Q50" i="141"/>
  <c r="N50" i="141"/>
  <c r="Y50" i="141" s="1"/>
  <c r="K50" i="141"/>
  <c r="H50" i="141"/>
  <c r="X49" i="141"/>
  <c r="W49" i="141"/>
  <c r="T49" i="141"/>
  <c r="Q49" i="141"/>
  <c r="N49" i="141"/>
  <c r="K49" i="141"/>
  <c r="H49" i="141"/>
  <c r="X48" i="141"/>
  <c r="W48" i="141"/>
  <c r="T48" i="141"/>
  <c r="Q48" i="141"/>
  <c r="N48" i="141"/>
  <c r="K48" i="141"/>
  <c r="H48" i="141"/>
  <c r="X47" i="141"/>
  <c r="W47" i="141"/>
  <c r="T47" i="141"/>
  <c r="Q47" i="141"/>
  <c r="N47" i="141"/>
  <c r="Y47" i="141" s="1"/>
  <c r="K47" i="141"/>
  <c r="H47" i="141"/>
  <c r="X46" i="141"/>
  <c r="W46" i="141"/>
  <c r="T46" i="141"/>
  <c r="Q46" i="141"/>
  <c r="N46" i="141"/>
  <c r="K46" i="141"/>
  <c r="H46" i="141"/>
  <c r="X45" i="141"/>
  <c r="Y45" i="141" s="1"/>
  <c r="W45" i="141"/>
  <c r="T45" i="141"/>
  <c r="Q45" i="141"/>
  <c r="N45" i="141"/>
  <c r="K45" i="141"/>
  <c r="H45" i="141"/>
  <c r="X44" i="141"/>
  <c r="W44" i="141"/>
  <c r="T44" i="141"/>
  <c r="Q44" i="141"/>
  <c r="N44" i="141"/>
  <c r="K44" i="141"/>
  <c r="H44" i="141"/>
  <c r="X43" i="141"/>
  <c r="W43" i="141"/>
  <c r="T43" i="141"/>
  <c r="Q43" i="141"/>
  <c r="N43" i="141"/>
  <c r="K43" i="141"/>
  <c r="H43" i="141"/>
  <c r="X42" i="141"/>
  <c r="W42" i="141"/>
  <c r="T42" i="141"/>
  <c r="Q42" i="141"/>
  <c r="N42" i="141"/>
  <c r="K42" i="141"/>
  <c r="H42" i="141"/>
  <c r="X41" i="141"/>
  <c r="W41" i="141"/>
  <c r="T41" i="141"/>
  <c r="Q41" i="141"/>
  <c r="N41" i="141"/>
  <c r="Y41" i="141" s="1"/>
  <c r="K41" i="141"/>
  <c r="H41" i="141"/>
  <c r="X40" i="141"/>
  <c r="W40" i="141"/>
  <c r="T40" i="141"/>
  <c r="Q40" i="141"/>
  <c r="N40" i="141"/>
  <c r="K40" i="141"/>
  <c r="H40" i="141"/>
  <c r="X39" i="141"/>
  <c r="Y39" i="141" s="1"/>
  <c r="W39" i="141"/>
  <c r="T39" i="141"/>
  <c r="Q39" i="141"/>
  <c r="N39" i="141"/>
  <c r="K39" i="141"/>
  <c r="H39" i="141"/>
  <c r="X38" i="141"/>
  <c r="W38" i="141"/>
  <c r="T38" i="141"/>
  <c r="Q38" i="141"/>
  <c r="N38" i="141"/>
  <c r="K38" i="141"/>
  <c r="H38" i="141"/>
  <c r="X37" i="141"/>
  <c r="W37" i="141"/>
  <c r="T37" i="141"/>
  <c r="Q37" i="141"/>
  <c r="N37" i="141"/>
  <c r="K37" i="141"/>
  <c r="H37" i="141"/>
  <c r="X36" i="141"/>
  <c r="W36" i="141"/>
  <c r="T36" i="141"/>
  <c r="Q36" i="141"/>
  <c r="N36" i="141"/>
  <c r="K36" i="141"/>
  <c r="H36" i="141"/>
  <c r="X35" i="141"/>
  <c r="W35" i="141"/>
  <c r="T35" i="141"/>
  <c r="Q35" i="141"/>
  <c r="N35" i="141"/>
  <c r="Y35" i="141" s="1"/>
  <c r="K35" i="141"/>
  <c r="H35" i="141"/>
  <c r="X34" i="141"/>
  <c r="W34" i="141"/>
  <c r="T34" i="141"/>
  <c r="Q34" i="141"/>
  <c r="N34" i="141"/>
  <c r="K34" i="141"/>
  <c r="H34" i="141"/>
  <c r="X33" i="141"/>
  <c r="Y33" i="141" s="1"/>
  <c r="W33" i="141"/>
  <c r="T33" i="141"/>
  <c r="Q33" i="141"/>
  <c r="N33" i="141"/>
  <c r="K33" i="141"/>
  <c r="H33" i="141"/>
  <c r="X32" i="141"/>
  <c r="W32" i="141"/>
  <c r="T32" i="141"/>
  <c r="Q32" i="141"/>
  <c r="N32" i="141"/>
  <c r="K32" i="141"/>
  <c r="H32" i="141"/>
  <c r="X31" i="141"/>
  <c r="T31" i="141"/>
  <c r="Q31" i="141"/>
  <c r="N31" i="141"/>
  <c r="K31" i="141"/>
  <c r="H31" i="141"/>
  <c r="X30" i="141"/>
  <c r="Y30" i="141" s="1"/>
  <c r="W30" i="141"/>
  <c r="T30" i="141"/>
  <c r="Q30" i="141"/>
  <c r="N30" i="141"/>
  <c r="K30" i="141"/>
  <c r="H30" i="141"/>
  <c r="X29" i="141"/>
  <c r="W29" i="141"/>
  <c r="T29" i="141"/>
  <c r="Q29" i="141"/>
  <c r="N29" i="141"/>
  <c r="Y29" i="141" s="1"/>
  <c r="K29" i="141"/>
  <c r="H29" i="141"/>
  <c r="X28" i="141"/>
  <c r="W28" i="141"/>
  <c r="T28" i="141"/>
  <c r="Q28" i="141"/>
  <c r="N28" i="141"/>
  <c r="K28" i="141"/>
  <c r="H28" i="141"/>
  <c r="X27" i="141"/>
  <c r="Y27" i="141" s="1"/>
  <c r="W27" i="141"/>
  <c r="T27" i="141"/>
  <c r="Q27" i="141"/>
  <c r="N27" i="141"/>
  <c r="K27" i="141"/>
  <c r="H27" i="141"/>
  <c r="X26" i="141"/>
  <c r="Y26" i="141" s="1"/>
  <c r="W26" i="141"/>
  <c r="T26" i="141"/>
  <c r="Q26" i="141"/>
  <c r="N26" i="141"/>
  <c r="K26" i="141"/>
  <c r="H26" i="141"/>
  <c r="X25" i="141"/>
  <c r="W25" i="141"/>
  <c r="T25" i="141"/>
  <c r="Q25" i="141"/>
  <c r="N25" i="141"/>
  <c r="Y25" i="141" s="1"/>
  <c r="K25" i="141"/>
  <c r="H25" i="141"/>
  <c r="X24" i="141"/>
  <c r="W24" i="141"/>
  <c r="T24" i="141"/>
  <c r="Q24" i="141"/>
  <c r="N24" i="141"/>
  <c r="K24" i="141"/>
  <c r="H24" i="141"/>
  <c r="Y23" i="141"/>
  <c r="X23" i="141"/>
  <c r="W23" i="141"/>
  <c r="T23" i="141"/>
  <c r="Q23" i="141"/>
  <c r="N23" i="141"/>
  <c r="K23" i="141"/>
  <c r="H23" i="141"/>
  <c r="X22" i="141"/>
  <c r="W22" i="141"/>
  <c r="T22" i="141"/>
  <c r="Q22" i="141"/>
  <c r="N22" i="141"/>
  <c r="K22" i="141"/>
  <c r="H22" i="141"/>
  <c r="X21" i="141"/>
  <c r="Y21" i="141" s="1"/>
  <c r="W21" i="141"/>
  <c r="T21" i="141"/>
  <c r="Q21" i="141"/>
  <c r="N21" i="141"/>
  <c r="K21" i="141"/>
  <c r="H21" i="141"/>
  <c r="X20" i="141"/>
  <c r="W20" i="141"/>
  <c r="T20" i="141"/>
  <c r="Q20" i="141"/>
  <c r="N20" i="141"/>
  <c r="K20" i="141"/>
  <c r="H20" i="141"/>
  <c r="X19" i="141"/>
  <c r="W19" i="141"/>
  <c r="T19" i="141"/>
  <c r="Q19" i="141"/>
  <c r="N19" i="141"/>
  <c r="Y19" i="141" s="1"/>
  <c r="K19" i="141"/>
  <c r="H19" i="141"/>
  <c r="Y18" i="141"/>
  <c r="X18" i="141"/>
  <c r="W18" i="141"/>
  <c r="T18" i="141"/>
  <c r="Q18" i="141"/>
  <c r="N18" i="141"/>
  <c r="K18" i="141"/>
  <c r="H18" i="141"/>
  <c r="X17" i="141"/>
  <c r="Y17" i="141" s="1"/>
  <c r="W17" i="141"/>
  <c r="T17" i="141"/>
  <c r="Q17" i="141"/>
  <c r="N17" i="141"/>
  <c r="K17" i="141"/>
  <c r="H17" i="141"/>
  <c r="X16" i="141"/>
  <c r="W16" i="141"/>
  <c r="T16" i="141"/>
  <c r="Q16" i="141"/>
  <c r="N16" i="141"/>
  <c r="K16" i="141"/>
  <c r="H16" i="141"/>
  <c r="X15" i="141"/>
  <c r="W15" i="141"/>
  <c r="T15" i="141"/>
  <c r="Q15" i="141"/>
  <c r="N15" i="141"/>
  <c r="Y15" i="141" s="1"/>
  <c r="K15" i="141"/>
  <c r="H15" i="141"/>
  <c r="X14" i="141"/>
  <c r="Y14" i="141" s="1"/>
  <c r="W14" i="141"/>
  <c r="T14" i="141"/>
  <c r="Q14" i="141"/>
  <c r="Q55" i="141" s="1"/>
  <c r="N14" i="141"/>
  <c r="K14" i="141"/>
  <c r="H14" i="141"/>
  <c r="X13" i="141"/>
  <c r="W13" i="141"/>
  <c r="N13" i="141"/>
  <c r="K13" i="141"/>
  <c r="H13" i="141"/>
  <c r="X55" i="141" l="1"/>
  <c r="W55" i="141"/>
  <c r="Y16" i="141"/>
  <c r="Y37" i="141"/>
  <c r="Y43" i="141"/>
  <c r="Y49" i="141"/>
  <c r="Y51" i="141"/>
  <c r="T55" i="141"/>
  <c r="Y32" i="141"/>
  <c r="Y24" i="141"/>
  <c r="Y22" i="141"/>
  <c r="Y31" i="141"/>
  <c r="Y38" i="141"/>
  <c r="Y44" i="141"/>
  <c r="H55" i="141"/>
  <c r="Y20" i="141"/>
  <c r="AC20" i="141" s="1"/>
  <c r="Y28" i="141"/>
  <c r="Y34" i="141"/>
  <c r="Y36" i="141"/>
  <c r="Y40" i="141"/>
  <c r="Y42" i="141"/>
  <c r="Y46" i="141"/>
  <c r="Y54" i="141"/>
  <c r="C84" i="141"/>
  <c r="C85" i="141" s="1"/>
  <c r="N55" i="141"/>
  <c r="K55" i="141"/>
  <c r="Y48" i="141"/>
  <c r="Y13" i="141"/>
  <c r="V55" i="140"/>
  <c r="U55" i="140"/>
  <c r="S55" i="140"/>
  <c r="R55" i="140"/>
  <c r="P55" i="140"/>
  <c r="O55" i="140"/>
  <c r="M55" i="140"/>
  <c r="L55" i="140"/>
  <c r="J55" i="140"/>
  <c r="I55" i="140"/>
  <c r="G55" i="140"/>
  <c r="F55" i="140"/>
  <c r="E55" i="140"/>
  <c r="X54" i="140"/>
  <c r="W54" i="140"/>
  <c r="T54" i="140"/>
  <c r="Q54" i="140"/>
  <c r="N54" i="140"/>
  <c r="K54" i="140"/>
  <c r="H54" i="140"/>
  <c r="X53" i="140"/>
  <c r="W53" i="140"/>
  <c r="T53" i="140"/>
  <c r="Q53" i="140"/>
  <c r="N53" i="140"/>
  <c r="Y53" i="140" s="1"/>
  <c r="K53" i="140"/>
  <c r="H53" i="140"/>
  <c r="X52" i="140"/>
  <c r="W52" i="140"/>
  <c r="T52" i="140"/>
  <c r="Q52" i="140"/>
  <c r="N52" i="140"/>
  <c r="Y52" i="140" s="1"/>
  <c r="K52" i="140"/>
  <c r="H52" i="140"/>
  <c r="X51" i="140"/>
  <c r="W51" i="140"/>
  <c r="T51" i="140"/>
  <c r="Q51" i="140"/>
  <c r="N51" i="140"/>
  <c r="K51" i="140"/>
  <c r="H51" i="140"/>
  <c r="X50" i="140"/>
  <c r="W50" i="140"/>
  <c r="T50" i="140"/>
  <c r="Q50" i="140"/>
  <c r="N50" i="140"/>
  <c r="K50" i="140"/>
  <c r="H50" i="140"/>
  <c r="Y49" i="140"/>
  <c r="X49" i="140"/>
  <c r="W49" i="140"/>
  <c r="T49" i="140"/>
  <c r="Q49" i="140"/>
  <c r="N49" i="140"/>
  <c r="K49" i="140"/>
  <c r="H49" i="140"/>
  <c r="X48" i="140"/>
  <c r="W48" i="140"/>
  <c r="T48" i="140"/>
  <c r="Q48" i="140"/>
  <c r="N48" i="140"/>
  <c r="K48" i="140"/>
  <c r="H48" i="140"/>
  <c r="X47" i="140"/>
  <c r="W47" i="140"/>
  <c r="T47" i="140"/>
  <c r="Q47" i="140"/>
  <c r="N47" i="140"/>
  <c r="Y47" i="140" s="1"/>
  <c r="K47" i="140"/>
  <c r="H47" i="140"/>
  <c r="X46" i="140"/>
  <c r="W46" i="140"/>
  <c r="T46" i="140"/>
  <c r="Q46" i="140"/>
  <c r="N46" i="140"/>
  <c r="Y46" i="140" s="1"/>
  <c r="K46" i="140"/>
  <c r="H46" i="140"/>
  <c r="X45" i="140"/>
  <c r="Y45" i="140" s="1"/>
  <c r="W45" i="140"/>
  <c r="T45" i="140"/>
  <c r="Q45" i="140"/>
  <c r="N45" i="140"/>
  <c r="K45" i="140"/>
  <c r="H45" i="140"/>
  <c r="X44" i="140"/>
  <c r="W44" i="140"/>
  <c r="T44" i="140"/>
  <c r="Q44" i="140"/>
  <c r="N44" i="140"/>
  <c r="Y44" i="140" s="1"/>
  <c r="K44" i="140"/>
  <c r="H44" i="140"/>
  <c r="X43" i="140"/>
  <c r="W43" i="140"/>
  <c r="T43" i="140"/>
  <c r="Q43" i="140"/>
  <c r="N43" i="140"/>
  <c r="Y43" i="140" s="1"/>
  <c r="K43" i="140"/>
  <c r="H43" i="140"/>
  <c r="X42" i="140"/>
  <c r="W42" i="140"/>
  <c r="T42" i="140"/>
  <c r="Q42" i="140"/>
  <c r="N42" i="140"/>
  <c r="K42" i="140"/>
  <c r="H42" i="140"/>
  <c r="X41" i="140"/>
  <c r="W41" i="140"/>
  <c r="T41" i="140"/>
  <c r="Q41" i="140"/>
  <c r="N41" i="140"/>
  <c r="K41" i="140"/>
  <c r="H41" i="140"/>
  <c r="Y40" i="140"/>
  <c r="X40" i="140"/>
  <c r="W40" i="140"/>
  <c r="T40" i="140"/>
  <c r="Q40" i="140"/>
  <c r="N40" i="140"/>
  <c r="K40" i="140"/>
  <c r="H40" i="140"/>
  <c r="X39" i="140"/>
  <c r="W39" i="140"/>
  <c r="T39" i="140"/>
  <c r="Q39" i="140"/>
  <c r="N39" i="140"/>
  <c r="K39" i="140"/>
  <c r="H39" i="140"/>
  <c r="X38" i="140"/>
  <c r="W38" i="140"/>
  <c r="T38" i="140"/>
  <c r="Q38" i="140"/>
  <c r="N38" i="140"/>
  <c r="Y38" i="140" s="1"/>
  <c r="K38" i="140"/>
  <c r="H38" i="140"/>
  <c r="X37" i="140"/>
  <c r="W37" i="140"/>
  <c r="T37" i="140"/>
  <c r="Q37" i="140"/>
  <c r="N37" i="140"/>
  <c r="Y37" i="140" s="1"/>
  <c r="K37" i="140"/>
  <c r="H37" i="140"/>
  <c r="X36" i="140"/>
  <c r="Y36" i="140" s="1"/>
  <c r="W36" i="140"/>
  <c r="T36" i="140"/>
  <c r="Q36" i="140"/>
  <c r="N36" i="140"/>
  <c r="K36" i="140"/>
  <c r="H36" i="140"/>
  <c r="X35" i="140"/>
  <c r="W35" i="140"/>
  <c r="T35" i="140"/>
  <c r="Q35" i="140"/>
  <c r="N35" i="140"/>
  <c r="Y35" i="140" s="1"/>
  <c r="K35" i="140"/>
  <c r="H35" i="140"/>
  <c r="X34" i="140"/>
  <c r="W34" i="140"/>
  <c r="T34" i="140"/>
  <c r="Q34" i="140"/>
  <c r="N34" i="140"/>
  <c r="Y34" i="140" s="1"/>
  <c r="K34" i="140"/>
  <c r="H34" i="140"/>
  <c r="X33" i="140"/>
  <c r="Y33" i="140" s="1"/>
  <c r="W33" i="140"/>
  <c r="T33" i="140"/>
  <c r="Q33" i="140"/>
  <c r="N33" i="140"/>
  <c r="K33" i="140"/>
  <c r="H33" i="140"/>
  <c r="X32" i="140"/>
  <c r="W32" i="140"/>
  <c r="T32" i="140"/>
  <c r="Q32" i="140"/>
  <c r="N32" i="140"/>
  <c r="K32" i="140"/>
  <c r="H32" i="140"/>
  <c r="X31" i="140"/>
  <c r="T31" i="140"/>
  <c r="Q31" i="140"/>
  <c r="N31" i="140"/>
  <c r="K31" i="140"/>
  <c r="H31" i="140"/>
  <c r="X30" i="140"/>
  <c r="W30" i="140"/>
  <c r="T30" i="140"/>
  <c r="Q30" i="140"/>
  <c r="N30" i="140"/>
  <c r="K30" i="140"/>
  <c r="H30" i="140"/>
  <c r="X29" i="140"/>
  <c r="W29" i="140"/>
  <c r="T29" i="140"/>
  <c r="Q29" i="140"/>
  <c r="N29" i="140"/>
  <c r="Y29" i="140" s="1"/>
  <c r="K29" i="140"/>
  <c r="H29" i="140"/>
  <c r="Y28" i="140"/>
  <c r="X28" i="140"/>
  <c r="W28" i="140"/>
  <c r="T28" i="140"/>
  <c r="Q28" i="140"/>
  <c r="N28" i="140"/>
  <c r="K28" i="140"/>
  <c r="H28" i="140"/>
  <c r="X27" i="140"/>
  <c r="W27" i="140"/>
  <c r="T27" i="140"/>
  <c r="Q27" i="140"/>
  <c r="N27" i="140"/>
  <c r="K27" i="140"/>
  <c r="H27" i="140"/>
  <c r="Y26" i="140"/>
  <c r="X26" i="140"/>
  <c r="W26" i="140"/>
  <c r="T26" i="140"/>
  <c r="Q26" i="140"/>
  <c r="N26" i="140"/>
  <c r="K26" i="140"/>
  <c r="H26" i="140"/>
  <c r="X25" i="140"/>
  <c r="W25" i="140"/>
  <c r="T25" i="140"/>
  <c r="Q25" i="140"/>
  <c r="N25" i="140"/>
  <c r="Y25" i="140" s="1"/>
  <c r="K25" i="140"/>
  <c r="H25" i="140"/>
  <c r="X24" i="140"/>
  <c r="W24" i="140"/>
  <c r="T24" i="140"/>
  <c r="Q24" i="140"/>
  <c r="N24" i="140"/>
  <c r="K24" i="140"/>
  <c r="H24" i="140"/>
  <c r="X23" i="140"/>
  <c r="Y23" i="140" s="1"/>
  <c r="W23" i="140"/>
  <c r="T23" i="140"/>
  <c r="Q23" i="140"/>
  <c r="N23" i="140"/>
  <c r="K23" i="140"/>
  <c r="H23" i="140"/>
  <c r="X22" i="140"/>
  <c r="W22" i="140"/>
  <c r="T22" i="140"/>
  <c r="Q22" i="140"/>
  <c r="N22" i="140"/>
  <c r="Y22" i="140" s="1"/>
  <c r="K22" i="140"/>
  <c r="H22" i="140"/>
  <c r="X21" i="140"/>
  <c r="W21" i="140"/>
  <c r="T21" i="140"/>
  <c r="Q21" i="140"/>
  <c r="N21" i="140"/>
  <c r="K21" i="140"/>
  <c r="H21" i="140"/>
  <c r="X20" i="140"/>
  <c r="W20" i="140"/>
  <c r="T20" i="140"/>
  <c r="Q20" i="140"/>
  <c r="N20" i="140"/>
  <c r="K20" i="140"/>
  <c r="H20" i="140"/>
  <c r="X19" i="140"/>
  <c r="W19" i="140"/>
  <c r="T19" i="140"/>
  <c r="Q19" i="140"/>
  <c r="N19" i="140"/>
  <c r="K19" i="140"/>
  <c r="H19" i="140"/>
  <c r="X18" i="140"/>
  <c r="Y18" i="140" s="1"/>
  <c r="W18" i="140"/>
  <c r="T18" i="140"/>
  <c r="Q18" i="140"/>
  <c r="N18" i="140"/>
  <c r="K18" i="140"/>
  <c r="H18" i="140"/>
  <c r="X17" i="140"/>
  <c r="W17" i="140"/>
  <c r="T17" i="140"/>
  <c r="Q17" i="140"/>
  <c r="N17" i="140"/>
  <c r="Y17" i="140" s="1"/>
  <c r="K17" i="140"/>
  <c r="H17" i="140"/>
  <c r="X16" i="140"/>
  <c r="W16" i="140"/>
  <c r="T16" i="140"/>
  <c r="Q16" i="140"/>
  <c r="N16" i="140"/>
  <c r="K16" i="140"/>
  <c r="H16" i="140"/>
  <c r="X15" i="140"/>
  <c r="Y15" i="140" s="1"/>
  <c r="W15" i="140"/>
  <c r="T15" i="140"/>
  <c r="Q15" i="140"/>
  <c r="N15" i="140"/>
  <c r="K15" i="140"/>
  <c r="H15" i="140"/>
  <c r="X14" i="140"/>
  <c r="W14" i="140"/>
  <c r="T14" i="140"/>
  <c r="Q14" i="140"/>
  <c r="N14" i="140"/>
  <c r="K14" i="140"/>
  <c r="H14" i="140"/>
  <c r="X13" i="140"/>
  <c r="W13" i="140"/>
  <c r="W55" i="140" s="1"/>
  <c r="N13" i="140"/>
  <c r="K13" i="140"/>
  <c r="H13" i="140"/>
  <c r="Y30" i="140" l="1"/>
  <c r="Y51" i="140"/>
  <c r="Y27" i="140"/>
  <c r="Y31" i="140"/>
  <c r="Y32" i="140"/>
  <c r="Y41" i="140"/>
  <c r="Y50" i="140"/>
  <c r="C82" i="140"/>
  <c r="C58" i="141"/>
  <c r="Y16" i="140"/>
  <c r="Y20" i="140"/>
  <c r="Y24" i="140"/>
  <c r="Y39" i="140"/>
  <c r="Y48" i="140"/>
  <c r="X55" i="140"/>
  <c r="Q55" i="140"/>
  <c r="Y54" i="140"/>
  <c r="Y55" i="141"/>
  <c r="AC13" i="141"/>
  <c r="AC21" i="141" s="1"/>
  <c r="T55" i="140"/>
  <c r="K82" i="140"/>
  <c r="Y21" i="140"/>
  <c r="K55" i="140"/>
  <c r="Y19" i="140"/>
  <c r="N55" i="140"/>
  <c r="Y42" i="140"/>
  <c r="C83" i="140"/>
  <c r="H55" i="140"/>
  <c r="Y14" i="140"/>
  <c r="Y13" i="140"/>
  <c r="V55" i="139"/>
  <c r="U55" i="139"/>
  <c r="S55" i="139"/>
  <c r="R55" i="139"/>
  <c r="P55" i="139"/>
  <c r="O55" i="139"/>
  <c r="M55" i="139"/>
  <c r="K80" i="139" s="1"/>
  <c r="L55" i="139"/>
  <c r="J55" i="139"/>
  <c r="I55" i="139"/>
  <c r="C80" i="139" s="1"/>
  <c r="G55" i="139"/>
  <c r="F55" i="139"/>
  <c r="E55" i="139"/>
  <c r="X54" i="139"/>
  <c r="W54" i="139"/>
  <c r="T54" i="139"/>
  <c r="Q54" i="139"/>
  <c r="N54" i="139"/>
  <c r="Y54" i="139" s="1"/>
  <c r="K54" i="139"/>
  <c r="H54" i="139"/>
  <c r="X53" i="139"/>
  <c r="W53" i="139"/>
  <c r="T53" i="139"/>
  <c r="Q53" i="139"/>
  <c r="N53" i="139"/>
  <c r="Y53" i="139" s="1"/>
  <c r="K53" i="139"/>
  <c r="H53" i="139"/>
  <c r="X52" i="139"/>
  <c r="Y52" i="139" s="1"/>
  <c r="W52" i="139"/>
  <c r="T52" i="139"/>
  <c r="Q52" i="139"/>
  <c r="N52" i="139"/>
  <c r="K52" i="139"/>
  <c r="H52" i="139"/>
  <c r="X51" i="139"/>
  <c r="Y51" i="139" s="1"/>
  <c r="W51" i="139"/>
  <c r="T51" i="139"/>
  <c r="Q51" i="139"/>
  <c r="N51" i="139"/>
  <c r="K51" i="139"/>
  <c r="H51" i="139"/>
  <c r="X50" i="139"/>
  <c r="W50" i="139"/>
  <c r="T50" i="139"/>
  <c r="Q50" i="139"/>
  <c r="N50" i="139"/>
  <c r="Y50" i="139" s="1"/>
  <c r="K50" i="139"/>
  <c r="H50" i="139"/>
  <c r="X49" i="139"/>
  <c r="W49" i="139"/>
  <c r="T49" i="139"/>
  <c r="Q49" i="139"/>
  <c r="N49" i="139"/>
  <c r="K49" i="139"/>
  <c r="H49" i="139"/>
  <c r="X48" i="139"/>
  <c r="W48" i="139"/>
  <c r="T48" i="139"/>
  <c r="Q48" i="139"/>
  <c r="N48" i="139"/>
  <c r="K48" i="139"/>
  <c r="H48" i="139"/>
  <c r="X47" i="139"/>
  <c r="W47" i="139"/>
  <c r="T47" i="139"/>
  <c r="Q47" i="139"/>
  <c r="N47" i="139"/>
  <c r="Y47" i="139" s="1"/>
  <c r="K47" i="139"/>
  <c r="H47" i="139"/>
  <c r="X46" i="139"/>
  <c r="Y46" i="139" s="1"/>
  <c r="W46" i="139"/>
  <c r="T46" i="139"/>
  <c r="Q46" i="139"/>
  <c r="N46" i="139"/>
  <c r="K46" i="139"/>
  <c r="H46" i="139"/>
  <c r="X45" i="139"/>
  <c r="Y45" i="139" s="1"/>
  <c r="W45" i="139"/>
  <c r="T45" i="139"/>
  <c r="Q45" i="139"/>
  <c r="N45" i="139"/>
  <c r="K45" i="139"/>
  <c r="H45" i="139"/>
  <c r="X44" i="139"/>
  <c r="W44" i="139"/>
  <c r="T44" i="139"/>
  <c r="Q44" i="139"/>
  <c r="N44" i="139"/>
  <c r="Y44" i="139" s="1"/>
  <c r="K44" i="139"/>
  <c r="H44" i="139"/>
  <c r="X43" i="139"/>
  <c r="W43" i="139"/>
  <c r="T43" i="139"/>
  <c r="Q43" i="139"/>
  <c r="N43" i="139"/>
  <c r="K43" i="139"/>
  <c r="H43" i="139"/>
  <c r="X42" i="139"/>
  <c r="W42" i="139"/>
  <c r="T42" i="139"/>
  <c r="Q42" i="139"/>
  <c r="N42" i="139"/>
  <c r="Y42" i="139" s="1"/>
  <c r="K42" i="139"/>
  <c r="H42" i="139"/>
  <c r="X41" i="139"/>
  <c r="W41" i="139"/>
  <c r="T41" i="139"/>
  <c r="Q41" i="139"/>
  <c r="N41" i="139"/>
  <c r="Y41" i="139" s="1"/>
  <c r="K41" i="139"/>
  <c r="H41" i="139"/>
  <c r="X40" i="139"/>
  <c r="Y40" i="139" s="1"/>
  <c r="W40" i="139"/>
  <c r="T40" i="139"/>
  <c r="Q40" i="139"/>
  <c r="N40" i="139"/>
  <c r="K40" i="139"/>
  <c r="H40" i="139"/>
  <c r="X39" i="139"/>
  <c r="W39" i="139"/>
  <c r="T39" i="139"/>
  <c r="Q39" i="139"/>
  <c r="N39" i="139"/>
  <c r="K39" i="139"/>
  <c r="H39" i="139"/>
  <c r="X38" i="139"/>
  <c r="W38" i="139"/>
  <c r="T38" i="139"/>
  <c r="Q38" i="139"/>
  <c r="N38" i="139"/>
  <c r="Y38" i="139" s="1"/>
  <c r="K38" i="139"/>
  <c r="H38" i="139"/>
  <c r="X37" i="139"/>
  <c r="W37" i="139"/>
  <c r="T37" i="139"/>
  <c r="Q37" i="139"/>
  <c r="N37" i="139"/>
  <c r="K37" i="139"/>
  <c r="H37" i="139"/>
  <c r="X36" i="139"/>
  <c r="W36" i="139"/>
  <c r="T36" i="139"/>
  <c r="Q36" i="139"/>
  <c r="N36" i="139"/>
  <c r="Y36" i="139" s="1"/>
  <c r="K36" i="139"/>
  <c r="H36" i="139"/>
  <c r="X35" i="139"/>
  <c r="W35" i="139"/>
  <c r="T35" i="139"/>
  <c r="Q35" i="139"/>
  <c r="N35" i="139"/>
  <c r="Y35" i="139" s="1"/>
  <c r="K35" i="139"/>
  <c r="H35" i="139"/>
  <c r="X34" i="139"/>
  <c r="Y34" i="139" s="1"/>
  <c r="W34" i="139"/>
  <c r="T34" i="139"/>
  <c r="Q34" i="139"/>
  <c r="N34" i="139"/>
  <c r="K34" i="139"/>
  <c r="H34" i="139"/>
  <c r="X33" i="139"/>
  <c r="W33" i="139"/>
  <c r="T33" i="139"/>
  <c r="Q33" i="139"/>
  <c r="N33" i="139"/>
  <c r="K33" i="139"/>
  <c r="H33" i="139"/>
  <c r="X32" i="139"/>
  <c r="W32" i="139"/>
  <c r="T32" i="139"/>
  <c r="Q32" i="139"/>
  <c r="N32" i="139"/>
  <c r="Y32" i="139" s="1"/>
  <c r="K32" i="139"/>
  <c r="H32" i="139"/>
  <c r="X31" i="139"/>
  <c r="Y31" i="139" s="1"/>
  <c r="T31" i="139"/>
  <c r="Q31" i="139"/>
  <c r="N31" i="139"/>
  <c r="K31" i="139"/>
  <c r="H31" i="139"/>
  <c r="X30" i="139"/>
  <c r="W30" i="139"/>
  <c r="T30" i="139"/>
  <c r="Q30" i="139"/>
  <c r="N30" i="139"/>
  <c r="K30" i="139"/>
  <c r="H30" i="139"/>
  <c r="X29" i="139"/>
  <c r="W29" i="139"/>
  <c r="T29" i="139"/>
  <c r="Q29" i="139"/>
  <c r="N29" i="139"/>
  <c r="Y29" i="139" s="1"/>
  <c r="K29" i="139"/>
  <c r="H29" i="139"/>
  <c r="X28" i="139"/>
  <c r="W28" i="139"/>
  <c r="T28" i="139"/>
  <c r="Q28" i="139"/>
  <c r="N28" i="139"/>
  <c r="Y28" i="139" s="1"/>
  <c r="K28" i="139"/>
  <c r="H28" i="139"/>
  <c r="X27" i="139"/>
  <c r="Y27" i="139" s="1"/>
  <c r="W27" i="139"/>
  <c r="T27" i="139"/>
  <c r="Q27" i="139"/>
  <c r="N27" i="139"/>
  <c r="K27" i="139"/>
  <c r="H27" i="139"/>
  <c r="X26" i="139"/>
  <c r="W26" i="139"/>
  <c r="T26" i="139"/>
  <c r="Q26" i="139"/>
  <c r="N26" i="139"/>
  <c r="Y26" i="139" s="1"/>
  <c r="K26" i="139"/>
  <c r="H26" i="139"/>
  <c r="X25" i="139"/>
  <c r="W25" i="139"/>
  <c r="T25" i="139"/>
  <c r="Q25" i="139"/>
  <c r="N25" i="139"/>
  <c r="Y25" i="139" s="1"/>
  <c r="K25" i="139"/>
  <c r="H25" i="139"/>
  <c r="X24" i="139"/>
  <c r="Y24" i="139" s="1"/>
  <c r="W24" i="139"/>
  <c r="T24" i="139"/>
  <c r="Q24" i="139"/>
  <c r="N24" i="139"/>
  <c r="K24" i="139"/>
  <c r="H24" i="139"/>
  <c r="Y23" i="139"/>
  <c r="X23" i="139"/>
  <c r="W23" i="139"/>
  <c r="T23" i="139"/>
  <c r="Q23" i="139"/>
  <c r="N23" i="139"/>
  <c r="K23" i="139"/>
  <c r="H23" i="139"/>
  <c r="Y22" i="139"/>
  <c r="X22" i="139"/>
  <c r="W22" i="139"/>
  <c r="T22" i="139"/>
  <c r="Q22" i="139"/>
  <c r="N22" i="139"/>
  <c r="K22" i="139"/>
  <c r="H22" i="139"/>
  <c r="X21" i="139"/>
  <c r="W21" i="139"/>
  <c r="T21" i="139"/>
  <c r="Q21" i="139"/>
  <c r="N21" i="139"/>
  <c r="Y21" i="139" s="1"/>
  <c r="K21" i="139"/>
  <c r="H21" i="139"/>
  <c r="X20" i="139"/>
  <c r="W20" i="139"/>
  <c r="T20" i="139"/>
  <c r="Q20" i="139"/>
  <c r="N20" i="139"/>
  <c r="K20" i="139"/>
  <c r="H20" i="139"/>
  <c r="X19" i="139"/>
  <c r="Y19" i="139" s="1"/>
  <c r="W19" i="139"/>
  <c r="T19" i="139"/>
  <c r="Q19" i="139"/>
  <c r="N19" i="139"/>
  <c r="K19" i="139"/>
  <c r="H19" i="139"/>
  <c r="X18" i="139"/>
  <c r="W18" i="139"/>
  <c r="T18" i="139"/>
  <c r="Q18" i="139"/>
  <c r="N18" i="139"/>
  <c r="Y18" i="139" s="1"/>
  <c r="K18" i="139"/>
  <c r="H18" i="139"/>
  <c r="X17" i="139"/>
  <c r="W17" i="139"/>
  <c r="T17" i="139"/>
  <c r="Q17" i="139"/>
  <c r="N17" i="139"/>
  <c r="Y17" i="139" s="1"/>
  <c r="K17" i="139"/>
  <c r="H17" i="139"/>
  <c r="X16" i="139"/>
  <c r="W16" i="139"/>
  <c r="T16" i="139"/>
  <c r="Q16" i="139"/>
  <c r="N16" i="139"/>
  <c r="K16" i="139"/>
  <c r="H16" i="139"/>
  <c r="X15" i="139"/>
  <c r="W15" i="139"/>
  <c r="T15" i="139"/>
  <c r="Q15" i="139"/>
  <c r="N15" i="139"/>
  <c r="Y15" i="139" s="1"/>
  <c r="K15" i="139"/>
  <c r="H15" i="139"/>
  <c r="X14" i="139"/>
  <c r="W14" i="139"/>
  <c r="T14" i="139"/>
  <c r="Q14" i="139"/>
  <c r="N14" i="139"/>
  <c r="K14" i="139"/>
  <c r="H14" i="139"/>
  <c r="X13" i="139"/>
  <c r="Y13" i="139" s="1"/>
  <c r="W13" i="139"/>
  <c r="W55" i="139" s="1"/>
  <c r="N13" i="139"/>
  <c r="K13" i="139"/>
  <c r="H13" i="139"/>
  <c r="K55" i="139" l="1"/>
  <c r="Y33" i="139"/>
  <c r="Y39" i="139"/>
  <c r="C58" i="140"/>
  <c r="Y16" i="139"/>
  <c r="Y20" i="139"/>
  <c r="AC20" i="139" s="1"/>
  <c r="C84" i="140"/>
  <c r="Q55" i="139"/>
  <c r="Y37" i="139"/>
  <c r="Y49" i="139"/>
  <c r="Y30" i="139"/>
  <c r="Y43" i="139"/>
  <c r="T55" i="139"/>
  <c r="AC20" i="140"/>
  <c r="AC13" i="140"/>
  <c r="Y55" i="140"/>
  <c r="Y48" i="139"/>
  <c r="C81" i="139"/>
  <c r="C82" i="139" s="1"/>
  <c r="H55" i="139"/>
  <c r="C58" i="139" s="1"/>
  <c r="N55" i="139"/>
  <c r="Y14" i="139"/>
  <c r="X55" i="139"/>
  <c r="C80" i="138"/>
  <c r="V55" i="138"/>
  <c r="U55" i="138"/>
  <c r="S55" i="138"/>
  <c r="R55" i="138"/>
  <c r="P55" i="138"/>
  <c r="O55" i="138"/>
  <c r="M55" i="138"/>
  <c r="L55" i="138"/>
  <c r="J55" i="138"/>
  <c r="I55" i="138"/>
  <c r="G55" i="138"/>
  <c r="F55" i="138"/>
  <c r="C79" i="138" s="1"/>
  <c r="C81" i="138" s="1"/>
  <c r="E55" i="138"/>
  <c r="X54" i="138"/>
  <c r="W54" i="138"/>
  <c r="T54" i="138"/>
  <c r="Q54" i="138"/>
  <c r="N54" i="138"/>
  <c r="Y54" i="138" s="1"/>
  <c r="K54" i="138"/>
  <c r="H54" i="138"/>
  <c r="X53" i="138"/>
  <c r="W53" i="138"/>
  <c r="T53" i="138"/>
  <c r="Q53" i="138"/>
  <c r="N53" i="138"/>
  <c r="Y53" i="138" s="1"/>
  <c r="K53" i="138"/>
  <c r="H53" i="138"/>
  <c r="X52" i="138"/>
  <c r="W52" i="138"/>
  <c r="T52" i="138"/>
  <c r="Q52" i="138"/>
  <c r="N52" i="138"/>
  <c r="Y52" i="138" s="1"/>
  <c r="K52" i="138"/>
  <c r="H52" i="138"/>
  <c r="Y51" i="138"/>
  <c r="X51" i="138"/>
  <c r="W51" i="138"/>
  <c r="T51" i="138"/>
  <c r="Q51" i="138"/>
  <c r="N51" i="138"/>
  <c r="K51" i="138"/>
  <c r="H51" i="138"/>
  <c r="X50" i="138"/>
  <c r="W50" i="138"/>
  <c r="T50" i="138"/>
  <c r="Q50" i="138"/>
  <c r="N50" i="138"/>
  <c r="Y50" i="138" s="1"/>
  <c r="K50" i="138"/>
  <c r="H50" i="138"/>
  <c r="X49" i="138"/>
  <c r="W49" i="138"/>
  <c r="T49" i="138"/>
  <c r="Q49" i="138"/>
  <c r="N49" i="138"/>
  <c r="Y49" i="138" s="1"/>
  <c r="K49" i="138"/>
  <c r="H49" i="138"/>
  <c r="X48" i="138"/>
  <c r="W48" i="138"/>
  <c r="T48" i="138"/>
  <c r="Q48" i="138"/>
  <c r="N48" i="138"/>
  <c r="Y48" i="138" s="1"/>
  <c r="K48" i="138"/>
  <c r="H48" i="138"/>
  <c r="X47" i="138"/>
  <c r="W47" i="138"/>
  <c r="T47" i="138"/>
  <c r="Q47" i="138"/>
  <c r="N47" i="138"/>
  <c r="K47" i="138"/>
  <c r="H47" i="138"/>
  <c r="Y46" i="138"/>
  <c r="X46" i="138"/>
  <c r="W46" i="138"/>
  <c r="T46" i="138"/>
  <c r="Q46" i="138"/>
  <c r="N46" i="138"/>
  <c r="K46" i="138"/>
  <c r="H46" i="138"/>
  <c r="X45" i="138"/>
  <c r="W45" i="138"/>
  <c r="T45" i="138"/>
  <c r="Q45" i="138"/>
  <c r="N45" i="138"/>
  <c r="Y45" i="138" s="1"/>
  <c r="K45" i="138"/>
  <c r="H45" i="138"/>
  <c r="X44" i="138"/>
  <c r="W44" i="138"/>
  <c r="T44" i="138"/>
  <c r="Q44" i="138"/>
  <c r="N44" i="138"/>
  <c r="K44" i="138"/>
  <c r="H44" i="138"/>
  <c r="X43" i="138"/>
  <c r="W43" i="138"/>
  <c r="T43" i="138"/>
  <c r="Q43" i="138"/>
  <c r="N43" i="138"/>
  <c r="K43" i="138"/>
  <c r="H43" i="138"/>
  <c r="Y42" i="138"/>
  <c r="X42" i="138"/>
  <c r="W42" i="138"/>
  <c r="T42" i="138"/>
  <c r="Q42" i="138"/>
  <c r="N42" i="138"/>
  <c r="K42" i="138"/>
  <c r="H42" i="138"/>
  <c r="X41" i="138"/>
  <c r="W41" i="138"/>
  <c r="T41" i="138"/>
  <c r="Q41" i="138"/>
  <c r="N41" i="138"/>
  <c r="Y41" i="138" s="1"/>
  <c r="K41" i="138"/>
  <c r="H41" i="138"/>
  <c r="X40" i="138"/>
  <c r="W40" i="138"/>
  <c r="T40" i="138"/>
  <c r="Q40" i="138"/>
  <c r="N40" i="138"/>
  <c r="Y40" i="138" s="1"/>
  <c r="K40" i="138"/>
  <c r="H40" i="138"/>
  <c r="Y39" i="138"/>
  <c r="X39" i="138"/>
  <c r="W39" i="138"/>
  <c r="T39" i="138"/>
  <c r="Q39" i="138"/>
  <c r="N39" i="138"/>
  <c r="K39" i="138"/>
  <c r="H39" i="138"/>
  <c r="X38" i="138"/>
  <c r="W38" i="138"/>
  <c r="T38" i="138"/>
  <c r="Q38" i="138"/>
  <c r="N38" i="138"/>
  <c r="Y38" i="138" s="1"/>
  <c r="K38" i="138"/>
  <c r="H38" i="138"/>
  <c r="X37" i="138"/>
  <c r="W37" i="138"/>
  <c r="T37" i="138"/>
  <c r="Q37" i="138"/>
  <c r="N37" i="138"/>
  <c r="Y37" i="138" s="1"/>
  <c r="K37" i="138"/>
  <c r="H37" i="138"/>
  <c r="X36" i="138"/>
  <c r="W36" i="138"/>
  <c r="T36" i="138"/>
  <c r="Q36" i="138"/>
  <c r="N36" i="138"/>
  <c r="Y36" i="138" s="1"/>
  <c r="K36" i="138"/>
  <c r="H36" i="138"/>
  <c r="X35" i="138"/>
  <c r="W35" i="138"/>
  <c r="T35" i="138"/>
  <c r="Q35" i="138"/>
  <c r="N35" i="138"/>
  <c r="K35" i="138"/>
  <c r="H35" i="138"/>
  <c r="X34" i="138"/>
  <c r="W34" i="138"/>
  <c r="T34" i="138"/>
  <c r="Q34" i="138"/>
  <c r="N34" i="138"/>
  <c r="K34" i="138"/>
  <c r="H34" i="138"/>
  <c r="X33" i="138"/>
  <c r="W33" i="138"/>
  <c r="T33" i="138"/>
  <c r="Q33" i="138"/>
  <c r="N33" i="138"/>
  <c r="Y33" i="138" s="1"/>
  <c r="K33" i="138"/>
  <c r="H33" i="138"/>
  <c r="X32" i="138"/>
  <c r="W32" i="138"/>
  <c r="T32" i="138"/>
  <c r="Q32" i="138"/>
  <c r="N32" i="138"/>
  <c r="Y32" i="138" s="1"/>
  <c r="K32" i="138"/>
  <c r="H32" i="138"/>
  <c r="X31" i="138"/>
  <c r="T31" i="138"/>
  <c r="Q31" i="138"/>
  <c r="N31" i="138"/>
  <c r="Y31" i="138" s="1"/>
  <c r="K31" i="138"/>
  <c r="H31" i="138"/>
  <c r="X30" i="138"/>
  <c r="W30" i="138"/>
  <c r="T30" i="138"/>
  <c r="Q30" i="138"/>
  <c r="N30" i="138"/>
  <c r="Y30" i="138" s="1"/>
  <c r="K30" i="138"/>
  <c r="H30" i="138"/>
  <c r="X29" i="138"/>
  <c r="W29" i="138"/>
  <c r="T29" i="138"/>
  <c r="Q29" i="138"/>
  <c r="N29" i="138"/>
  <c r="K29" i="138"/>
  <c r="H29" i="138"/>
  <c r="X28" i="138"/>
  <c r="W28" i="138"/>
  <c r="T28" i="138"/>
  <c r="Q28" i="138"/>
  <c r="N28" i="138"/>
  <c r="K28" i="138"/>
  <c r="H28" i="138"/>
  <c r="X27" i="138"/>
  <c r="W27" i="138"/>
  <c r="T27" i="138"/>
  <c r="Q27" i="138"/>
  <c r="N27" i="138"/>
  <c r="K27" i="138"/>
  <c r="H27" i="138"/>
  <c r="X26" i="138"/>
  <c r="W26" i="138"/>
  <c r="T26" i="138"/>
  <c r="Q26" i="138"/>
  <c r="N26" i="138"/>
  <c r="Y26" i="138" s="1"/>
  <c r="K26" i="138"/>
  <c r="H26" i="138"/>
  <c r="X25" i="138"/>
  <c r="W25" i="138"/>
  <c r="T25" i="138"/>
  <c r="Q25" i="138"/>
  <c r="N25" i="138"/>
  <c r="K25" i="138"/>
  <c r="H25" i="138"/>
  <c r="X24" i="138"/>
  <c r="Y24" i="138" s="1"/>
  <c r="W24" i="138"/>
  <c r="T24" i="138"/>
  <c r="Q24" i="138"/>
  <c r="N24" i="138"/>
  <c r="K24" i="138"/>
  <c r="H24" i="138"/>
  <c r="X23" i="138"/>
  <c r="W23" i="138"/>
  <c r="T23" i="138"/>
  <c r="Q23" i="138"/>
  <c r="N23" i="138"/>
  <c r="K23" i="138"/>
  <c r="H23" i="138"/>
  <c r="X22" i="138"/>
  <c r="W22" i="138"/>
  <c r="T22" i="138"/>
  <c r="Q22" i="138"/>
  <c r="N22" i="138"/>
  <c r="K22" i="138"/>
  <c r="H22" i="138"/>
  <c r="X21" i="138"/>
  <c r="W21" i="138"/>
  <c r="T21" i="138"/>
  <c r="Q21" i="138"/>
  <c r="N21" i="138"/>
  <c r="Y21" i="138" s="1"/>
  <c r="K21" i="138"/>
  <c r="H21" i="138"/>
  <c r="X20" i="138"/>
  <c r="W20" i="138"/>
  <c r="T20" i="138"/>
  <c r="Q20" i="138"/>
  <c r="N20" i="138"/>
  <c r="K20" i="138"/>
  <c r="H20" i="138"/>
  <c r="X19" i="138"/>
  <c r="W19" i="138"/>
  <c r="T19" i="138"/>
  <c r="Q19" i="138"/>
  <c r="N19" i="138"/>
  <c r="K19" i="138"/>
  <c r="H19" i="138"/>
  <c r="X18" i="138"/>
  <c r="W18" i="138"/>
  <c r="T18" i="138"/>
  <c r="Q18" i="138"/>
  <c r="N18" i="138"/>
  <c r="Y18" i="138" s="1"/>
  <c r="K18" i="138"/>
  <c r="H18" i="138"/>
  <c r="X17" i="138"/>
  <c r="W17" i="138"/>
  <c r="T17" i="138"/>
  <c r="Q17" i="138"/>
  <c r="N17" i="138"/>
  <c r="K17" i="138"/>
  <c r="H17" i="138"/>
  <c r="X16" i="138"/>
  <c r="W16" i="138"/>
  <c r="T16" i="138"/>
  <c r="Q16" i="138"/>
  <c r="N16" i="138"/>
  <c r="Y16" i="138" s="1"/>
  <c r="K16" i="138"/>
  <c r="H16" i="138"/>
  <c r="X15" i="138"/>
  <c r="W15" i="138"/>
  <c r="T15" i="138"/>
  <c r="Q15" i="138"/>
  <c r="N15" i="138"/>
  <c r="Y15" i="138" s="1"/>
  <c r="K15" i="138"/>
  <c r="H15" i="138"/>
  <c r="X14" i="138"/>
  <c r="Y14" i="138" s="1"/>
  <c r="W14" i="138"/>
  <c r="T14" i="138"/>
  <c r="Q14" i="138"/>
  <c r="N14" i="138"/>
  <c r="K14" i="138"/>
  <c r="H14" i="138"/>
  <c r="X13" i="138"/>
  <c r="W13" i="138"/>
  <c r="N13" i="138"/>
  <c r="K13" i="138"/>
  <c r="H13" i="138"/>
  <c r="H55" i="138" s="1"/>
  <c r="K55" i="138" l="1"/>
  <c r="Y20" i="138"/>
  <c r="AC20" i="138" s="1"/>
  <c r="Y23" i="138"/>
  <c r="Y25" i="138"/>
  <c r="Y29" i="138"/>
  <c r="Y34" i="138"/>
  <c r="Y43" i="138"/>
  <c r="Y47" i="138"/>
  <c r="Q55" i="138"/>
  <c r="Y19" i="138"/>
  <c r="Y35" i="138"/>
  <c r="Y44" i="138"/>
  <c r="Y55" i="139"/>
  <c r="W55" i="138"/>
  <c r="T55" i="138"/>
  <c r="Y17" i="138"/>
  <c r="Y27" i="138"/>
  <c r="Y22" i="138"/>
  <c r="Y28" i="138"/>
  <c r="X55" i="138"/>
  <c r="K79" i="138"/>
  <c r="AC21" i="140"/>
  <c r="AC13" i="139"/>
  <c r="AC21" i="139" s="1"/>
  <c r="N55" i="138"/>
  <c r="C58" i="138"/>
  <c r="Y13" i="138"/>
  <c r="Y55" i="138" l="1"/>
  <c r="AC13" i="138"/>
  <c r="AC21" i="138" s="1"/>
  <c r="V55" i="137"/>
  <c r="U55" i="137"/>
  <c r="S55" i="137"/>
  <c r="R55" i="137"/>
  <c r="P55" i="137"/>
  <c r="O55" i="137"/>
  <c r="M55" i="137"/>
  <c r="L55" i="137"/>
  <c r="J55" i="137"/>
  <c r="I55" i="137"/>
  <c r="C79" i="137" s="1"/>
  <c r="G55" i="137"/>
  <c r="F55" i="137"/>
  <c r="E55" i="137"/>
  <c r="X54" i="137"/>
  <c r="W54" i="137"/>
  <c r="T54" i="137"/>
  <c r="Q54" i="137"/>
  <c r="N54" i="137"/>
  <c r="K54" i="137"/>
  <c r="H54" i="137"/>
  <c r="X53" i="137"/>
  <c r="W53" i="137"/>
  <c r="T53" i="137"/>
  <c r="Q53" i="137"/>
  <c r="N53" i="137"/>
  <c r="K53" i="137"/>
  <c r="H53" i="137"/>
  <c r="X52" i="137"/>
  <c r="W52" i="137"/>
  <c r="T52" i="137"/>
  <c r="Q52" i="137"/>
  <c r="N52" i="137"/>
  <c r="K52" i="137"/>
  <c r="H52" i="137"/>
  <c r="X51" i="137"/>
  <c r="W51" i="137"/>
  <c r="T51" i="137"/>
  <c r="Q51" i="137"/>
  <c r="N51" i="137"/>
  <c r="K51" i="137"/>
  <c r="H51" i="137"/>
  <c r="X50" i="137"/>
  <c r="W50" i="137"/>
  <c r="T50" i="137"/>
  <c r="Q50" i="137"/>
  <c r="N50" i="137"/>
  <c r="Y50" i="137" s="1"/>
  <c r="K50" i="137"/>
  <c r="H50" i="137"/>
  <c r="Y49" i="137"/>
  <c r="X49" i="137"/>
  <c r="W49" i="137"/>
  <c r="T49" i="137"/>
  <c r="Q49" i="137"/>
  <c r="N49" i="137"/>
  <c r="K49" i="137"/>
  <c r="H49" i="137"/>
  <c r="X48" i="137"/>
  <c r="W48" i="137"/>
  <c r="T48" i="137"/>
  <c r="Q48" i="137"/>
  <c r="N48" i="137"/>
  <c r="K48" i="137"/>
  <c r="H48" i="137"/>
  <c r="X47" i="137"/>
  <c r="W47" i="137"/>
  <c r="T47" i="137"/>
  <c r="Q47" i="137"/>
  <c r="N47" i="137"/>
  <c r="K47" i="137"/>
  <c r="H47" i="137"/>
  <c r="X46" i="137"/>
  <c r="W46" i="137"/>
  <c r="T46" i="137"/>
  <c r="Q46" i="137"/>
  <c r="N46" i="137"/>
  <c r="Y46" i="137" s="1"/>
  <c r="K46" i="137"/>
  <c r="H46" i="137"/>
  <c r="X45" i="137"/>
  <c r="W45" i="137"/>
  <c r="T45" i="137"/>
  <c r="Q45" i="137"/>
  <c r="N45" i="137"/>
  <c r="K45" i="137"/>
  <c r="H45" i="137"/>
  <c r="X44" i="137"/>
  <c r="W44" i="137"/>
  <c r="T44" i="137"/>
  <c r="Q44" i="137"/>
  <c r="N44" i="137"/>
  <c r="K44" i="137"/>
  <c r="H44" i="137"/>
  <c r="X43" i="137"/>
  <c r="W43" i="137"/>
  <c r="T43" i="137"/>
  <c r="Q43" i="137"/>
  <c r="N43" i="137"/>
  <c r="K43" i="137"/>
  <c r="H43" i="137"/>
  <c r="X42" i="137"/>
  <c r="Y42" i="137" s="1"/>
  <c r="W42" i="137"/>
  <c r="T42" i="137"/>
  <c r="Q42" i="137"/>
  <c r="N42" i="137"/>
  <c r="K42" i="137"/>
  <c r="H42" i="137"/>
  <c r="X41" i="137"/>
  <c r="W41" i="137"/>
  <c r="T41" i="137"/>
  <c r="Q41" i="137"/>
  <c r="N41" i="137"/>
  <c r="Y41" i="137" s="1"/>
  <c r="K41" i="137"/>
  <c r="H41" i="137"/>
  <c r="X40" i="137"/>
  <c r="W40" i="137"/>
  <c r="T40" i="137"/>
  <c r="Q40" i="137"/>
  <c r="N40" i="137"/>
  <c r="K40" i="137"/>
  <c r="H40" i="137"/>
  <c r="X39" i="137"/>
  <c r="Y39" i="137" s="1"/>
  <c r="W39" i="137"/>
  <c r="T39" i="137"/>
  <c r="Q39" i="137"/>
  <c r="N39" i="137"/>
  <c r="K39" i="137"/>
  <c r="H39" i="137"/>
  <c r="X38" i="137"/>
  <c r="W38" i="137"/>
  <c r="T38" i="137"/>
  <c r="Q38" i="137"/>
  <c r="N38" i="137"/>
  <c r="Y38" i="137" s="1"/>
  <c r="K38" i="137"/>
  <c r="H38" i="137"/>
  <c r="X37" i="137"/>
  <c r="W37" i="137"/>
  <c r="T37" i="137"/>
  <c r="Q37" i="137"/>
  <c r="N37" i="137"/>
  <c r="Y37" i="137" s="1"/>
  <c r="K37" i="137"/>
  <c r="H37" i="137"/>
  <c r="X36" i="137"/>
  <c r="W36" i="137"/>
  <c r="T36" i="137"/>
  <c r="Q36" i="137"/>
  <c r="N36" i="137"/>
  <c r="K36" i="137"/>
  <c r="H36" i="137"/>
  <c r="X35" i="137"/>
  <c r="W35" i="137"/>
  <c r="T35" i="137"/>
  <c r="Q35" i="137"/>
  <c r="N35" i="137"/>
  <c r="Y35" i="137" s="1"/>
  <c r="K35" i="137"/>
  <c r="H35" i="137"/>
  <c r="Y34" i="137"/>
  <c r="X34" i="137"/>
  <c r="W34" i="137"/>
  <c r="T34" i="137"/>
  <c r="Q34" i="137"/>
  <c r="N34" i="137"/>
  <c r="K34" i="137"/>
  <c r="H34" i="137"/>
  <c r="X33" i="137"/>
  <c r="W33" i="137"/>
  <c r="T33" i="137"/>
  <c r="Q33" i="137"/>
  <c r="N33" i="137"/>
  <c r="K33" i="137"/>
  <c r="H33" i="137"/>
  <c r="X32" i="137"/>
  <c r="W32" i="137"/>
  <c r="T32" i="137"/>
  <c r="Q32" i="137"/>
  <c r="N32" i="137"/>
  <c r="K32" i="137"/>
  <c r="H32" i="137"/>
  <c r="X31" i="137"/>
  <c r="T31" i="137"/>
  <c r="Q31" i="137"/>
  <c r="N31" i="137"/>
  <c r="Y31" i="137" s="1"/>
  <c r="K31" i="137"/>
  <c r="H31" i="137"/>
  <c r="X30" i="137"/>
  <c r="W30" i="137"/>
  <c r="T30" i="137"/>
  <c r="Q30" i="137"/>
  <c r="N30" i="137"/>
  <c r="Y30" i="137" s="1"/>
  <c r="K30" i="137"/>
  <c r="H30" i="137"/>
  <c r="X29" i="137"/>
  <c r="W29" i="137"/>
  <c r="T29" i="137"/>
  <c r="Q29" i="137"/>
  <c r="N29" i="137"/>
  <c r="K29" i="137"/>
  <c r="H29" i="137"/>
  <c r="X28" i="137"/>
  <c r="W28" i="137"/>
  <c r="T28" i="137"/>
  <c r="Q28" i="137"/>
  <c r="N28" i="137"/>
  <c r="Y28" i="137" s="1"/>
  <c r="K28" i="137"/>
  <c r="H28" i="137"/>
  <c r="X27" i="137"/>
  <c r="W27" i="137"/>
  <c r="T27" i="137"/>
  <c r="Q27" i="137"/>
  <c r="N27" i="137"/>
  <c r="K27" i="137"/>
  <c r="H27" i="137"/>
  <c r="X26" i="137"/>
  <c r="W26" i="137"/>
  <c r="T26" i="137"/>
  <c r="Q26" i="137"/>
  <c r="N26" i="137"/>
  <c r="Y26" i="137" s="1"/>
  <c r="K26" i="137"/>
  <c r="H26" i="137"/>
  <c r="X25" i="137"/>
  <c r="W25" i="137"/>
  <c r="T25" i="137"/>
  <c r="Q25" i="137"/>
  <c r="N25" i="137"/>
  <c r="Y25" i="137" s="1"/>
  <c r="K25" i="137"/>
  <c r="H25" i="137"/>
  <c r="X24" i="137"/>
  <c r="W24" i="137"/>
  <c r="T24" i="137"/>
  <c r="Q24" i="137"/>
  <c r="N24" i="137"/>
  <c r="K24" i="137"/>
  <c r="H24" i="137"/>
  <c r="X23" i="137"/>
  <c r="W23" i="137"/>
  <c r="T23" i="137"/>
  <c r="Q23" i="137"/>
  <c r="N23" i="137"/>
  <c r="Y23" i="137" s="1"/>
  <c r="K23" i="137"/>
  <c r="H23" i="137"/>
  <c r="X22" i="137"/>
  <c r="W22" i="137"/>
  <c r="T22" i="137"/>
  <c r="Q22" i="137"/>
  <c r="N22" i="137"/>
  <c r="Y22" i="137" s="1"/>
  <c r="K22" i="137"/>
  <c r="H22" i="137"/>
  <c r="X21" i="137"/>
  <c r="W21" i="137"/>
  <c r="T21" i="137"/>
  <c r="Q21" i="137"/>
  <c r="N21" i="137"/>
  <c r="K21" i="137"/>
  <c r="H21" i="137"/>
  <c r="X20" i="137"/>
  <c r="W20" i="137"/>
  <c r="T20" i="137"/>
  <c r="Q20" i="137"/>
  <c r="N20" i="137"/>
  <c r="Y20" i="137" s="1"/>
  <c r="K20" i="137"/>
  <c r="H20" i="137"/>
  <c r="X19" i="137"/>
  <c r="W19" i="137"/>
  <c r="T19" i="137"/>
  <c r="Q19" i="137"/>
  <c r="N19" i="137"/>
  <c r="Y19" i="137" s="1"/>
  <c r="K19" i="137"/>
  <c r="H19" i="137"/>
  <c r="X18" i="137"/>
  <c r="W18" i="137"/>
  <c r="T18" i="137"/>
  <c r="Q18" i="137"/>
  <c r="N18" i="137"/>
  <c r="K18" i="137"/>
  <c r="H18" i="137"/>
  <c r="X17" i="137"/>
  <c r="W17" i="137"/>
  <c r="T17" i="137"/>
  <c r="Q17" i="137"/>
  <c r="N17" i="137"/>
  <c r="Y17" i="137" s="1"/>
  <c r="K17" i="137"/>
  <c r="H17" i="137"/>
  <c r="X16" i="137"/>
  <c r="W16" i="137"/>
  <c r="T16" i="137"/>
  <c r="Q16" i="137"/>
  <c r="N16" i="137"/>
  <c r="K16" i="137"/>
  <c r="H16" i="137"/>
  <c r="X15" i="137"/>
  <c r="W15" i="137"/>
  <c r="T15" i="137"/>
  <c r="Q15" i="137"/>
  <c r="N15" i="137"/>
  <c r="K15" i="137"/>
  <c r="H15" i="137"/>
  <c r="X14" i="137"/>
  <c r="W14" i="137"/>
  <c r="T14" i="137"/>
  <c r="Q14" i="137"/>
  <c r="N14" i="137"/>
  <c r="Y14" i="137" s="1"/>
  <c r="K14" i="137"/>
  <c r="H14" i="137"/>
  <c r="X13" i="137"/>
  <c r="W13" i="137"/>
  <c r="N13" i="137"/>
  <c r="K13" i="137"/>
  <c r="H13" i="137"/>
  <c r="Y33" i="137" l="1"/>
  <c r="Y43" i="137"/>
  <c r="Y48" i="137"/>
  <c r="Q55" i="137"/>
  <c r="Y27" i="137"/>
  <c r="Y32" i="137"/>
  <c r="Y47" i="137"/>
  <c r="Y40" i="137"/>
  <c r="Y24" i="137"/>
  <c r="Y29" i="137"/>
  <c r="Y36" i="137"/>
  <c r="Y44" i="137"/>
  <c r="Y54" i="137"/>
  <c r="Y52" i="137"/>
  <c r="Y13" i="137"/>
  <c r="K79" i="137"/>
  <c r="Y51" i="137"/>
  <c r="Y45" i="137"/>
  <c r="C80" i="137"/>
  <c r="C81" i="137" s="1"/>
  <c r="K55" i="137"/>
  <c r="H55" i="137"/>
  <c r="W55" i="137"/>
  <c r="Y18" i="137"/>
  <c r="Y21" i="137"/>
  <c r="Y53" i="137"/>
  <c r="T55" i="137"/>
  <c r="Y15" i="137"/>
  <c r="X55" i="137"/>
  <c r="N55" i="137"/>
  <c r="Y16" i="137"/>
  <c r="AC20" i="137" l="1"/>
  <c r="Y55" i="137"/>
  <c r="C58" i="137"/>
  <c r="AC13" i="137"/>
  <c r="AC21" i="137" l="1"/>
</calcChain>
</file>

<file path=xl/sharedStrings.xml><?xml version="1.0" encoding="utf-8"?>
<sst xmlns="http://schemas.openxmlformats.org/spreadsheetml/2006/main" count="550" uniqueCount="99">
  <si>
    <t>BID. LAHTABANG</t>
  </si>
  <si>
    <t xml:space="preserve"> </t>
  </si>
  <si>
    <t>JUMLAH</t>
  </si>
  <si>
    <t>BID. VALBIN</t>
  </si>
  <si>
    <t>BIDANG PAJAK</t>
  </si>
  <si>
    <t>UPPD KAB. SEMARANG</t>
  </si>
  <si>
    <t>UPPD  KOTA SEMARANG I</t>
  </si>
  <si>
    <t>UPPD  KOTA SEMARANG II</t>
  </si>
  <si>
    <t>UPPD  KOTA SEMARANG III</t>
  </si>
  <si>
    <t>UPPD KOTA SALATIGA</t>
  </si>
  <si>
    <t>UPPD KAB. DEMAK</t>
  </si>
  <si>
    <t>UPPD KAB. KENDAL</t>
  </si>
  <si>
    <t>UPPD KOTA SURAKARTA</t>
  </si>
  <si>
    <t>UPPD KAB. BOYOLALI</t>
  </si>
  <si>
    <t>UPPD  KAB. KLATEN</t>
  </si>
  <si>
    <t>UPPD KAB. SUKOHARJO</t>
  </si>
  <si>
    <t>UPPD  KAB. WONOGIRI</t>
  </si>
  <si>
    <t>UPPD KAB. KARANGANYAR</t>
  </si>
  <si>
    <t>UPPD  KAB. SRAGEN</t>
  </si>
  <si>
    <t>UPPD KAB. PATI</t>
  </si>
  <si>
    <t>UPPD KAB. KUDUS</t>
  </si>
  <si>
    <t>UPPD KAB. JEPARA</t>
  </si>
  <si>
    <t>UPPD  KAB. BLORA</t>
  </si>
  <si>
    <t>UPPD KAB. BATANG</t>
  </si>
  <si>
    <t>UPPD KAB. PEMALANG</t>
  </si>
  <si>
    <t>UPPD  KAB. BREBES</t>
  </si>
  <si>
    <t>UPPD KOTA MAGELANG</t>
  </si>
  <si>
    <t>UPPD  KAB. KEBUMEN</t>
  </si>
  <si>
    <t>UPPD  KAB. BANYUMAS</t>
  </si>
  <si>
    <t>UPPD KAB. CILACAP</t>
  </si>
  <si>
    <t>UPPD KAB. PURBALINGGA</t>
  </si>
  <si>
    <t>UPPD KAB. BANJARNEGARA</t>
  </si>
  <si>
    <t>BID. RETRIBUSI DAN PL</t>
  </si>
  <si>
    <t>UPPD KAB. PEKALONGAN</t>
  </si>
  <si>
    <t>UPPD  KAB. REMBANG</t>
  </si>
  <si>
    <t>UPPD  KAB. GROBOGAN</t>
  </si>
  <si>
    <t>UPPD  KOTA PEKALONGAN</t>
  </si>
  <si>
    <t>UPPD  KOTA TEGAL</t>
  </si>
  <si>
    <t>UPPD  KAB. TEGAL</t>
  </si>
  <si>
    <t>UPPD KAB. MAGELANG</t>
  </si>
  <si>
    <t>UPPD KAB. TEMANGGUNG</t>
  </si>
  <si>
    <t>UPPD KAB. WONOSOBO</t>
  </si>
  <si>
    <t>UPPD KAB. PURWOREJO</t>
  </si>
  <si>
    <t>NO</t>
  </si>
  <si>
    <t>SEKRETARIAT</t>
  </si>
  <si>
    <t>UNIT KERJA</t>
  </si>
  <si>
    <t>STRUKTURAL</t>
  </si>
  <si>
    <t>ES II</t>
  </si>
  <si>
    <t>ES III</t>
  </si>
  <si>
    <t>ES IV</t>
  </si>
  <si>
    <t>PELAKSANA</t>
  </si>
  <si>
    <t>FORMASI</t>
  </si>
  <si>
    <t>BEZETTING</t>
  </si>
  <si>
    <t>KEKURANGAN</t>
  </si>
  <si>
    <t>PNS</t>
  </si>
  <si>
    <t>TENAGA TEKNIS</t>
  </si>
  <si>
    <t>JUMLAH (PNS+TENAGA KONTRAK)</t>
  </si>
  <si>
    <t>TENAGA KONTRAK</t>
  </si>
  <si>
    <t>KANTOR PUSAT (ANGGARAN)</t>
  </si>
  <si>
    <t xml:space="preserve">REKAPITULASI JUMLAH PEGAWAI </t>
  </si>
  <si>
    <t>BADAN PENGELOLA PENDAPATAN DAERAH PROVINSI JAWA TENGAH</t>
  </si>
  <si>
    <t>STRUKTURAL YG KSG</t>
  </si>
  <si>
    <t>CPNS</t>
  </si>
  <si>
    <t>KEPALA BADAN</t>
  </si>
  <si>
    <t>KASUBBAG TU UPPD KAB WONOGIRI</t>
  </si>
  <si>
    <t>STRUK</t>
  </si>
  <si>
    <t>STAF</t>
  </si>
  <si>
    <t>NAMA JABATAN</t>
  </si>
  <si>
    <t>DAFTAR NOMINATIF JABATAN YANG MASIH BELUM TERISI</t>
  </si>
  <si>
    <t>ADM NON ASN (ANGGARAN)</t>
  </si>
  <si>
    <t>UPPD (ANGGARAN)</t>
  </si>
  <si>
    <t>KASUBBID VALBIN PKB</t>
  </si>
  <si>
    <t>KASUBBAG TU UPPD KOTA SEMARANG II</t>
  </si>
  <si>
    <t>KASUBBAG TU UPPD KAB SEMARANG</t>
  </si>
  <si>
    <t>KASUBBAG TU UPPD KOTA SALATIGA</t>
  </si>
  <si>
    <t>KASUBBAG TU UPPD KAB REMBANG</t>
  </si>
  <si>
    <t>KASUBBAG TU UPPD KAB BANYUMAS</t>
  </si>
  <si>
    <t>KASI RPP UPPD KOTA SALATIGA</t>
  </si>
  <si>
    <t>KASI RPP UPPD KAB SRAGEN</t>
  </si>
  <si>
    <t>KASI RPP UPPD KAB BOYOLALI</t>
  </si>
  <si>
    <t>KASI RPP UPPD KAB PATI</t>
  </si>
  <si>
    <t>KASI RPP UPPD KAB TEGAL</t>
  </si>
  <si>
    <t>KASI RPP UPPD KAB BREBES</t>
  </si>
  <si>
    <t>KASI RPP UPPD KAB BANJARNEGARA</t>
  </si>
  <si>
    <t>KASI RPP KAB WONOSOBO</t>
  </si>
  <si>
    <t>BULAN JANUARI 2022</t>
  </si>
  <si>
    <t>ANGGARAN</t>
  </si>
  <si>
    <t>BULAN februari 2022</t>
  </si>
  <si>
    <t>KEPALA UPPD KABUPATEN WONOGIRI</t>
  </si>
  <si>
    <t>BULANMARET 2022</t>
  </si>
  <si>
    <t>BULAN APRIL 2022</t>
  </si>
  <si>
    <t>KEPALA UPPD KABUPATEN BREBES</t>
  </si>
  <si>
    <t>KASUBBAG TU UPPD KAB CILACAP</t>
  </si>
  <si>
    <t>KASI RPP UPPD KOTA SEMARANG II</t>
  </si>
  <si>
    <t>KASI PKB UPPD KAB SEMARANG</t>
  </si>
  <si>
    <t>KEPALA UPPD KABUPATEN PATI</t>
  </si>
  <si>
    <t>KASI PKB UPPD KAB PURWOREJO</t>
  </si>
  <si>
    <t>PER MEI 2022</t>
  </si>
  <si>
    <t>BULAN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</si>
</sst>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0" fillId="0" borderId="0" xfId="0" applyFill="1"/>
    <xf numFmtId="0" fontId="3" fillId="0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3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5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0" fontId="5" fillId="0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tabSelected="1" zoomScale="90" zoomScaleNormal="90" zoomScaleSheetLayoutView="90" workbookViewId="0">
      <pane ySplit="12" topLeftCell="A13" activePane="bottomLeft" state="frozen"/>
      <selection pane="bottomLeft" activeCell="A3" sqref="A3:Y3"/>
    </sheetView>
  </sheetViews>
  <sheetFormatPr defaultRowHeight="12.75" x14ac:dyDescent="0.2"/>
  <cols>
    <col min="1" max="1" width="5.42578125" customWidth="1"/>
    <col min="2" max="2" width="26.42578125" customWidth="1"/>
    <col min="3" max="3" width="9.140625" customWidth="1"/>
    <col min="4" max="4" width="8.28515625" customWidth="1"/>
    <col min="5" max="5" width="9.140625" customWidth="1"/>
    <col min="6" max="6" width="9.7109375" customWidth="1"/>
    <col min="7" max="7" width="8.140625" customWidth="1"/>
    <col min="8" max="8" width="9.28515625" customWidth="1"/>
    <col min="9" max="9" width="9.5703125" customWidth="1"/>
    <col min="10" max="10" width="8.28515625" customWidth="1"/>
    <col min="11" max="11" width="10.28515625" customWidth="1"/>
    <col min="12" max="12" width="6.85546875" customWidth="1"/>
    <col min="13" max="13" width="6.5703125" style="13" customWidth="1"/>
    <col min="14" max="14" width="9.5703125" customWidth="1"/>
    <col min="15" max="15" width="10.28515625" customWidth="1"/>
    <col min="16" max="16" width="9" customWidth="1"/>
    <col min="17" max="17" width="9.42578125" customWidth="1"/>
    <col min="18" max="18" width="9.7109375" customWidth="1"/>
    <col min="19" max="19" width="8.5703125" customWidth="1"/>
    <col min="20" max="20" width="9.28515625" customWidth="1"/>
    <col min="21" max="21" width="9.85546875" customWidth="1"/>
    <col min="22" max="22" width="8.5703125" customWidth="1"/>
    <col min="23" max="23" width="9.5703125" customWidth="1"/>
    <col min="24" max="24" width="8.7109375" style="109" customWidth="1"/>
    <col min="25" max="25" width="15.42578125" style="109" customWidth="1"/>
    <col min="26" max="26" width="21.140625" style="3" customWidth="1"/>
    <col min="27" max="27" width="1.7109375" customWidth="1"/>
  </cols>
  <sheetData>
    <row r="1" spans="1:29" ht="15.75" customHeight="1" x14ac:dyDescent="0.2">
      <c r="A1" s="133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03"/>
    </row>
    <row r="2" spans="1:29" ht="15.75" customHeight="1" x14ac:dyDescent="0.2">
      <c r="A2" s="134" t="s">
        <v>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03"/>
    </row>
    <row r="3" spans="1:29" ht="15.75" customHeight="1" x14ac:dyDescent="0.2">
      <c r="A3" s="133" t="s">
        <v>98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03"/>
    </row>
    <row r="4" spans="1:29" ht="15.7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03"/>
      <c r="Z4" s="103"/>
    </row>
    <row r="5" spans="1:29" ht="10.5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03"/>
      <c r="Z5"/>
    </row>
    <row r="6" spans="1:29" hidden="1" x14ac:dyDescent="0.2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2"/>
      <c r="Z6"/>
    </row>
    <row r="7" spans="1:29" hidden="1" x14ac:dyDescent="0.2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"/>
      <c r="Z7"/>
    </row>
    <row r="8" spans="1:29" hidden="1" x14ac:dyDescent="0.2">
      <c r="Y8" s="3"/>
      <c r="Z8"/>
    </row>
    <row r="9" spans="1:29" s="1" customFormat="1" ht="39.950000000000003" customHeight="1" x14ac:dyDescent="0.2">
      <c r="A9" s="119" t="s">
        <v>43</v>
      </c>
      <c r="B9" s="122" t="s">
        <v>45</v>
      </c>
      <c r="C9" s="114" t="s">
        <v>54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  <c r="O9" s="125" t="s">
        <v>57</v>
      </c>
      <c r="P9" s="125"/>
      <c r="Q9" s="125"/>
      <c r="R9" s="125"/>
      <c r="S9" s="125"/>
      <c r="T9" s="125"/>
      <c r="U9" s="125"/>
      <c r="V9" s="125"/>
      <c r="W9" s="125"/>
      <c r="X9" s="126"/>
      <c r="Y9" s="111" t="s">
        <v>56</v>
      </c>
      <c r="Z9" s="4"/>
    </row>
    <row r="10" spans="1:29" s="1" customFormat="1" ht="39.950000000000003" customHeight="1" x14ac:dyDescent="0.2">
      <c r="A10" s="120"/>
      <c r="B10" s="123"/>
      <c r="C10" s="114" t="s">
        <v>46</v>
      </c>
      <c r="D10" s="115"/>
      <c r="E10" s="115"/>
      <c r="F10" s="115"/>
      <c r="G10" s="115"/>
      <c r="H10" s="115"/>
      <c r="I10" s="115"/>
      <c r="J10" s="115"/>
      <c r="K10" s="115"/>
      <c r="L10" s="127" t="s">
        <v>50</v>
      </c>
      <c r="M10" s="128"/>
      <c r="N10" s="122" t="s">
        <v>2</v>
      </c>
      <c r="O10" s="131" t="s">
        <v>69</v>
      </c>
      <c r="P10" s="131"/>
      <c r="Q10" s="131"/>
      <c r="R10" s="110" t="s">
        <v>55</v>
      </c>
      <c r="S10" s="110"/>
      <c r="T10" s="110"/>
      <c r="U10" s="110"/>
      <c r="V10" s="110"/>
      <c r="W10" s="110"/>
      <c r="X10" s="111" t="s">
        <v>2</v>
      </c>
      <c r="Y10" s="112"/>
      <c r="Z10" s="4"/>
    </row>
    <row r="11" spans="1:29" s="1" customFormat="1" ht="39.950000000000003" customHeight="1" x14ac:dyDescent="0.2">
      <c r="A11" s="120"/>
      <c r="B11" s="123"/>
      <c r="C11" s="114" t="s">
        <v>47</v>
      </c>
      <c r="D11" s="115"/>
      <c r="E11" s="116"/>
      <c r="F11" s="114" t="s">
        <v>48</v>
      </c>
      <c r="G11" s="115"/>
      <c r="H11" s="116"/>
      <c r="I11" s="114" t="s">
        <v>49</v>
      </c>
      <c r="J11" s="115"/>
      <c r="K11" s="115"/>
      <c r="L11" s="129"/>
      <c r="M11" s="130"/>
      <c r="N11" s="123"/>
      <c r="O11" s="132"/>
      <c r="P11" s="132"/>
      <c r="Q11" s="132"/>
      <c r="R11" s="110" t="s">
        <v>58</v>
      </c>
      <c r="S11" s="110"/>
      <c r="T11" s="110"/>
      <c r="U11" s="117" t="s">
        <v>70</v>
      </c>
      <c r="V11" s="117"/>
      <c r="W11" s="117"/>
      <c r="X11" s="112"/>
      <c r="Y11" s="112"/>
      <c r="Z11" s="4"/>
    </row>
    <row r="12" spans="1:29" s="1" customFormat="1" ht="39.950000000000003" customHeight="1" x14ac:dyDescent="0.2">
      <c r="A12" s="121"/>
      <c r="B12" s="124"/>
      <c r="C12" s="107" t="s">
        <v>51</v>
      </c>
      <c r="D12" s="5" t="s">
        <v>52</v>
      </c>
      <c r="E12" s="5" t="s">
        <v>53</v>
      </c>
      <c r="F12" s="104" t="s">
        <v>51</v>
      </c>
      <c r="G12" s="5" t="s">
        <v>52</v>
      </c>
      <c r="H12" s="5" t="s">
        <v>53</v>
      </c>
      <c r="I12" s="104" t="s">
        <v>51</v>
      </c>
      <c r="J12" s="5" t="s">
        <v>52</v>
      </c>
      <c r="K12" s="5" t="s">
        <v>53</v>
      </c>
      <c r="L12" s="106" t="s">
        <v>62</v>
      </c>
      <c r="M12" s="14" t="s">
        <v>54</v>
      </c>
      <c r="N12" s="124"/>
      <c r="O12" s="62" t="s">
        <v>86</v>
      </c>
      <c r="P12" s="106" t="s">
        <v>52</v>
      </c>
      <c r="Q12" s="5" t="s">
        <v>53</v>
      </c>
      <c r="R12" s="106" t="s">
        <v>86</v>
      </c>
      <c r="S12" s="106" t="s">
        <v>52</v>
      </c>
      <c r="T12" s="5" t="s">
        <v>53</v>
      </c>
      <c r="U12" s="106" t="s">
        <v>86</v>
      </c>
      <c r="V12" s="106" t="s">
        <v>52</v>
      </c>
      <c r="W12" s="5" t="s">
        <v>53</v>
      </c>
      <c r="X12" s="113"/>
      <c r="Y12" s="113"/>
      <c r="Z12" s="4"/>
    </row>
    <row r="13" spans="1:29" s="1" customFormat="1" ht="33.950000000000003" customHeight="1" x14ac:dyDescent="0.2">
      <c r="A13" s="20">
        <v>1</v>
      </c>
      <c r="B13" s="18" t="s">
        <v>44</v>
      </c>
      <c r="C13" s="9">
        <v>1</v>
      </c>
      <c r="D13" s="9">
        <v>0</v>
      </c>
      <c r="E13" s="107">
        <v>1</v>
      </c>
      <c r="F13" s="9">
        <v>1</v>
      </c>
      <c r="G13" s="9">
        <v>1</v>
      </c>
      <c r="H13" s="107">
        <f>F13-G13</f>
        <v>0</v>
      </c>
      <c r="I13" s="9">
        <v>3</v>
      </c>
      <c r="J13" s="9">
        <v>3</v>
      </c>
      <c r="K13" s="107">
        <f>I13-J13</f>
        <v>0</v>
      </c>
      <c r="L13" s="107">
        <v>4</v>
      </c>
      <c r="M13" s="76">
        <v>29</v>
      </c>
      <c r="N13" s="9">
        <f>D13+G13+J13+L13+M13</f>
        <v>37</v>
      </c>
      <c r="O13" s="35">
        <v>28</v>
      </c>
      <c r="P13" s="8">
        <v>28</v>
      </c>
      <c r="Q13" s="104">
        <v>0</v>
      </c>
      <c r="R13" s="8">
        <v>0</v>
      </c>
      <c r="S13" s="8">
        <v>0</v>
      </c>
      <c r="T13" s="104">
        <v>0</v>
      </c>
      <c r="U13" s="8">
        <v>0</v>
      </c>
      <c r="V13" s="8">
        <v>0</v>
      </c>
      <c r="W13" s="16">
        <f>U13-V13</f>
        <v>0</v>
      </c>
      <c r="X13" s="11">
        <f>P13+S13+V13</f>
        <v>28</v>
      </c>
      <c r="Y13" s="12">
        <f>N13+X13</f>
        <v>65</v>
      </c>
      <c r="Z13" s="4"/>
      <c r="AC13" s="40">
        <f>Y13+Y14+Y15+Y16+Y17</f>
        <v>145</v>
      </c>
    </row>
    <row r="14" spans="1:29" s="1" customFormat="1" ht="33.950000000000003" customHeight="1" x14ac:dyDescent="0.2">
      <c r="A14" s="20">
        <v>2</v>
      </c>
      <c r="B14" s="18" t="s">
        <v>4</v>
      </c>
      <c r="C14" s="6"/>
      <c r="D14" s="6"/>
      <c r="E14" s="6"/>
      <c r="F14" s="9">
        <v>1</v>
      </c>
      <c r="G14" s="9">
        <v>1</v>
      </c>
      <c r="H14" s="107">
        <f t="shared" ref="H14:H54" si="0">F14-G14</f>
        <v>0</v>
      </c>
      <c r="I14" s="9">
        <v>3</v>
      </c>
      <c r="J14" s="9">
        <v>3</v>
      </c>
      <c r="K14" s="107">
        <f t="shared" ref="K14:K54" si="1">I14-J14</f>
        <v>0</v>
      </c>
      <c r="L14" s="107">
        <v>0</v>
      </c>
      <c r="M14" s="76">
        <v>9</v>
      </c>
      <c r="N14" s="9">
        <f t="shared" ref="N14:N54" si="2">D14+G14+J14+L14+M14</f>
        <v>13</v>
      </c>
      <c r="O14" s="35">
        <v>3</v>
      </c>
      <c r="P14" s="8">
        <v>3</v>
      </c>
      <c r="Q14" s="104">
        <f t="shared" ref="Q14:Q54" si="3">O14-P14</f>
        <v>0</v>
      </c>
      <c r="R14" s="8">
        <v>8</v>
      </c>
      <c r="S14" s="8">
        <v>8</v>
      </c>
      <c r="T14" s="104">
        <f t="shared" ref="T14:T54" si="4">R14-S14</f>
        <v>0</v>
      </c>
      <c r="U14" s="8">
        <v>0</v>
      </c>
      <c r="V14" s="8">
        <v>0</v>
      </c>
      <c r="W14" s="16">
        <f t="shared" ref="W14:W54" si="5">U14-V14</f>
        <v>0</v>
      </c>
      <c r="X14" s="11">
        <f t="shared" ref="X14:X54" si="6">P14+S14+V14</f>
        <v>11</v>
      </c>
      <c r="Y14" s="12">
        <f t="shared" ref="Y14:Y54" si="7">N14+X14</f>
        <v>24</v>
      </c>
      <c r="Z14" s="4"/>
    </row>
    <row r="15" spans="1:29" s="1" customFormat="1" ht="33.950000000000003" customHeight="1" x14ac:dyDescent="0.2">
      <c r="A15" s="20">
        <v>3</v>
      </c>
      <c r="B15" s="18" t="s">
        <v>0</v>
      </c>
      <c r="C15" s="6"/>
      <c r="D15" s="6"/>
      <c r="E15" s="6"/>
      <c r="F15" s="9">
        <v>1</v>
      </c>
      <c r="G15" s="9">
        <v>1</v>
      </c>
      <c r="H15" s="107">
        <f t="shared" si="0"/>
        <v>0</v>
      </c>
      <c r="I15" s="9">
        <v>0</v>
      </c>
      <c r="J15" s="9">
        <v>0</v>
      </c>
      <c r="K15" s="107">
        <f t="shared" si="1"/>
        <v>0</v>
      </c>
      <c r="L15" s="107">
        <v>3</v>
      </c>
      <c r="M15" s="76">
        <v>8</v>
      </c>
      <c r="N15" s="9">
        <f t="shared" si="2"/>
        <v>12</v>
      </c>
      <c r="O15" s="35">
        <v>11</v>
      </c>
      <c r="P15" s="8">
        <v>11</v>
      </c>
      <c r="Q15" s="104">
        <f t="shared" si="3"/>
        <v>0</v>
      </c>
      <c r="R15" s="8">
        <v>1</v>
      </c>
      <c r="S15" s="8">
        <v>1</v>
      </c>
      <c r="T15" s="104">
        <f t="shared" si="4"/>
        <v>0</v>
      </c>
      <c r="U15" s="8">
        <v>0</v>
      </c>
      <c r="V15" s="8">
        <v>0</v>
      </c>
      <c r="W15" s="16">
        <f t="shared" si="5"/>
        <v>0</v>
      </c>
      <c r="X15" s="11">
        <f t="shared" si="6"/>
        <v>12</v>
      </c>
      <c r="Y15" s="12">
        <f t="shared" si="7"/>
        <v>24</v>
      </c>
      <c r="Z15" s="4"/>
    </row>
    <row r="16" spans="1:29" s="1" customFormat="1" ht="33.950000000000003" customHeight="1" x14ac:dyDescent="0.2">
      <c r="A16" s="20">
        <v>4</v>
      </c>
      <c r="B16" s="18" t="s">
        <v>32</v>
      </c>
      <c r="C16" s="6"/>
      <c r="D16" s="6"/>
      <c r="E16" s="6"/>
      <c r="F16" s="9">
        <v>1</v>
      </c>
      <c r="G16" s="9">
        <v>1</v>
      </c>
      <c r="H16" s="107">
        <f t="shared" si="0"/>
        <v>0</v>
      </c>
      <c r="I16" s="9">
        <v>0</v>
      </c>
      <c r="J16" s="9">
        <v>0</v>
      </c>
      <c r="K16" s="107">
        <f t="shared" si="1"/>
        <v>0</v>
      </c>
      <c r="L16" s="107">
        <v>0</v>
      </c>
      <c r="M16" s="76">
        <v>11</v>
      </c>
      <c r="N16" s="9">
        <f t="shared" si="2"/>
        <v>12</v>
      </c>
      <c r="O16" s="35">
        <v>6</v>
      </c>
      <c r="P16" s="8">
        <v>6</v>
      </c>
      <c r="Q16" s="104">
        <f t="shared" si="3"/>
        <v>0</v>
      </c>
      <c r="R16" s="8">
        <v>0</v>
      </c>
      <c r="S16" s="8">
        <v>0</v>
      </c>
      <c r="T16" s="104">
        <f t="shared" si="4"/>
        <v>0</v>
      </c>
      <c r="U16" s="8">
        <v>0</v>
      </c>
      <c r="V16" s="8">
        <v>0</v>
      </c>
      <c r="W16" s="16">
        <f t="shared" si="5"/>
        <v>0</v>
      </c>
      <c r="X16" s="11">
        <f t="shared" si="6"/>
        <v>6</v>
      </c>
      <c r="Y16" s="12">
        <f t="shared" si="7"/>
        <v>18</v>
      </c>
      <c r="Z16" s="4"/>
    </row>
    <row r="17" spans="1:29" s="1" customFormat="1" ht="33.950000000000003" customHeight="1" x14ac:dyDescent="0.2">
      <c r="A17" s="20">
        <v>5</v>
      </c>
      <c r="B17" s="18" t="s">
        <v>3</v>
      </c>
      <c r="C17" s="6"/>
      <c r="D17" s="6"/>
      <c r="E17" s="6"/>
      <c r="F17" s="9">
        <v>1</v>
      </c>
      <c r="G17" s="9">
        <v>1</v>
      </c>
      <c r="H17" s="107">
        <f t="shared" si="0"/>
        <v>0</v>
      </c>
      <c r="I17" s="9">
        <v>3</v>
      </c>
      <c r="J17" s="9">
        <v>2</v>
      </c>
      <c r="K17" s="107">
        <f t="shared" si="1"/>
        <v>1</v>
      </c>
      <c r="L17" s="107">
        <v>0</v>
      </c>
      <c r="M17" s="76">
        <v>10</v>
      </c>
      <c r="N17" s="9">
        <f t="shared" si="2"/>
        <v>13</v>
      </c>
      <c r="O17" s="35">
        <v>1</v>
      </c>
      <c r="P17" s="8">
        <v>1</v>
      </c>
      <c r="Q17" s="104">
        <f t="shared" si="3"/>
        <v>0</v>
      </c>
      <c r="R17" s="8">
        <v>0</v>
      </c>
      <c r="S17" s="8">
        <v>0</v>
      </c>
      <c r="T17" s="104">
        <f t="shared" si="4"/>
        <v>0</v>
      </c>
      <c r="U17" s="8">
        <v>0</v>
      </c>
      <c r="V17" s="8">
        <v>0</v>
      </c>
      <c r="W17" s="16">
        <f t="shared" si="5"/>
        <v>0</v>
      </c>
      <c r="X17" s="11">
        <f t="shared" si="6"/>
        <v>1</v>
      </c>
      <c r="Y17" s="12">
        <f t="shared" si="7"/>
        <v>14</v>
      </c>
      <c r="Z17" s="4"/>
    </row>
    <row r="18" spans="1:29" s="1" customFormat="1" ht="33.950000000000003" customHeight="1" x14ac:dyDescent="0.2">
      <c r="A18" s="20">
        <v>6</v>
      </c>
      <c r="B18" s="18" t="s">
        <v>6</v>
      </c>
      <c r="C18" s="6"/>
      <c r="D18" s="6"/>
      <c r="E18" s="6"/>
      <c r="F18" s="9">
        <v>1</v>
      </c>
      <c r="G18" s="9">
        <v>1</v>
      </c>
      <c r="H18" s="107">
        <f t="shared" si="0"/>
        <v>0</v>
      </c>
      <c r="I18" s="9">
        <v>3</v>
      </c>
      <c r="J18" s="9">
        <v>3</v>
      </c>
      <c r="K18" s="107">
        <f t="shared" si="1"/>
        <v>0</v>
      </c>
      <c r="L18" s="107">
        <v>1</v>
      </c>
      <c r="M18" s="76">
        <v>14</v>
      </c>
      <c r="N18" s="9">
        <f t="shared" si="2"/>
        <v>19</v>
      </c>
      <c r="O18" s="35">
        <v>14</v>
      </c>
      <c r="P18" s="8">
        <v>14</v>
      </c>
      <c r="Q18" s="104">
        <f t="shared" si="3"/>
        <v>0</v>
      </c>
      <c r="R18" s="8">
        <v>2</v>
      </c>
      <c r="S18" s="8">
        <v>2</v>
      </c>
      <c r="T18" s="104">
        <f t="shared" si="4"/>
        <v>0</v>
      </c>
      <c r="U18" s="8">
        <v>2</v>
      </c>
      <c r="V18" s="8">
        <v>2</v>
      </c>
      <c r="W18" s="16">
        <f t="shared" si="5"/>
        <v>0</v>
      </c>
      <c r="X18" s="11">
        <f t="shared" si="6"/>
        <v>18</v>
      </c>
      <c r="Y18" s="12">
        <f t="shared" si="7"/>
        <v>37</v>
      </c>
      <c r="Z18" s="4"/>
    </row>
    <row r="19" spans="1:29" s="54" customFormat="1" ht="33.950000000000003" customHeight="1" x14ac:dyDescent="0.2">
      <c r="A19" s="20">
        <v>7</v>
      </c>
      <c r="B19" s="18" t="s">
        <v>7</v>
      </c>
      <c r="C19" s="6"/>
      <c r="D19" s="6"/>
      <c r="E19" s="6"/>
      <c r="F19" s="9">
        <v>1</v>
      </c>
      <c r="G19" s="9">
        <v>1</v>
      </c>
      <c r="H19" s="107">
        <f t="shared" si="0"/>
        <v>0</v>
      </c>
      <c r="I19" s="9">
        <v>3</v>
      </c>
      <c r="J19" s="9">
        <v>1</v>
      </c>
      <c r="K19" s="107">
        <f t="shared" si="1"/>
        <v>2</v>
      </c>
      <c r="L19" s="107">
        <v>0</v>
      </c>
      <c r="M19" s="76">
        <v>14</v>
      </c>
      <c r="N19" s="9">
        <f t="shared" si="2"/>
        <v>16</v>
      </c>
      <c r="O19" s="35">
        <v>14</v>
      </c>
      <c r="P19" s="8">
        <v>14</v>
      </c>
      <c r="Q19" s="104">
        <f t="shared" si="3"/>
        <v>0</v>
      </c>
      <c r="R19" s="8">
        <v>0</v>
      </c>
      <c r="S19" s="8">
        <v>0</v>
      </c>
      <c r="T19" s="104">
        <f t="shared" si="4"/>
        <v>0</v>
      </c>
      <c r="U19" s="8">
        <v>2</v>
      </c>
      <c r="V19" s="8">
        <v>1</v>
      </c>
      <c r="W19" s="16">
        <f t="shared" si="5"/>
        <v>1</v>
      </c>
      <c r="X19" s="11">
        <f t="shared" si="6"/>
        <v>15</v>
      </c>
      <c r="Y19" s="12">
        <f t="shared" si="7"/>
        <v>31</v>
      </c>
      <c r="Z19" s="53"/>
    </row>
    <row r="20" spans="1:29" s="1" customFormat="1" ht="33.950000000000003" customHeight="1" x14ac:dyDescent="0.2">
      <c r="A20" s="20">
        <v>8</v>
      </c>
      <c r="B20" s="18" t="s">
        <v>8</v>
      </c>
      <c r="C20" s="6"/>
      <c r="D20" s="6"/>
      <c r="E20" s="6"/>
      <c r="F20" s="9">
        <v>1</v>
      </c>
      <c r="G20" s="9">
        <v>1</v>
      </c>
      <c r="H20" s="107">
        <f t="shared" si="0"/>
        <v>0</v>
      </c>
      <c r="I20" s="9">
        <v>3</v>
      </c>
      <c r="J20" s="9">
        <v>3</v>
      </c>
      <c r="K20" s="107">
        <f t="shared" si="1"/>
        <v>0</v>
      </c>
      <c r="L20" s="107">
        <v>1</v>
      </c>
      <c r="M20" s="76">
        <v>14</v>
      </c>
      <c r="N20" s="9">
        <f t="shared" si="2"/>
        <v>19</v>
      </c>
      <c r="O20" s="35">
        <v>13</v>
      </c>
      <c r="P20" s="8">
        <v>13</v>
      </c>
      <c r="Q20" s="104">
        <f t="shared" si="3"/>
        <v>0</v>
      </c>
      <c r="R20" s="8">
        <v>1</v>
      </c>
      <c r="S20" s="8">
        <v>0</v>
      </c>
      <c r="T20" s="104">
        <f t="shared" si="4"/>
        <v>1</v>
      </c>
      <c r="U20" s="8">
        <v>0</v>
      </c>
      <c r="V20" s="8">
        <v>0</v>
      </c>
      <c r="W20" s="16">
        <f t="shared" si="5"/>
        <v>0</v>
      </c>
      <c r="X20" s="11">
        <f t="shared" si="6"/>
        <v>13</v>
      </c>
      <c r="Y20" s="12">
        <f t="shared" si="7"/>
        <v>32</v>
      </c>
      <c r="Z20" s="4"/>
      <c r="AC20" s="40">
        <f>Y18+Y19+Y20+Y21</f>
        <v>134</v>
      </c>
    </row>
    <row r="21" spans="1:29" s="1" customFormat="1" ht="33.950000000000003" customHeight="1" x14ac:dyDescent="0.2">
      <c r="A21" s="20">
        <v>9</v>
      </c>
      <c r="B21" s="18" t="s">
        <v>5</v>
      </c>
      <c r="C21" s="6"/>
      <c r="D21" s="6"/>
      <c r="E21" s="6"/>
      <c r="F21" s="9">
        <v>1</v>
      </c>
      <c r="G21" s="9">
        <v>1</v>
      </c>
      <c r="H21" s="107">
        <f t="shared" si="0"/>
        <v>0</v>
      </c>
      <c r="I21" s="9">
        <v>3</v>
      </c>
      <c r="J21" s="9">
        <v>1</v>
      </c>
      <c r="K21" s="107">
        <f t="shared" si="1"/>
        <v>2</v>
      </c>
      <c r="L21" s="107">
        <v>1</v>
      </c>
      <c r="M21" s="76">
        <v>16</v>
      </c>
      <c r="N21" s="9">
        <f t="shared" si="2"/>
        <v>19</v>
      </c>
      <c r="O21" s="35">
        <v>9</v>
      </c>
      <c r="P21" s="8">
        <v>9</v>
      </c>
      <c r="Q21" s="104">
        <f t="shared" si="3"/>
        <v>0</v>
      </c>
      <c r="R21" s="8">
        <v>3</v>
      </c>
      <c r="S21" s="8">
        <v>3</v>
      </c>
      <c r="T21" s="104">
        <f t="shared" si="4"/>
        <v>0</v>
      </c>
      <c r="U21" s="8">
        <v>3</v>
      </c>
      <c r="V21" s="8">
        <v>3</v>
      </c>
      <c r="W21" s="16">
        <f t="shared" si="5"/>
        <v>0</v>
      </c>
      <c r="X21" s="11">
        <f t="shared" si="6"/>
        <v>15</v>
      </c>
      <c r="Y21" s="12">
        <f t="shared" si="7"/>
        <v>34</v>
      </c>
      <c r="Z21" s="4"/>
      <c r="AC21" s="40">
        <f>AC13+AC20</f>
        <v>279</v>
      </c>
    </row>
    <row r="22" spans="1:29" s="1" customFormat="1" ht="33.950000000000003" customHeight="1" x14ac:dyDescent="0.2">
      <c r="A22" s="20">
        <v>10</v>
      </c>
      <c r="B22" s="18" t="s">
        <v>9</v>
      </c>
      <c r="C22" s="6"/>
      <c r="D22" s="6"/>
      <c r="E22" s="6"/>
      <c r="F22" s="9">
        <v>1</v>
      </c>
      <c r="G22" s="9">
        <v>1</v>
      </c>
      <c r="H22" s="107">
        <f t="shared" si="0"/>
        <v>0</v>
      </c>
      <c r="I22" s="9">
        <v>3</v>
      </c>
      <c r="J22" s="9">
        <v>1</v>
      </c>
      <c r="K22" s="107">
        <f t="shared" si="1"/>
        <v>2</v>
      </c>
      <c r="L22" s="107">
        <v>1</v>
      </c>
      <c r="M22" s="76">
        <v>9</v>
      </c>
      <c r="N22" s="9">
        <f t="shared" si="2"/>
        <v>12</v>
      </c>
      <c r="O22" s="35">
        <v>3</v>
      </c>
      <c r="P22" s="8">
        <v>3</v>
      </c>
      <c r="Q22" s="104">
        <f t="shared" si="3"/>
        <v>0</v>
      </c>
      <c r="R22" s="8">
        <v>1</v>
      </c>
      <c r="S22" s="8">
        <v>1</v>
      </c>
      <c r="T22" s="104">
        <f t="shared" si="4"/>
        <v>0</v>
      </c>
      <c r="U22" s="8">
        <v>1</v>
      </c>
      <c r="V22" s="8">
        <v>1</v>
      </c>
      <c r="W22" s="16">
        <f t="shared" si="5"/>
        <v>0</v>
      </c>
      <c r="X22" s="11">
        <f t="shared" si="6"/>
        <v>5</v>
      </c>
      <c r="Y22" s="12">
        <f t="shared" si="7"/>
        <v>17</v>
      </c>
      <c r="Z22" s="4"/>
    </row>
    <row r="23" spans="1:29" s="1" customFormat="1" ht="33.950000000000003" customHeight="1" x14ac:dyDescent="0.2">
      <c r="A23" s="20">
        <v>11</v>
      </c>
      <c r="B23" s="18" t="s">
        <v>10</v>
      </c>
      <c r="C23" s="6"/>
      <c r="D23" s="6"/>
      <c r="E23" s="6"/>
      <c r="F23" s="9">
        <v>1</v>
      </c>
      <c r="G23" s="9">
        <v>1</v>
      </c>
      <c r="H23" s="107">
        <f t="shared" si="0"/>
        <v>0</v>
      </c>
      <c r="I23" s="9">
        <v>3</v>
      </c>
      <c r="J23" s="9">
        <v>3</v>
      </c>
      <c r="K23" s="107">
        <f t="shared" si="1"/>
        <v>0</v>
      </c>
      <c r="L23" s="107">
        <v>0</v>
      </c>
      <c r="M23" s="76">
        <v>12</v>
      </c>
      <c r="N23" s="9">
        <f t="shared" si="2"/>
        <v>16</v>
      </c>
      <c r="O23" s="35">
        <v>2</v>
      </c>
      <c r="P23" s="8">
        <v>2</v>
      </c>
      <c r="Q23" s="104">
        <f t="shared" si="3"/>
        <v>0</v>
      </c>
      <c r="R23" s="8">
        <v>3</v>
      </c>
      <c r="S23" s="8">
        <v>3</v>
      </c>
      <c r="T23" s="104">
        <f t="shared" si="4"/>
        <v>0</v>
      </c>
      <c r="U23" s="8">
        <v>2</v>
      </c>
      <c r="V23" s="8">
        <v>2</v>
      </c>
      <c r="W23" s="16">
        <f t="shared" si="5"/>
        <v>0</v>
      </c>
      <c r="X23" s="11">
        <f t="shared" si="6"/>
        <v>7</v>
      </c>
      <c r="Y23" s="12">
        <f t="shared" si="7"/>
        <v>23</v>
      </c>
      <c r="Z23" s="4"/>
    </row>
    <row r="24" spans="1:29" s="1" customFormat="1" ht="33.950000000000003" customHeight="1" x14ac:dyDescent="0.2">
      <c r="A24" s="20">
        <v>12</v>
      </c>
      <c r="B24" s="18" t="s">
        <v>11</v>
      </c>
      <c r="C24" s="6"/>
      <c r="D24" s="6"/>
      <c r="E24" s="6"/>
      <c r="F24" s="9">
        <v>1</v>
      </c>
      <c r="G24" s="9">
        <v>1</v>
      </c>
      <c r="H24" s="107">
        <f t="shared" si="0"/>
        <v>0</v>
      </c>
      <c r="I24" s="9">
        <v>3</v>
      </c>
      <c r="J24" s="9">
        <v>3</v>
      </c>
      <c r="K24" s="107">
        <f t="shared" si="1"/>
        <v>0</v>
      </c>
      <c r="L24" s="107">
        <v>0</v>
      </c>
      <c r="M24" s="76">
        <v>11</v>
      </c>
      <c r="N24" s="9">
        <f t="shared" si="2"/>
        <v>15</v>
      </c>
      <c r="O24" s="35">
        <v>4</v>
      </c>
      <c r="P24" s="8">
        <v>4</v>
      </c>
      <c r="Q24" s="104">
        <f t="shared" si="3"/>
        <v>0</v>
      </c>
      <c r="R24" s="8">
        <v>1</v>
      </c>
      <c r="S24" s="8">
        <v>1</v>
      </c>
      <c r="T24" s="104">
        <f t="shared" si="4"/>
        <v>0</v>
      </c>
      <c r="U24" s="8">
        <v>2</v>
      </c>
      <c r="V24" s="8">
        <v>2</v>
      </c>
      <c r="W24" s="16">
        <f t="shared" si="5"/>
        <v>0</v>
      </c>
      <c r="X24" s="11">
        <f t="shared" si="6"/>
        <v>7</v>
      </c>
      <c r="Y24" s="12">
        <f t="shared" si="7"/>
        <v>22</v>
      </c>
      <c r="Z24" s="4"/>
    </row>
    <row r="25" spans="1:29" s="1" customFormat="1" ht="33.950000000000003" customHeight="1" x14ac:dyDescent="0.2">
      <c r="A25" s="20">
        <v>13</v>
      </c>
      <c r="B25" s="18" t="s">
        <v>12</v>
      </c>
      <c r="C25" s="6"/>
      <c r="D25" s="6"/>
      <c r="E25" s="6"/>
      <c r="F25" s="9">
        <v>1</v>
      </c>
      <c r="G25" s="9">
        <v>1</v>
      </c>
      <c r="H25" s="107">
        <f t="shared" si="0"/>
        <v>0</v>
      </c>
      <c r="I25" s="9">
        <v>3</v>
      </c>
      <c r="J25" s="9">
        <v>3</v>
      </c>
      <c r="K25" s="107">
        <f t="shared" si="1"/>
        <v>0</v>
      </c>
      <c r="L25" s="107">
        <v>0</v>
      </c>
      <c r="M25" s="76">
        <v>19</v>
      </c>
      <c r="N25" s="9">
        <f t="shared" si="2"/>
        <v>23</v>
      </c>
      <c r="O25" s="35">
        <v>2</v>
      </c>
      <c r="P25" s="8">
        <v>2</v>
      </c>
      <c r="Q25" s="104">
        <f t="shared" si="3"/>
        <v>0</v>
      </c>
      <c r="R25" s="8">
        <v>1</v>
      </c>
      <c r="S25" s="8">
        <v>1</v>
      </c>
      <c r="T25" s="104">
        <f t="shared" si="4"/>
        <v>0</v>
      </c>
      <c r="U25" s="8">
        <v>5</v>
      </c>
      <c r="V25" s="8">
        <v>5</v>
      </c>
      <c r="W25" s="16">
        <f t="shared" si="5"/>
        <v>0</v>
      </c>
      <c r="X25" s="11">
        <f t="shared" si="6"/>
        <v>8</v>
      </c>
      <c r="Y25" s="12">
        <f t="shared" si="7"/>
        <v>31</v>
      </c>
      <c r="Z25" s="4"/>
    </row>
    <row r="26" spans="1:29" s="1" customFormat="1" ht="33.950000000000003" customHeight="1" x14ac:dyDescent="0.2">
      <c r="A26" s="20">
        <v>14</v>
      </c>
      <c r="B26" s="18" t="s">
        <v>13</v>
      </c>
      <c r="C26" s="6"/>
      <c r="D26" s="6"/>
      <c r="E26" s="6"/>
      <c r="F26" s="9">
        <v>1</v>
      </c>
      <c r="G26" s="9">
        <v>1</v>
      </c>
      <c r="H26" s="107">
        <f t="shared" si="0"/>
        <v>0</v>
      </c>
      <c r="I26" s="9">
        <v>3</v>
      </c>
      <c r="J26" s="9">
        <v>2</v>
      </c>
      <c r="K26" s="107">
        <f t="shared" si="1"/>
        <v>1</v>
      </c>
      <c r="L26" s="107">
        <v>2</v>
      </c>
      <c r="M26" s="76">
        <v>9</v>
      </c>
      <c r="N26" s="9">
        <f t="shared" si="2"/>
        <v>14</v>
      </c>
      <c r="O26" s="35">
        <v>2</v>
      </c>
      <c r="P26" s="8">
        <v>2</v>
      </c>
      <c r="Q26" s="104">
        <f t="shared" si="3"/>
        <v>0</v>
      </c>
      <c r="R26" s="8">
        <v>2</v>
      </c>
      <c r="S26" s="8">
        <v>2</v>
      </c>
      <c r="T26" s="104">
        <f t="shared" si="4"/>
        <v>0</v>
      </c>
      <c r="U26" s="8">
        <v>3</v>
      </c>
      <c r="V26" s="8">
        <v>3</v>
      </c>
      <c r="W26" s="16">
        <f t="shared" si="5"/>
        <v>0</v>
      </c>
      <c r="X26" s="11">
        <f t="shared" si="6"/>
        <v>7</v>
      </c>
      <c r="Y26" s="12">
        <f t="shared" si="7"/>
        <v>21</v>
      </c>
      <c r="Z26" s="4"/>
    </row>
    <row r="27" spans="1:29" s="1" customFormat="1" ht="33.950000000000003" customHeight="1" x14ac:dyDescent="0.2">
      <c r="A27" s="20">
        <v>15</v>
      </c>
      <c r="B27" s="18" t="s">
        <v>14</v>
      </c>
      <c r="C27" s="6"/>
      <c r="D27" s="6"/>
      <c r="E27" s="6"/>
      <c r="F27" s="9">
        <v>1</v>
      </c>
      <c r="G27" s="9">
        <v>1</v>
      </c>
      <c r="H27" s="107">
        <f t="shared" si="0"/>
        <v>0</v>
      </c>
      <c r="I27" s="9">
        <v>3</v>
      </c>
      <c r="J27" s="9">
        <v>3</v>
      </c>
      <c r="K27" s="107">
        <f t="shared" si="1"/>
        <v>0</v>
      </c>
      <c r="L27" s="107">
        <v>2</v>
      </c>
      <c r="M27" s="76">
        <v>15</v>
      </c>
      <c r="N27" s="9">
        <f t="shared" si="2"/>
        <v>21</v>
      </c>
      <c r="O27" s="35">
        <v>6</v>
      </c>
      <c r="P27" s="8">
        <v>6</v>
      </c>
      <c r="Q27" s="104">
        <f t="shared" si="3"/>
        <v>0</v>
      </c>
      <c r="R27" s="8">
        <v>0</v>
      </c>
      <c r="S27" s="8">
        <v>0</v>
      </c>
      <c r="T27" s="104">
        <f t="shared" si="4"/>
        <v>0</v>
      </c>
      <c r="U27" s="8">
        <v>3</v>
      </c>
      <c r="V27" s="8">
        <v>3</v>
      </c>
      <c r="W27" s="16">
        <f t="shared" si="5"/>
        <v>0</v>
      </c>
      <c r="X27" s="11">
        <f t="shared" si="6"/>
        <v>9</v>
      </c>
      <c r="Y27" s="12">
        <f t="shared" si="7"/>
        <v>30</v>
      </c>
      <c r="Z27" s="4"/>
    </row>
    <row r="28" spans="1:29" s="1" customFormat="1" ht="33.950000000000003" customHeight="1" x14ac:dyDescent="0.2">
      <c r="A28" s="20">
        <v>16</v>
      </c>
      <c r="B28" s="18" t="s">
        <v>15</v>
      </c>
      <c r="C28" s="6"/>
      <c r="D28" s="6"/>
      <c r="E28" s="6"/>
      <c r="F28" s="9">
        <v>1</v>
      </c>
      <c r="G28" s="9">
        <v>1</v>
      </c>
      <c r="H28" s="107">
        <f t="shared" si="0"/>
        <v>0</v>
      </c>
      <c r="I28" s="9">
        <v>3</v>
      </c>
      <c r="J28" s="9">
        <v>3</v>
      </c>
      <c r="K28" s="107">
        <f t="shared" si="1"/>
        <v>0</v>
      </c>
      <c r="L28" s="107">
        <v>1</v>
      </c>
      <c r="M28" s="76">
        <v>8</v>
      </c>
      <c r="N28" s="9">
        <f t="shared" si="2"/>
        <v>13</v>
      </c>
      <c r="O28" s="35">
        <v>8</v>
      </c>
      <c r="P28" s="8">
        <v>8</v>
      </c>
      <c r="Q28" s="104">
        <f t="shared" si="3"/>
        <v>0</v>
      </c>
      <c r="R28" s="8">
        <v>1</v>
      </c>
      <c r="S28" s="8">
        <v>1</v>
      </c>
      <c r="T28" s="104">
        <f t="shared" si="4"/>
        <v>0</v>
      </c>
      <c r="U28" s="8">
        <v>3</v>
      </c>
      <c r="V28" s="8">
        <v>3</v>
      </c>
      <c r="W28" s="16">
        <f t="shared" si="5"/>
        <v>0</v>
      </c>
      <c r="X28" s="11">
        <f t="shared" si="6"/>
        <v>12</v>
      </c>
      <c r="Y28" s="12">
        <f t="shared" si="7"/>
        <v>25</v>
      </c>
      <c r="Z28" s="4"/>
    </row>
    <row r="29" spans="1:29" s="1" customFormat="1" ht="33.950000000000003" customHeight="1" x14ac:dyDescent="0.2">
      <c r="A29" s="20">
        <v>17</v>
      </c>
      <c r="B29" s="18" t="s">
        <v>16</v>
      </c>
      <c r="C29" s="6"/>
      <c r="D29" s="6"/>
      <c r="E29" s="6"/>
      <c r="F29" s="9">
        <v>1</v>
      </c>
      <c r="G29" s="9">
        <v>0</v>
      </c>
      <c r="H29" s="107">
        <f t="shared" si="0"/>
        <v>1</v>
      </c>
      <c r="I29" s="9">
        <v>3</v>
      </c>
      <c r="J29" s="9">
        <v>2</v>
      </c>
      <c r="K29" s="107">
        <f t="shared" si="1"/>
        <v>1</v>
      </c>
      <c r="L29" s="107">
        <v>1</v>
      </c>
      <c r="M29" s="76">
        <v>11</v>
      </c>
      <c r="N29" s="9">
        <f t="shared" si="2"/>
        <v>14</v>
      </c>
      <c r="O29" s="35">
        <v>11</v>
      </c>
      <c r="P29" s="8">
        <v>11</v>
      </c>
      <c r="Q29" s="104">
        <f t="shared" si="3"/>
        <v>0</v>
      </c>
      <c r="R29" s="8">
        <v>0</v>
      </c>
      <c r="S29" s="8">
        <v>0</v>
      </c>
      <c r="T29" s="104">
        <f t="shared" si="4"/>
        <v>0</v>
      </c>
      <c r="U29" s="8">
        <v>5</v>
      </c>
      <c r="V29" s="8">
        <v>5</v>
      </c>
      <c r="W29" s="16">
        <f t="shared" si="5"/>
        <v>0</v>
      </c>
      <c r="X29" s="11">
        <f t="shared" si="6"/>
        <v>16</v>
      </c>
      <c r="Y29" s="12">
        <f t="shared" si="7"/>
        <v>30</v>
      </c>
      <c r="Z29" s="4"/>
    </row>
    <row r="30" spans="1:29" s="1" customFormat="1" ht="33.950000000000003" customHeight="1" x14ac:dyDescent="0.2">
      <c r="A30" s="20">
        <v>18</v>
      </c>
      <c r="B30" s="18" t="s">
        <v>17</v>
      </c>
      <c r="C30" s="6"/>
      <c r="D30" s="6"/>
      <c r="E30" s="6"/>
      <c r="F30" s="9">
        <v>1</v>
      </c>
      <c r="G30" s="9">
        <v>1</v>
      </c>
      <c r="H30" s="107">
        <f t="shared" si="0"/>
        <v>0</v>
      </c>
      <c r="I30" s="9">
        <v>3</v>
      </c>
      <c r="J30" s="9">
        <v>3</v>
      </c>
      <c r="K30" s="107">
        <f t="shared" si="1"/>
        <v>0</v>
      </c>
      <c r="L30" s="107">
        <v>2</v>
      </c>
      <c r="M30" s="76">
        <v>7</v>
      </c>
      <c r="N30" s="9">
        <f t="shared" si="2"/>
        <v>13</v>
      </c>
      <c r="O30" s="35">
        <v>3</v>
      </c>
      <c r="P30" s="8">
        <v>3</v>
      </c>
      <c r="Q30" s="104">
        <f t="shared" si="3"/>
        <v>0</v>
      </c>
      <c r="R30" s="8">
        <v>0</v>
      </c>
      <c r="S30" s="8">
        <v>0</v>
      </c>
      <c r="T30" s="104">
        <f t="shared" si="4"/>
        <v>0</v>
      </c>
      <c r="U30" s="8">
        <v>4</v>
      </c>
      <c r="V30" s="8">
        <v>4</v>
      </c>
      <c r="W30" s="16">
        <f t="shared" si="5"/>
        <v>0</v>
      </c>
      <c r="X30" s="11">
        <f t="shared" si="6"/>
        <v>7</v>
      </c>
      <c r="Y30" s="12">
        <f t="shared" si="7"/>
        <v>20</v>
      </c>
      <c r="Z30" s="4"/>
    </row>
    <row r="31" spans="1:29" s="1" customFormat="1" ht="33.950000000000003" customHeight="1" x14ac:dyDescent="0.2">
      <c r="A31" s="20">
        <v>19</v>
      </c>
      <c r="B31" s="18" t="s">
        <v>18</v>
      </c>
      <c r="C31" s="6"/>
      <c r="D31" s="6"/>
      <c r="E31" s="6"/>
      <c r="F31" s="9">
        <v>1</v>
      </c>
      <c r="G31" s="9">
        <v>1</v>
      </c>
      <c r="H31" s="107">
        <f t="shared" si="0"/>
        <v>0</v>
      </c>
      <c r="I31" s="9">
        <v>3</v>
      </c>
      <c r="J31" s="9">
        <v>2</v>
      </c>
      <c r="K31" s="107">
        <f t="shared" si="1"/>
        <v>1</v>
      </c>
      <c r="L31" s="107">
        <v>4</v>
      </c>
      <c r="M31" s="76">
        <v>6</v>
      </c>
      <c r="N31" s="9">
        <f t="shared" si="2"/>
        <v>13</v>
      </c>
      <c r="O31" s="35">
        <v>3</v>
      </c>
      <c r="P31" s="8">
        <v>3</v>
      </c>
      <c r="Q31" s="104">
        <f t="shared" si="3"/>
        <v>0</v>
      </c>
      <c r="R31" s="8">
        <v>0</v>
      </c>
      <c r="S31" s="8">
        <v>0</v>
      </c>
      <c r="T31" s="104">
        <f t="shared" si="4"/>
        <v>0</v>
      </c>
      <c r="U31" s="8">
        <v>4</v>
      </c>
      <c r="V31" s="8">
        <v>4</v>
      </c>
      <c r="W31" s="16">
        <v>0</v>
      </c>
      <c r="X31" s="11">
        <f t="shared" si="6"/>
        <v>7</v>
      </c>
      <c r="Y31" s="12">
        <f t="shared" si="7"/>
        <v>20</v>
      </c>
      <c r="Z31" s="4"/>
    </row>
    <row r="32" spans="1:29" s="1" customFormat="1" ht="33.950000000000003" customHeight="1" x14ac:dyDescent="0.2">
      <c r="A32" s="20">
        <v>20</v>
      </c>
      <c r="B32" s="18" t="s">
        <v>19</v>
      </c>
      <c r="C32" s="6"/>
      <c r="D32" s="6"/>
      <c r="E32" s="6"/>
      <c r="F32" s="9">
        <v>1</v>
      </c>
      <c r="G32" s="9">
        <v>0</v>
      </c>
      <c r="H32" s="107">
        <f t="shared" si="0"/>
        <v>1</v>
      </c>
      <c r="I32" s="9">
        <v>3</v>
      </c>
      <c r="J32" s="9">
        <v>2</v>
      </c>
      <c r="K32" s="107">
        <f t="shared" si="1"/>
        <v>1</v>
      </c>
      <c r="L32" s="107">
        <v>5</v>
      </c>
      <c r="M32" s="76">
        <v>6</v>
      </c>
      <c r="N32" s="9">
        <f t="shared" si="2"/>
        <v>13</v>
      </c>
      <c r="O32" s="35">
        <v>4</v>
      </c>
      <c r="P32" s="8">
        <v>4</v>
      </c>
      <c r="Q32" s="104">
        <f t="shared" si="3"/>
        <v>0</v>
      </c>
      <c r="R32" s="8">
        <v>0</v>
      </c>
      <c r="S32" s="8">
        <v>0</v>
      </c>
      <c r="T32" s="104">
        <f t="shared" si="4"/>
        <v>0</v>
      </c>
      <c r="U32" s="8">
        <v>5</v>
      </c>
      <c r="V32" s="8">
        <v>4</v>
      </c>
      <c r="W32" s="16">
        <f t="shared" si="5"/>
        <v>1</v>
      </c>
      <c r="X32" s="11">
        <f t="shared" si="6"/>
        <v>8</v>
      </c>
      <c r="Y32" s="12">
        <f t="shared" si="7"/>
        <v>21</v>
      </c>
      <c r="Z32" s="4"/>
    </row>
    <row r="33" spans="1:26" s="1" customFormat="1" ht="33.950000000000003" customHeight="1" x14ac:dyDescent="0.2">
      <c r="A33" s="20">
        <v>21</v>
      </c>
      <c r="B33" s="19" t="s">
        <v>20</v>
      </c>
      <c r="C33" s="7"/>
      <c r="D33" s="7"/>
      <c r="E33" s="7"/>
      <c r="F33" s="9">
        <v>1</v>
      </c>
      <c r="G33" s="9">
        <v>1</v>
      </c>
      <c r="H33" s="107">
        <f t="shared" si="0"/>
        <v>0</v>
      </c>
      <c r="I33" s="9">
        <v>3</v>
      </c>
      <c r="J33" s="10">
        <v>3</v>
      </c>
      <c r="K33" s="107">
        <f t="shared" si="1"/>
        <v>0</v>
      </c>
      <c r="L33" s="107">
        <v>0</v>
      </c>
      <c r="M33" s="76">
        <v>7</v>
      </c>
      <c r="N33" s="9">
        <f t="shared" si="2"/>
        <v>11</v>
      </c>
      <c r="O33" s="35">
        <v>4</v>
      </c>
      <c r="P33" s="8">
        <v>4</v>
      </c>
      <c r="Q33" s="104">
        <f t="shared" si="3"/>
        <v>0</v>
      </c>
      <c r="R33" s="8">
        <v>2</v>
      </c>
      <c r="S33" s="8">
        <v>2</v>
      </c>
      <c r="T33" s="104">
        <f t="shared" si="4"/>
        <v>0</v>
      </c>
      <c r="U33" s="8">
        <v>3</v>
      </c>
      <c r="V33" s="8">
        <v>3</v>
      </c>
      <c r="W33" s="16">
        <f t="shared" si="5"/>
        <v>0</v>
      </c>
      <c r="X33" s="11">
        <f t="shared" si="6"/>
        <v>9</v>
      </c>
      <c r="Y33" s="12">
        <f t="shared" si="7"/>
        <v>20</v>
      </c>
      <c r="Z33" s="4"/>
    </row>
    <row r="34" spans="1:26" s="1" customFormat="1" ht="33.950000000000003" customHeight="1" x14ac:dyDescent="0.2">
      <c r="A34" s="20">
        <v>22</v>
      </c>
      <c r="B34" s="18" t="s">
        <v>21</v>
      </c>
      <c r="C34" s="6"/>
      <c r="D34" s="6"/>
      <c r="E34" s="6"/>
      <c r="F34" s="9">
        <v>1</v>
      </c>
      <c r="G34" s="9">
        <v>1</v>
      </c>
      <c r="H34" s="107">
        <f t="shared" si="0"/>
        <v>0</v>
      </c>
      <c r="I34" s="9">
        <v>3</v>
      </c>
      <c r="J34" s="9">
        <v>3</v>
      </c>
      <c r="K34" s="107">
        <f t="shared" si="1"/>
        <v>0</v>
      </c>
      <c r="L34" s="107">
        <v>2</v>
      </c>
      <c r="M34" s="76">
        <v>11</v>
      </c>
      <c r="N34" s="9">
        <f t="shared" si="2"/>
        <v>17</v>
      </c>
      <c r="O34" s="35">
        <v>2</v>
      </c>
      <c r="P34" s="8">
        <v>2</v>
      </c>
      <c r="Q34" s="104">
        <f t="shared" si="3"/>
        <v>0</v>
      </c>
      <c r="R34" s="8">
        <v>0</v>
      </c>
      <c r="S34" s="8">
        <v>0</v>
      </c>
      <c r="T34" s="104">
        <f t="shared" si="4"/>
        <v>0</v>
      </c>
      <c r="U34" s="8">
        <v>3</v>
      </c>
      <c r="V34" s="8">
        <v>3</v>
      </c>
      <c r="W34" s="16">
        <f t="shared" si="5"/>
        <v>0</v>
      </c>
      <c r="X34" s="11">
        <f t="shared" si="6"/>
        <v>5</v>
      </c>
      <c r="Y34" s="12">
        <f t="shared" si="7"/>
        <v>22</v>
      </c>
      <c r="Z34" s="4"/>
    </row>
    <row r="35" spans="1:26" s="1" customFormat="1" ht="33.950000000000003" customHeight="1" x14ac:dyDescent="0.2">
      <c r="A35" s="20">
        <v>23</v>
      </c>
      <c r="B35" s="18" t="s">
        <v>22</v>
      </c>
      <c r="C35" s="6"/>
      <c r="D35" s="6"/>
      <c r="E35" s="6"/>
      <c r="F35" s="9">
        <v>1</v>
      </c>
      <c r="G35" s="9">
        <v>1</v>
      </c>
      <c r="H35" s="107">
        <f t="shared" si="0"/>
        <v>0</v>
      </c>
      <c r="I35" s="9">
        <v>3</v>
      </c>
      <c r="J35" s="9">
        <v>3</v>
      </c>
      <c r="K35" s="107">
        <f t="shared" si="1"/>
        <v>0</v>
      </c>
      <c r="L35" s="107">
        <v>1</v>
      </c>
      <c r="M35" s="76">
        <v>14</v>
      </c>
      <c r="N35" s="9">
        <f t="shared" si="2"/>
        <v>19</v>
      </c>
      <c r="O35" s="35">
        <v>1</v>
      </c>
      <c r="P35" s="8">
        <v>1</v>
      </c>
      <c r="Q35" s="104">
        <f t="shared" si="3"/>
        <v>0</v>
      </c>
      <c r="R35" s="8">
        <v>0</v>
      </c>
      <c r="S35" s="8">
        <v>0</v>
      </c>
      <c r="T35" s="104">
        <f t="shared" si="4"/>
        <v>0</v>
      </c>
      <c r="U35" s="8">
        <v>5</v>
      </c>
      <c r="V35" s="8">
        <v>5</v>
      </c>
      <c r="W35" s="16">
        <f t="shared" si="5"/>
        <v>0</v>
      </c>
      <c r="X35" s="11">
        <f t="shared" si="6"/>
        <v>6</v>
      </c>
      <c r="Y35" s="12">
        <f t="shared" si="7"/>
        <v>25</v>
      </c>
      <c r="Z35" s="4"/>
    </row>
    <row r="36" spans="1:26" s="1" customFormat="1" ht="33.950000000000003" customHeight="1" x14ac:dyDescent="0.2">
      <c r="A36" s="20">
        <v>24</v>
      </c>
      <c r="B36" s="18" t="s">
        <v>34</v>
      </c>
      <c r="C36" s="6"/>
      <c r="D36" s="6"/>
      <c r="E36" s="6"/>
      <c r="F36" s="9">
        <v>1</v>
      </c>
      <c r="G36" s="9">
        <v>1</v>
      </c>
      <c r="H36" s="107">
        <f t="shared" si="0"/>
        <v>0</v>
      </c>
      <c r="I36" s="9">
        <v>3</v>
      </c>
      <c r="J36" s="9">
        <v>2</v>
      </c>
      <c r="K36" s="107">
        <f t="shared" si="1"/>
        <v>1</v>
      </c>
      <c r="L36" s="107">
        <v>3</v>
      </c>
      <c r="M36" s="76">
        <v>4</v>
      </c>
      <c r="N36" s="9">
        <f t="shared" si="2"/>
        <v>10</v>
      </c>
      <c r="O36" s="35">
        <v>0</v>
      </c>
      <c r="P36" s="8">
        <v>0</v>
      </c>
      <c r="Q36" s="104">
        <f t="shared" si="3"/>
        <v>0</v>
      </c>
      <c r="R36" s="8">
        <v>1</v>
      </c>
      <c r="S36" s="8">
        <v>1</v>
      </c>
      <c r="T36" s="104">
        <f t="shared" si="4"/>
        <v>0</v>
      </c>
      <c r="U36" s="8">
        <v>3</v>
      </c>
      <c r="V36" s="8">
        <v>3</v>
      </c>
      <c r="W36" s="16">
        <f t="shared" si="5"/>
        <v>0</v>
      </c>
      <c r="X36" s="11">
        <f t="shared" si="6"/>
        <v>4</v>
      </c>
      <c r="Y36" s="12">
        <f t="shared" si="7"/>
        <v>14</v>
      </c>
      <c r="Z36" s="4"/>
    </row>
    <row r="37" spans="1:26" s="1" customFormat="1" ht="33.950000000000003" customHeight="1" x14ac:dyDescent="0.2">
      <c r="A37" s="20">
        <v>25</v>
      </c>
      <c r="B37" s="18" t="s">
        <v>35</v>
      </c>
      <c r="C37" s="6"/>
      <c r="D37" s="6"/>
      <c r="E37" s="6"/>
      <c r="F37" s="9">
        <v>1</v>
      </c>
      <c r="G37" s="9">
        <v>1</v>
      </c>
      <c r="H37" s="107">
        <f t="shared" si="0"/>
        <v>0</v>
      </c>
      <c r="I37" s="9">
        <v>3</v>
      </c>
      <c r="J37" s="9">
        <v>3</v>
      </c>
      <c r="K37" s="107">
        <f t="shared" si="1"/>
        <v>0</v>
      </c>
      <c r="L37" s="107">
        <v>1</v>
      </c>
      <c r="M37" s="76">
        <v>11</v>
      </c>
      <c r="N37" s="9">
        <f t="shared" si="2"/>
        <v>16</v>
      </c>
      <c r="O37" s="35">
        <v>0</v>
      </c>
      <c r="P37" s="8">
        <v>0</v>
      </c>
      <c r="Q37" s="104">
        <f t="shared" si="3"/>
        <v>0</v>
      </c>
      <c r="R37" s="8">
        <v>0</v>
      </c>
      <c r="S37" s="8">
        <v>0</v>
      </c>
      <c r="T37" s="104">
        <f t="shared" si="4"/>
        <v>0</v>
      </c>
      <c r="U37" s="8">
        <v>5</v>
      </c>
      <c r="V37" s="8">
        <v>5</v>
      </c>
      <c r="W37" s="16">
        <f t="shared" si="5"/>
        <v>0</v>
      </c>
      <c r="X37" s="11">
        <f t="shared" si="6"/>
        <v>5</v>
      </c>
      <c r="Y37" s="12">
        <f t="shared" si="7"/>
        <v>21</v>
      </c>
      <c r="Z37" s="4"/>
    </row>
    <row r="38" spans="1:26" s="1" customFormat="1" ht="33.950000000000003" customHeight="1" x14ac:dyDescent="0.2">
      <c r="A38" s="20">
        <v>26</v>
      </c>
      <c r="B38" s="18" t="s">
        <v>36</v>
      </c>
      <c r="C38" s="6"/>
      <c r="D38" s="6"/>
      <c r="E38" s="6"/>
      <c r="F38" s="9">
        <v>1</v>
      </c>
      <c r="G38" s="9">
        <v>1</v>
      </c>
      <c r="H38" s="107">
        <f>F38-G38</f>
        <v>0</v>
      </c>
      <c r="I38" s="9">
        <v>3</v>
      </c>
      <c r="J38" s="9">
        <v>3</v>
      </c>
      <c r="K38" s="107">
        <f>I38-J38</f>
        <v>0</v>
      </c>
      <c r="L38" s="107">
        <v>1</v>
      </c>
      <c r="M38" s="76">
        <v>6</v>
      </c>
      <c r="N38" s="9">
        <f t="shared" si="2"/>
        <v>11</v>
      </c>
      <c r="O38" s="35">
        <v>0</v>
      </c>
      <c r="P38" s="8">
        <v>0</v>
      </c>
      <c r="Q38" s="104">
        <f>O38-P38</f>
        <v>0</v>
      </c>
      <c r="R38" s="8">
        <v>0</v>
      </c>
      <c r="S38" s="8">
        <v>0</v>
      </c>
      <c r="T38" s="104">
        <f>R38-S38</f>
        <v>0</v>
      </c>
      <c r="U38" s="8">
        <v>2</v>
      </c>
      <c r="V38" s="8">
        <v>2</v>
      </c>
      <c r="W38" s="16">
        <f>U38-V38</f>
        <v>0</v>
      </c>
      <c r="X38" s="11">
        <f>P38+S38+V38</f>
        <v>2</v>
      </c>
      <c r="Y38" s="12">
        <f t="shared" si="7"/>
        <v>13</v>
      </c>
      <c r="Z38" s="4"/>
    </row>
    <row r="39" spans="1:26" s="1" customFormat="1" ht="33.950000000000003" customHeight="1" x14ac:dyDescent="0.2">
      <c r="A39" s="20">
        <v>27</v>
      </c>
      <c r="B39" s="18" t="s">
        <v>33</v>
      </c>
      <c r="C39" s="6"/>
      <c r="D39" s="6"/>
      <c r="E39" s="6"/>
      <c r="F39" s="9">
        <v>1</v>
      </c>
      <c r="G39" s="9">
        <v>1</v>
      </c>
      <c r="H39" s="107">
        <f t="shared" si="0"/>
        <v>0</v>
      </c>
      <c r="I39" s="9">
        <v>3</v>
      </c>
      <c r="J39" s="9">
        <v>3</v>
      </c>
      <c r="K39" s="107">
        <f t="shared" si="1"/>
        <v>0</v>
      </c>
      <c r="L39" s="107">
        <v>3</v>
      </c>
      <c r="M39" s="76">
        <v>5</v>
      </c>
      <c r="N39" s="9">
        <f t="shared" si="2"/>
        <v>12</v>
      </c>
      <c r="O39" s="35">
        <v>1</v>
      </c>
      <c r="P39" s="8">
        <v>1</v>
      </c>
      <c r="Q39" s="104">
        <f t="shared" si="3"/>
        <v>0</v>
      </c>
      <c r="R39" s="8">
        <v>0</v>
      </c>
      <c r="S39" s="8">
        <v>0</v>
      </c>
      <c r="T39" s="104">
        <f t="shared" si="4"/>
        <v>0</v>
      </c>
      <c r="U39" s="8">
        <v>3</v>
      </c>
      <c r="V39" s="8">
        <v>3</v>
      </c>
      <c r="W39" s="16">
        <f t="shared" si="5"/>
        <v>0</v>
      </c>
      <c r="X39" s="11">
        <f t="shared" si="6"/>
        <v>4</v>
      </c>
      <c r="Y39" s="12">
        <f t="shared" si="7"/>
        <v>16</v>
      </c>
      <c r="Z39" s="4"/>
    </row>
    <row r="40" spans="1:26" s="1" customFormat="1" ht="33.950000000000003" customHeight="1" x14ac:dyDescent="0.2">
      <c r="A40" s="20">
        <v>28</v>
      </c>
      <c r="B40" s="18" t="s">
        <v>23</v>
      </c>
      <c r="C40" s="6"/>
      <c r="D40" s="6"/>
      <c r="E40" s="6"/>
      <c r="F40" s="9">
        <v>1</v>
      </c>
      <c r="G40" s="9">
        <v>1</v>
      </c>
      <c r="H40" s="107">
        <f t="shared" si="0"/>
        <v>0</v>
      </c>
      <c r="I40" s="9">
        <v>3</v>
      </c>
      <c r="J40" s="9">
        <v>3</v>
      </c>
      <c r="K40" s="107">
        <f t="shared" si="1"/>
        <v>0</v>
      </c>
      <c r="L40" s="107">
        <v>5</v>
      </c>
      <c r="M40" s="76">
        <v>5</v>
      </c>
      <c r="N40" s="9">
        <f t="shared" si="2"/>
        <v>14</v>
      </c>
      <c r="O40" s="35">
        <v>3</v>
      </c>
      <c r="P40" s="8">
        <v>3</v>
      </c>
      <c r="Q40" s="104">
        <f t="shared" si="3"/>
        <v>0</v>
      </c>
      <c r="R40" s="8">
        <v>0</v>
      </c>
      <c r="S40" s="8">
        <v>0</v>
      </c>
      <c r="T40" s="104">
        <f t="shared" si="4"/>
        <v>0</v>
      </c>
      <c r="U40" s="8">
        <v>2</v>
      </c>
      <c r="V40" s="8">
        <v>2</v>
      </c>
      <c r="W40" s="16">
        <f t="shared" si="5"/>
        <v>0</v>
      </c>
      <c r="X40" s="11">
        <f t="shared" si="6"/>
        <v>5</v>
      </c>
      <c r="Y40" s="12">
        <f t="shared" si="7"/>
        <v>19</v>
      </c>
      <c r="Z40" s="4"/>
    </row>
    <row r="41" spans="1:26" s="1" customFormat="1" ht="33.950000000000003" customHeight="1" x14ac:dyDescent="0.2">
      <c r="A41" s="20">
        <v>29</v>
      </c>
      <c r="B41" s="18" t="s">
        <v>24</v>
      </c>
      <c r="C41" s="6"/>
      <c r="D41" s="6"/>
      <c r="E41" s="6"/>
      <c r="F41" s="9">
        <v>1</v>
      </c>
      <c r="G41" s="9">
        <v>1</v>
      </c>
      <c r="H41" s="107">
        <f t="shared" si="0"/>
        <v>0</v>
      </c>
      <c r="I41" s="9">
        <v>3</v>
      </c>
      <c r="J41" s="9">
        <v>3</v>
      </c>
      <c r="K41" s="107">
        <f t="shared" si="1"/>
        <v>0</v>
      </c>
      <c r="L41" s="107">
        <v>1</v>
      </c>
      <c r="M41" s="76">
        <v>6</v>
      </c>
      <c r="N41" s="9">
        <f t="shared" si="2"/>
        <v>11</v>
      </c>
      <c r="O41" s="35">
        <v>1</v>
      </c>
      <c r="P41" s="8">
        <v>1</v>
      </c>
      <c r="Q41" s="104">
        <f t="shared" si="3"/>
        <v>0</v>
      </c>
      <c r="R41" s="8">
        <v>0</v>
      </c>
      <c r="S41" s="8">
        <v>0</v>
      </c>
      <c r="T41" s="104">
        <f t="shared" si="4"/>
        <v>0</v>
      </c>
      <c r="U41" s="8">
        <v>4</v>
      </c>
      <c r="V41" s="8">
        <v>4</v>
      </c>
      <c r="W41" s="16">
        <f t="shared" si="5"/>
        <v>0</v>
      </c>
      <c r="X41" s="11">
        <f t="shared" si="6"/>
        <v>5</v>
      </c>
      <c r="Y41" s="12">
        <f t="shared" si="7"/>
        <v>16</v>
      </c>
      <c r="Z41" s="4"/>
    </row>
    <row r="42" spans="1:26" s="1" customFormat="1" ht="33.950000000000003" customHeight="1" x14ac:dyDescent="0.2">
      <c r="A42" s="20">
        <v>30</v>
      </c>
      <c r="B42" s="18" t="s">
        <v>25</v>
      </c>
      <c r="C42" s="6"/>
      <c r="D42" s="6"/>
      <c r="E42" s="6"/>
      <c r="F42" s="9">
        <v>1</v>
      </c>
      <c r="G42" s="9">
        <v>0</v>
      </c>
      <c r="H42" s="107">
        <f t="shared" si="0"/>
        <v>1</v>
      </c>
      <c r="I42" s="9">
        <v>3</v>
      </c>
      <c r="J42" s="9">
        <v>2</v>
      </c>
      <c r="K42" s="107">
        <f t="shared" si="1"/>
        <v>1</v>
      </c>
      <c r="L42" s="107">
        <v>3</v>
      </c>
      <c r="M42" s="76">
        <v>12</v>
      </c>
      <c r="N42" s="9">
        <f t="shared" si="2"/>
        <v>17</v>
      </c>
      <c r="O42" s="35">
        <v>1</v>
      </c>
      <c r="P42" s="8">
        <v>1</v>
      </c>
      <c r="Q42" s="104">
        <f t="shared" si="3"/>
        <v>0</v>
      </c>
      <c r="R42" s="8">
        <v>0</v>
      </c>
      <c r="S42" s="8">
        <v>0</v>
      </c>
      <c r="T42" s="104">
        <f t="shared" si="4"/>
        <v>0</v>
      </c>
      <c r="U42" s="8">
        <v>5</v>
      </c>
      <c r="V42" s="8">
        <v>5</v>
      </c>
      <c r="W42" s="16">
        <f t="shared" si="5"/>
        <v>0</v>
      </c>
      <c r="X42" s="11">
        <f t="shared" si="6"/>
        <v>6</v>
      </c>
      <c r="Y42" s="12">
        <f t="shared" si="7"/>
        <v>23</v>
      </c>
      <c r="Z42" s="4"/>
    </row>
    <row r="43" spans="1:26" s="1" customFormat="1" ht="33.950000000000003" customHeight="1" x14ac:dyDescent="0.2">
      <c r="A43" s="20">
        <v>31</v>
      </c>
      <c r="B43" s="18" t="s">
        <v>37</v>
      </c>
      <c r="C43" s="6"/>
      <c r="D43" s="6"/>
      <c r="E43" s="6"/>
      <c r="F43" s="9">
        <v>1</v>
      </c>
      <c r="G43" s="9">
        <v>1</v>
      </c>
      <c r="H43" s="107">
        <f t="shared" si="0"/>
        <v>0</v>
      </c>
      <c r="I43" s="9">
        <v>3</v>
      </c>
      <c r="J43" s="9">
        <v>3</v>
      </c>
      <c r="K43" s="107">
        <f t="shared" si="1"/>
        <v>0</v>
      </c>
      <c r="L43" s="107">
        <v>2</v>
      </c>
      <c r="M43" s="76">
        <v>6</v>
      </c>
      <c r="N43" s="9">
        <f t="shared" si="2"/>
        <v>12</v>
      </c>
      <c r="O43" s="35">
        <v>1</v>
      </c>
      <c r="P43" s="8">
        <v>1</v>
      </c>
      <c r="Q43" s="104">
        <f t="shared" si="3"/>
        <v>0</v>
      </c>
      <c r="R43" s="8">
        <v>1</v>
      </c>
      <c r="S43" s="8">
        <v>1</v>
      </c>
      <c r="T43" s="104">
        <f t="shared" si="4"/>
        <v>0</v>
      </c>
      <c r="U43" s="8">
        <v>3</v>
      </c>
      <c r="V43" s="8">
        <v>3</v>
      </c>
      <c r="W43" s="16">
        <f t="shared" si="5"/>
        <v>0</v>
      </c>
      <c r="X43" s="11">
        <f t="shared" si="6"/>
        <v>5</v>
      </c>
      <c r="Y43" s="12">
        <f t="shared" si="7"/>
        <v>17</v>
      </c>
      <c r="Z43" s="4"/>
    </row>
    <row r="44" spans="1:26" s="1" customFormat="1" ht="33.950000000000003" customHeight="1" x14ac:dyDescent="0.2">
      <c r="A44" s="20">
        <v>32</v>
      </c>
      <c r="B44" s="18" t="s">
        <v>38</v>
      </c>
      <c r="C44" s="6"/>
      <c r="D44" s="6"/>
      <c r="E44" s="6"/>
      <c r="F44" s="9">
        <v>1</v>
      </c>
      <c r="G44" s="9">
        <v>1</v>
      </c>
      <c r="H44" s="107">
        <f t="shared" si="0"/>
        <v>0</v>
      </c>
      <c r="I44" s="9">
        <v>3</v>
      </c>
      <c r="J44" s="9">
        <v>2</v>
      </c>
      <c r="K44" s="107">
        <f t="shared" si="1"/>
        <v>1</v>
      </c>
      <c r="L44" s="107">
        <v>3</v>
      </c>
      <c r="M44" s="76">
        <v>3</v>
      </c>
      <c r="N44" s="9">
        <f t="shared" si="2"/>
        <v>9</v>
      </c>
      <c r="O44" s="35">
        <v>0</v>
      </c>
      <c r="P44" s="8">
        <v>0</v>
      </c>
      <c r="Q44" s="104">
        <f t="shared" si="3"/>
        <v>0</v>
      </c>
      <c r="R44" s="8">
        <v>1</v>
      </c>
      <c r="S44" s="8">
        <v>1</v>
      </c>
      <c r="T44" s="104">
        <f t="shared" si="4"/>
        <v>0</v>
      </c>
      <c r="U44" s="8">
        <v>3</v>
      </c>
      <c r="V44" s="8">
        <v>3</v>
      </c>
      <c r="W44" s="16">
        <f t="shared" si="5"/>
        <v>0</v>
      </c>
      <c r="X44" s="11">
        <f t="shared" si="6"/>
        <v>4</v>
      </c>
      <c r="Y44" s="12">
        <f t="shared" si="7"/>
        <v>13</v>
      </c>
      <c r="Z44" s="4"/>
    </row>
    <row r="45" spans="1:26" s="1" customFormat="1" ht="33.950000000000003" customHeight="1" x14ac:dyDescent="0.2">
      <c r="A45" s="20">
        <v>33</v>
      </c>
      <c r="B45" s="18" t="s">
        <v>26</v>
      </c>
      <c r="C45" s="6"/>
      <c r="D45" s="6"/>
      <c r="E45" s="6"/>
      <c r="F45" s="9">
        <v>1</v>
      </c>
      <c r="G45" s="9">
        <v>1</v>
      </c>
      <c r="H45" s="107">
        <f t="shared" si="0"/>
        <v>0</v>
      </c>
      <c r="I45" s="9">
        <v>3</v>
      </c>
      <c r="J45" s="9">
        <v>3</v>
      </c>
      <c r="K45" s="107">
        <f t="shared" si="1"/>
        <v>0</v>
      </c>
      <c r="L45" s="107">
        <v>2</v>
      </c>
      <c r="M45" s="76">
        <v>5</v>
      </c>
      <c r="N45" s="9">
        <f t="shared" si="2"/>
        <v>11</v>
      </c>
      <c r="O45" s="35">
        <v>2</v>
      </c>
      <c r="P45" s="8">
        <v>2</v>
      </c>
      <c r="Q45" s="104">
        <f t="shared" si="3"/>
        <v>0</v>
      </c>
      <c r="R45" s="8">
        <v>0</v>
      </c>
      <c r="S45" s="8">
        <v>0</v>
      </c>
      <c r="T45" s="104">
        <f t="shared" si="4"/>
        <v>0</v>
      </c>
      <c r="U45" s="8">
        <v>6</v>
      </c>
      <c r="V45" s="8">
        <v>6</v>
      </c>
      <c r="W45" s="16">
        <f t="shared" si="5"/>
        <v>0</v>
      </c>
      <c r="X45" s="11">
        <f t="shared" si="6"/>
        <v>8</v>
      </c>
      <c r="Y45" s="12">
        <f t="shared" si="7"/>
        <v>19</v>
      </c>
      <c r="Z45" s="4"/>
    </row>
    <row r="46" spans="1:26" s="1" customFormat="1" ht="33.950000000000003" customHeight="1" x14ac:dyDescent="0.2">
      <c r="A46" s="20">
        <v>34</v>
      </c>
      <c r="B46" s="18" t="s">
        <v>27</v>
      </c>
      <c r="C46" s="6"/>
      <c r="D46" s="6"/>
      <c r="E46" s="6"/>
      <c r="F46" s="9">
        <v>1</v>
      </c>
      <c r="G46" s="9">
        <v>1</v>
      </c>
      <c r="H46" s="107">
        <f t="shared" si="0"/>
        <v>0</v>
      </c>
      <c r="I46" s="9">
        <v>3</v>
      </c>
      <c r="J46" s="9">
        <v>3</v>
      </c>
      <c r="K46" s="107">
        <f t="shared" si="1"/>
        <v>0</v>
      </c>
      <c r="L46" s="107">
        <v>1</v>
      </c>
      <c r="M46" s="76">
        <v>7</v>
      </c>
      <c r="N46" s="9">
        <f t="shared" si="2"/>
        <v>12</v>
      </c>
      <c r="O46" s="35">
        <v>1</v>
      </c>
      <c r="P46" s="8">
        <v>1</v>
      </c>
      <c r="Q46" s="104">
        <f t="shared" si="3"/>
        <v>0</v>
      </c>
      <c r="R46" s="8">
        <v>0</v>
      </c>
      <c r="S46" s="8">
        <v>0</v>
      </c>
      <c r="T46" s="104">
        <f t="shared" si="4"/>
        <v>0</v>
      </c>
      <c r="U46" s="8">
        <v>3</v>
      </c>
      <c r="V46" s="8">
        <v>3</v>
      </c>
      <c r="W46" s="16">
        <f t="shared" si="5"/>
        <v>0</v>
      </c>
      <c r="X46" s="11">
        <f t="shared" si="6"/>
        <v>4</v>
      </c>
      <c r="Y46" s="12">
        <f t="shared" si="7"/>
        <v>16</v>
      </c>
      <c r="Z46" s="4"/>
    </row>
    <row r="47" spans="1:26" s="1" customFormat="1" ht="33.950000000000003" customHeight="1" x14ac:dyDescent="0.2">
      <c r="A47" s="20">
        <v>35</v>
      </c>
      <c r="B47" s="18" t="s">
        <v>39</v>
      </c>
      <c r="C47" s="6"/>
      <c r="D47" s="6"/>
      <c r="E47" s="6"/>
      <c r="F47" s="9">
        <v>1</v>
      </c>
      <c r="G47" s="9">
        <v>1</v>
      </c>
      <c r="H47" s="107">
        <f t="shared" si="0"/>
        <v>0</v>
      </c>
      <c r="I47" s="9">
        <v>3</v>
      </c>
      <c r="J47" s="9">
        <v>3</v>
      </c>
      <c r="K47" s="107">
        <f t="shared" si="1"/>
        <v>0</v>
      </c>
      <c r="L47" s="107">
        <v>4</v>
      </c>
      <c r="M47" s="76">
        <v>4</v>
      </c>
      <c r="N47" s="9">
        <f t="shared" si="2"/>
        <v>12</v>
      </c>
      <c r="O47" s="35">
        <v>3</v>
      </c>
      <c r="P47" s="8">
        <v>3</v>
      </c>
      <c r="Q47" s="104">
        <f t="shared" si="3"/>
        <v>0</v>
      </c>
      <c r="R47" s="8">
        <v>0</v>
      </c>
      <c r="S47" s="8">
        <v>0</v>
      </c>
      <c r="T47" s="104">
        <f t="shared" si="4"/>
        <v>0</v>
      </c>
      <c r="U47" s="8">
        <v>4</v>
      </c>
      <c r="V47" s="8">
        <v>4</v>
      </c>
      <c r="W47" s="16">
        <f t="shared" si="5"/>
        <v>0</v>
      </c>
      <c r="X47" s="11">
        <f t="shared" si="6"/>
        <v>7</v>
      </c>
      <c r="Y47" s="12">
        <f t="shared" si="7"/>
        <v>19</v>
      </c>
      <c r="Z47" s="4"/>
    </row>
    <row r="48" spans="1:26" s="1" customFormat="1" ht="33.950000000000003" customHeight="1" x14ac:dyDescent="0.2">
      <c r="A48" s="20">
        <v>36</v>
      </c>
      <c r="B48" s="18" t="s">
        <v>42</v>
      </c>
      <c r="C48" s="6"/>
      <c r="D48" s="6"/>
      <c r="E48" s="6"/>
      <c r="F48" s="9">
        <v>1</v>
      </c>
      <c r="G48" s="9">
        <v>1</v>
      </c>
      <c r="H48" s="107">
        <f t="shared" si="0"/>
        <v>0</v>
      </c>
      <c r="I48" s="9">
        <v>3</v>
      </c>
      <c r="J48" s="9">
        <v>2</v>
      </c>
      <c r="K48" s="107">
        <f t="shared" si="1"/>
        <v>1</v>
      </c>
      <c r="L48" s="107">
        <v>1</v>
      </c>
      <c r="M48" s="76">
        <v>14</v>
      </c>
      <c r="N48" s="9">
        <f t="shared" si="2"/>
        <v>18</v>
      </c>
      <c r="O48" s="35">
        <v>0</v>
      </c>
      <c r="P48" s="8">
        <v>0</v>
      </c>
      <c r="Q48" s="104">
        <f t="shared" si="3"/>
        <v>0</v>
      </c>
      <c r="R48" s="8">
        <v>0</v>
      </c>
      <c r="S48" s="8">
        <v>0</v>
      </c>
      <c r="T48" s="104">
        <f t="shared" si="4"/>
        <v>0</v>
      </c>
      <c r="U48" s="8">
        <v>2</v>
      </c>
      <c r="V48" s="8">
        <v>2</v>
      </c>
      <c r="W48" s="16">
        <f t="shared" si="5"/>
        <v>0</v>
      </c>
      <c r="X48" s="11">
        <f t="shared" si="6"/>
        <v>2</v>
      </c>
      <c r="Y48" s="12">
        <f t="shared" si="7"/>
        <v>20</v>
      </c>
      <c r="Z48" s="4"/>
    </row>
    <row r="49" spans="1:26" s="1" customFormat="1" ht="33.950000000000003" customHeight="1" x14ac:dyDescent="0.2">
      <c r="A49" s="20">
        <v>37</v>
      </c>
      <c r="B49" s="18" t="s">
        <v>40</v>
      </c>
      <c r="C49" s="6"/>
      <c r="D49" s="6"/>
      <c r="E49" s="6"/>
      <c r="F49" s="9">
        <v>1</v>
      </c>
      <c r="G49" s="9">
        <v>1</v>
      </c>
      <c r="H49" s="107">
        <f t="shared" si="0"/>
        <v>0</v>
      </c>
      <c r="I49" s="9">
        <v>3</v>
      </c>
      <c r="J49" s="9">
        <v>3</v>
      </c>
      <c r="K49" s="107">
        <f t="shared" si="1"/>
        <v>0</v>
      </c>
      <c r="L49" s="107">
        <v>2</v>
      </c>
      <c r="M49" s="76">
        <v>8</v>
      </c>
      <c r="N49" s="9">
        <f t="shared" si="2"/>
        <v>14</v>
      </c>
      <c r="O49" s="35">
        <v>0</v>
      </c>
      <c r="P49" s="8">
        <v>0</v>
      </c>
      <c r="Q49" s="104">
        <f t="shared" si="3"/>
        <v>0</v>
      </c>
      <c r="R49" s="8">
        <v>1</v>
      </c>
      <c r="S49" s="8">
        <v>1</v>
      </c>
      <c r="T49" s="104">
        <f t="shared" si="4"/>
        <v>0</v>
      </c>
      <c r="U49" s="8">
        <v>2</v>
      </c>
      <c r="V49" s="8">
        <v>2</v>
      </c>
      <c r="W49" s="16">
        <f t="shared" si="5"/>
        <v>0</v>
      </c>
      <c r="X49" s="11">
        <f t="shared" si="6"/>
        <v>3</v>
      </c>
      <c r="Y49" s="12">
        <f t="shared" si="7"/>
        <v>17</v>
      </c>
      <c r="Z49" s="4"/>
    </row>
    <row r="50" spans="1:26" s="1" customFormat="1" ht="33.950000000000003" customHeight="1" x14ac:dyDescent="0.2">
      <c r="A50" s="20">
        <v>38</v>
      </c>
      <c r="B50" s="18" t="s">
        <v>41</v>
      </c>
      <c r="C50" s="6"/>
      <c r="D50" s="6"/>
      <c r="E50" s="6"/>
      <c r="F50" s="9">
        <v>1</v>
      </c>
      <c r="G50" s="9">
        <v>1</v>
      </c>
      <c r="H50" s="107">
        <f t="shared" si="0"/>
        <v>0</v>
      </c>
      <c r="I50" s="9">
        <v>3</v>
      </c>
      <c r="J50" s="9">
        <v>2</v>
      </c>
      <c r="K50" s="107">
        <f t="shared" si="1"/>
        <v>1</v>
      </c>
      <c r="L50" s="107">
        <v>1</v>
      </c>
      <c r="M50" s="76">
        <v>6</v>
      </c>
      <c r="N50" s="9">
        <f t="shared" si="2"/>
        <v>10</v>
      </c>
      <c r="O50" s="35">
        <v>0</v>
      </c>
      <c r="P50" s="8">
        <v>0</v>
      </c>
      <c r="Q50" s="104">
        <f t="shared" si="3"/>
        <v>0</v>
      </c>
      <c r="R50" s="8">
        <v>1</v>
      </c>
      <c r="S50" s="8">
        <v>1</v>
      </c>
      <c r="T50" s="104">
        <f t="shared" si="4"/>
        <v>0</v>
      </c>
      <c r="U50" s="8">
        <v>2</v>
      </c>
      <c r="V50" s="8">
        <v>2</v>
      </c>
      <c r="W50" s="16">
        <f t="shared" si="5"/>
        <v>0</v>
      </c>
      <c r="X50" s="11">
        <f t="shared" si="6"/>
        <v>3</v>
      </c>
      <c r="Y50" s="12">
        <f t="shared" si="7"/>
        <v>13</v>
      </c>
      <c r="Z50" s="4"/>
    </row>
    <row r="51" spans="1:26" s="1" customFormat="1" ht="33.950000000000003" customHeight="1" x14ac:dyDescent="0.2">
      <c r="A51" s="20">
        <v>39</v>
      </c>
      <c r="B51" s="18" t="s">
        <v>28</v>
      </c>
      <c r="C51" s="6"/>
      <c r="D51" s="6"/>
      <c r="E51" s="6"/>
      <c r="F51" s="9">
        <v>1</v>
      </c>
      <c r="G51" s="9">
        <v>1</v>
      </c>
      <c r="H51" s="107">
        <f t="shared" si="0"/>
        <v>0</v>
      </c>
      <c r="I51" s="9">
        <v>3</v>
      </c>
      <c r="J51" s="9">
        <v>2</v>
      </c>
      <c r="K51" s="107">
        <f t="shared" si="1"/>
        <v>1</v>
      </c>
      <c r="L51" s="107">
        <v>1</v>
      </c>
      <c r="M51" s="76">
        <v>17</v>
      </c>
      <c r="N51" s="9">
        <f t="shared" si="2"/>
        <v>21</v>
      </c>
      <c r="O51" s="35">
        <v>6</v>
      </c>
      <c r="P51" s="8">
        <v>6</v>
      </c>
      <c r="Q51" s="104">
        <f t="shared" si="3"/>
        <v>0</v>
      </c>
      <c r="R51" s="8">
        <v>0</v>
      </c>
      <c r="S51" s="8">
        <v>0</v>
      </c>
      <c r="T51" s="104">
        <f t="shared" si="4"/>
        <v>0</v>
      </c>
      <c r="U51" s="8">
        <v>0</v>
      </c>
      <c r="V51" s="8">
        <v>0</v>
      </c>
      <c r="W51" s="16">
        <f t="shared" si="5"/>
        <v>0</v>
      </c>
      <c r="X51" s="11">
        <f t="shared" si="6"/>
        <v>6</v>
      </c>
      <c r="Y51" s="12">
        <f t="shared" si="7"/>
        <v>27</v>
      </c>
      <c r="Z51" s="4"/>
    </row>
    <row r="52" spans="1:26" s="1" customFormat="1" ht="33.950000000000003" customHeight="1" x14ac:dyDescent="0.2">
      <c r="A52" s="20">
        <v>40</v>
      </c>
      <c r="B52" s="18" t="s">
        <v>29</v>
      </c>
      <c r="C52" s="6"/>
      <c r="D52" s="6"/>
      <c r="E52" s="6"/>
      <c r="F52" s="9">
        <v>1</v>
      </c>
      <c r="G52" s="9">
        <v>1</v>
      </c>
      <c r="H52" s="107">
        <f t="shared" si="0"/>
        <v>0</v>
      </c>
      <c r="I52" s="9">
        <v>3</v>
      </c>
      <c r="J52" s="9">
        <v>2</v>
      </c>
      <c r="K52" s="107">
        <f t="shared" si="1"/>
        <v>1</v>
      </c>
      <c r="L52" s="107">
        <v>1</v>
      </c>
      <c r="M52" s="76">
        <v>13</v>
      </c>
      <c r="N52" s="9">
        <f t="shared" si="2"/>
        <v>17</v>
      </c>
      <c r="O52" s="35">
        <v>3</v>
      </c>
      <c r="P52" s="8">
        <v>3</v>
      </c>
      <c r="Q52" s="104">
        <f t="shared" si="3"/>
        <v>0</v>
      </c>
      <c r="R52" s="8">
        <v>1</v>
      </c>
      <c r="S52" s="8">
        <v>1</v>
      </c>
      <c r="T52" s="104">
        <f t="shared" si="4"/>
        <v>0</v>
      </c>
      <c r="U52" s="8">
        <v>1</v>
      </c>
      <c r="V52" s="8">
        <v>1</v>
      </c>
      <c r="W52" s="16">
        <f t="shared" si="5"/>
        <v>0</v>
      </c>
      <c r="X52" s="11">
        <f t="shared" si="6"/>
        <v>5</v>
      </c>
      <c r="Y52" s="12">
        <f t="shared" si="7"/>
        <v>22</v>
      </c>
      <c r="Z52" s="53"/>
    </row>
    <row r="53" spans="1:26" s="1" customFormat="1" ht="33.950000000000003" customHeight="1" x14ac:dyDescent="0.2">
      <c r="A53" s="20">
        <v>41</v>
      </c>
      <c r="B53" s="18" t="s">
        <v>30</v>
      </c>
      <c r="C53" s="6"/>
      <c r="D53" s="6"/>
      <c r="E53" s="6"/>
      <c r="F53" s="9">
        <v>1</v>
      </c>
      <c r="G53" s="9">
        <v>1</v>
      </c>
      <c r="H53" s="107">
        <f t="shared" si="0"/>
        <v>0</v>
      </c>
      <c r="I53" s="9">
        <v>3</v>
      </c>
      <c r="J53" s="9">
        <v>3</v>
      </c>
      <c r="K53" s="107">
        <f t="shared" si="1"/>
        <v>0</v>
      </c>
      <c r="L53" s="107">
        <v>1</v>
      </c>
      <c r="M53" s="76">
        <v>9</v>
      </c>
      <c r="N53" s="9">
        <f t="shared" si="2"/>
        <v>14</v>
      </c>
      <c r="O53" s="35">
        <v>3</v>
      </c>
      <c r="P53" s="8">
        <v>3</v>
      </c>
      <c r="Q53" s="104">
        <f t="shared" si="3"/>
        <v>0</v>
      </c>
      <c r="R53" s="8">
        <v>1</v>
      </c>
      <c r="S53" s="8">
        <v>1</v>
      </c>
      <c r="T53" s="104">
        <f t="shared" si="4"/>
        <v>0</v>
      </c>
      <c r="U53" s="8">
        <v>4</v>
      </c>
      <c r="V53" s="8">
        <v>4</v>
      </c>
      <c r="W53" s="16">
        <f t="shared" si="5"/>
        <v>0</v>
      </c>
      <c r="X53" s="11">
        <f t="shared" si="6"/>
        <v>8</v>
      </c>
      <c r="Y53" s="12">
        <f t="shared" si="7"/>
        <v>22</v>
      </c>
      <c r="Z53" s="4"/>
    </row>
    <row r="54" spans="1:26" s="1" customFormat="1" ht="33.950000000000003" customHeight="1" thickBot="1" x14ac:dyDescent="0.25">
      <c r="A54" s="21">
        <v>42</v>
      </c>
      <c r="B54" s="88" t="s">
        <v>31</v>
      </c>
      <c r="C54" s="89"/>
      <c r="D54" s="89"/>
      <c r="E54" s="89"/>
      <c r="F54" s="90">
        <v>1</v>
      </c>
      <c r="G54" s="9">
        <v>1</v>
      </c>
      <c r="H54" s="105">
        <f t="shared" si="0"/>
        <v>0</v>
      </c>
      <c r="I54" s="90">
        <v>3</v>
      </c>
      <c r="J54" s="90">
        <v>2</v>
      </c>
      <c r="K54" s="105">
        <f t="shared" si="1"/>
        <v>1</v>
      </c>
      <c r="L54" s="105">
        <v>4</v>
      </c>
      <c r="M54" s="91">
        <v>5</v>
      </c>
      <c r="N54" s="9">
        <f t="shared" si="2"/>
        <v>12</v>
      </c>
      <c r="O54" s="36">
        <v>1</v>
      </c>
      <c r="P54" s="15">
        <v>1</v>
      </c>
      <c r="Q54" s="39">
        <f t="shared" si="3"/>
        <v>0</v>
      </c>
      <c r="R54" s="15">
        <v>1</v>
      </c>
      <c r="S54" s="15">
        <v>1</v>
      </c>
      <c r="T54" s="39">
        <f t="shared" si="4"/>
        <v>0</v>
      </c>
      <c r="U54" s="15">
        <v>2</v>
      </c>
      <c r="V54" s="15">
        <v>2</v>
      </c>
      <c r="W54" s="22">
        <f t="shared" si="5"/>
        <v>0</v>
      </c>
      <c r="X54" s="23">
        <f t="shared" si="6"/>
        <v>4</v>
      </c>
      <c r="Y54" s="24">
        <f t="shared" si="7"/>
        <v>16</v>
      </c>
      <c r="Z54" s="4"/>
    </row>
    <row r="55" spans="1:26" ht="24" customHeight="1" thickTop="1" thickBot="1" x14ac:dyDescent="0.25">
      <c r="A55" s="25"/>
      <c r="B55" s="26" t="s">
        <v>2</v>
      </c>
      <c r="C55" s="26">
        <v>1</v>
      </c>
      <c r="D55" s="26">
        <v>0</v>
      </c>
      <c r="E55" s="26">
        <f>C55-D55</f>
        <v>1</v>
      </c>
      <c r="F55" s="26">
        <f t="shared" ref="F55:Y55" si="8">SUM(F13:F54)</f>
        <v>42</v>
      </c>
      <c r="G55" s="26">
        <f t="shared" si="8"/>
        <v>39</v>
      </c>
      <c r="H55" s="26">
        <f t="shared" si="8"/>
        <v>3</v>
      </c>
      <c r="I55" s="26">
        <f t="shared" si="8"/>
        <v>120</v>
      </c>
      <c r="J55" s="26">
        <f t="shared" si="8"/>
        <v>101</v>
      </c>
      <c r="K55" s="26">
        <f t="shared" si="8"/>
        <v>19</v>
      </c>
      <c r="L55" s="26">
        <f>SUM(L13:L54)</f>
        <v>71</v>
      </c>
      <c r="M55" s="28">
        <f t="shared" si="8"/>
        <v>416</v>
      </c>
      <c r="N55" s="38">
        <f t="shared" si="8"/>
        <v>627</v>
      </c>
      <c r="O55" s="37">
        <f t="shared" si="8"/>
        <v>180</v>
      </c>
      <c r="P55" s="26">
        <f t="shared" si="8"/>
        <v>180</v>
      </c>
      <c r="Q55" s="26">
        <f t="shared" si="8"/>
        <v>0</v>
      </c>
      <c r="R55" s="26">
        <f t="shared" si="8"/>
        <v>34</v>
      </c>
      <c r="S55" s="26">
        <f t="shared" si="8"/>
        <v>33</v>
      </c>
      <c r="T55" s="26">
        <f t="shared" si="8"/>
        <v>1</v>
      </c>
      <c r="U55" s="26">
        <f t="shared" si="8"/>
        <v>111</v>
      </c>
      <c r="V55" s="26">
        <f t="shared" si="8"/>
        <v>109</v>
      </c>
      <c r="W55" s="92">
        <f t="shared" si="8"/>
        <v>2</v>
      </c>
      <c r="X55" s="26">
        <f t="shared" si="8"/>
        <v>322</v>
      </c>
      <c r="Y55" s="30">
        <f t="shared" si="8"/>
        <v>949</v>
      </c>
      <c r="Z55" s="4"/>
    </row>
    <row r="56" spans="1:26" ht="13.5" thickTop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93"/>
      <c r="N56" s="1"/>
      <c r="O56" s="1"/>
      <c r="P56" s="1"/>
      <c r="Q56" s="1"/>
      <c r="R56" s="1"/>
      <c r="S56" s="1"/>
      <c r="T56" s="1"/>
      <c r="U56" s="1"/>
      <c r="V56" s="1"/>
      <c r="W56" s="1"/>
      <c r="X56" s="108"/>
      <c r="Y56" s="108"/>
    </row>
    <row r="58" spans="1:26" x14ac:dyDescent="0.2">
      <c r="B58" s="17" t="s">
        <v>61</v>
      </c>
      <c r="C58" s="31">
        <f>E55+H55+K55</f>
        <v>23</v>
      </c>
    </row>
    <row r="59" spans="1:26" x14ac:dyDescent="0.2">
      <c r="B59">
        <v>1</v>
      </c>
      <c r="C59" s="63" t="s">
        <v>63</v>
      </c>
    </row>
    <row r="60" spans="1:26" x14ac:dyDescent="0.2">
      <c r="B60">
        <v>2</v>
      </c>
      <c r="C60" s="63" t="s">
        <v>88</v>
      </c>
    </row>
    <row r="61" spans="1:26" x14ac:dyDescent="0.2">
      <c r="B61">
        <v>3</v>
      </c>
      <c r="C61" s="63" t="s">
        <v>91</v>
      </c>
    </row>
    <row r="62" spans="1:26" x14ac:dyDescent="0.2">
      <c r="B62">
        <v>4</v>
      </c>
      <c r="C62" s="63" t="s">
        <v>95</v>
      </c>
    </row>
    <row r="63" spans="1:26" x14ac:dyDescent="0.2">
      <c r="B63">
        <v>5</v>
      </c>
      <c r="C63" s="63" t="s">
        <v>71</v>
      </c>
    </row>
    <row r="64" spans="1:26" x14ac:dyDescent="0.2">
      <c r="B64">
        <v>6</v>
      </c>
      <c r="C64" s="63" t="s">
        <v>72</v>
      </c>
    </row>
    <row r="65" spans="2:3" x14ac:dyDescent="0.2">
      <c r="B65">
        <v>7</v>
      </c>
      <c r="C65" s="63" t="s">
        <v>73</v>
      </c>
    </row>
    <row r="66" spans="2:3" x14ac:dyDescent="0.2">
      <c r="B66">
        <v>8</v>
      </c>
      <c r="C66" s="63" t="s">
        <v>74</v>
      </c>
    </row>
    <row r="67" spans="2:3" x14ac:dyDescent="0.2">
      <c r="B67">
        <v>9</v>
      </c>
      <c r="C67" s="63" t="s">
        <v>64</v>
      </c>
    </row>
    <row r="68" spans="2:3" x14ac:dyDescent="0.2">
      <c r="B68">
        <v>10</v>
      </c>
      <c r="C68" s="63" t="s">
        <v>75</v>
      </c>
    </row>
    <row r="69" spans="2:3" x14ac:dyDescent="0.2">
      <c r="B69">
        <v>11</v>
      </c>
      <c r="C69" s="63" t="s">
        <v>76</v>
      </c>
    </row>
    <row r="70" spans="2:3" x14ac:dyDescent="0.2">
      <c r="B70">
        <v>12</v>
      </c>
      <c r="C70" s="63" t="s">
        <v>92</v>
      </c>
    </row>
    <row r="71" spans="2:3" x14ac:dyDescent="0.2">
      <c r="B71">
        <v>13</v>
      </c>
      <c r="C71" s="63" t="s">
        <v>77</v>
      </c>
    </row>
    <row r="72" spans="2:3" x14ac:dyDescent="0.2">
      <c r="B72">
        <v>14</v>
      </c>
      <c r="C72" s="63" t="s">
        <v>78</v>
      </c>
    </row>
    <row r="73" spans="2:3" x14ac:dyDescent="0.2">
      <c r="B73">
        <v>15</v>
      </c>
      <c r="C73" s="63" t="s">
        <v>79</v>
      </c>
    </row>
    <row r="74" spans="2:3" x14ac:dyDescent="0.2">
      <c r="B74">
        <v>16</v>
      </c>
      <c r="C74" s="63" t="s">
        <v>80</v>
      </c>
    </row>
    <row r="75" spans="2:3" x14ac:dyDescent="0.2">
      <c r="B75">
        <v>17</v>
      </c>
      <c r="C75" s="63" t="s">
        <v>81</v>
      </c>
    </row>
    <row r="76" spans="2:3" x14ac:dyDescent="0.2">
      <c r="B76">
        <v>18</v>
      </c>
      <c r="C76" s="63" t="s">
        <v>82</v>
      </c>
    </row>
    <row r="77" spans="2:3" x14ac:dyDescent="0.2">
      <c r="B77">
        <v>19</v>
      </c>
      <c r="C77" s="63" t="s">
        <v>83</v>
      </c>
    </row>
    <row r="78" spans="2:3" x14ac:dyDescent="0.2">
      <c r="B78">
        <v>20</v>
      </c>
      <c r="C78" s="63" t="s">
        <v>84</v>
      </c>
    </row>
    <row r="79" spans="2:3" x14ac:dyDescent="0.2">
      <c r="B79">
        <v>21</v>
      </c>
      <c r="C79" s="63" t="s">
        <v>93</v>
      </c>
    </row>
    <row r="80" spans="2:3" x14ac:dyDescent="0.2">
      <c r="B80">
        <v>22</v>
      </c>
      <c r="C80" s="1" t="s">
        <v>94</v>
      </c>
    </row>
    <row r="81" spans="2:11" x14ac:dyDescent="0.2">
      <c r="B81">
        <v>23</v>
      </c>
      <c r="C81" s="1" t="s">
        <v>96</v>
      </c>
    </row>
    <row r="83" spans="2:11" x14ac:dyDescent="0.2">
      <c r="B83" t="s">
        <v>65</v>
      </c>
      <c r="C83">
        <f>C55+F55+I55</f>
        <v>163</v>
      </c>
      <c r="J83" t="s">
        <v>66</v>
      </c>
      <c r="K83">
        <f>L55+M55</f>
        <v>487</v>
      </c>
    </row>
    <row r="84" spans="2:11" x14ac:dyDescent="0.2">
      <c r="C84">
        <f>D55+G55+J55</f>
        <v>140</v>
      </c>
    </row>
    <row r="85" spans="2:11" x14ac:dyDescent="0.2">
      <c r="C85">
        <f>C83-C84</f>
        <v>23</v>
      </c>
    </row>
  </sheetData>
  <mergeCells count="23">
    <mergeCell ref="B6:X6"/>
    <mergeCell ref="A1:Y1"/>
    <mergeCell ref="A2:Y2"/>
    <mergeCell ref="A3:Y3"/>
    <mergeCell ref="A4:X4"/>
    <mergeCell ref="A5:X5"/>
    <mergeCell ref="Y9:Y12"/>
    <mergeCell ref="C10:K10"/>
    <mergeCell ref="L10:M11"/>
    <mergeCell ref="N10:N12"/>
    <mergeCell ref="O10:Q11"/>
    <mergeCell ref="B7:X7"/>
    <mergeCell ref="A9:A12"/>
    <mergeCell ref="B9:B12"/>
    <mergeCell ref="C9:N9"/>
    <mergeCell ref="O9:X9"/>
    <mergeCell ref="R10:W10"/>
    <mergeCell ref="X10:X12"/>
    <mergeCell ref="C11:E11"/>
    <mergeCell ref="F11:H11"/>
    <mergeCell ref="I11:K11"/>
    <mergeCell ref="R11:T11"/>
    <mergeCell ref="U11:W11"/>
  </mergeCells>
  <printOptions verticalCentered="1"/>
  <pageMargins left="0" right="0.31496062992125984" top="0.74803149606299213" bottom="0.74803149606299213" header="0.31496062992125984" footer="0.31496062992125984"/>
  <pageSetup paperSize="5" scale="65" fitToHeight="0" orientation="landscape" horizontalDpi="300" verticalDpi="300" r:id="rId1"/>
  <headerFooter alignWithMargins="0"/>
  <colBreaks count="1" manualBreakCount="1">
    <brk id="25" max="2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4"/>
  <sheetViews>
    <sheetView zoomScale="90" zoomScaleNormal="90" zoomScaleSheetLayoutView="90" workbookViewId="0">
      <pane ySplit="12" topLeftCell="A58" activePane="bottomLeft" state="frozen"/>
      <selection pane="bottomLeft" activeCell="A27" sqref="A27:XFD27"/>
    </sheetView>
  </sheetViews>
  <sheetFormatPr defaultRowHeight="12.75" x14ac:dyDescent="0.2"/>
  <cols>
    <col min="1" max="1" width="5.42578125" customWidth="1"/>
    <col min="2" max="2" width="26.42578125" customWidth="1"/>
    <col min="3" max="3" width="9.140625" customWidth="1"/>
    <col min="4" max="4" width="8.28515625" customWidth="1"/>
    <col min="5" max="5" width="9.140625" customWidth="1"/>
    <col min="6" max="6" width="9.7109375" customWidth="1"/>
    <col min="7" max="7" width="8.140625" customWidth="1"/>
    <col min="8" max="8" width="9.28515625" customWidth="1"/>
    <col min="9" max="9" width="9.5703125" customWidth="1"/>
    <col min="10" max="10" width="8.28515625" customWidth="1"/>
    <col min="11" max="11" width="10.28515625" customWidth="1"/>
    <col min="12" max="12" width="6.85546875" customWidth="1"/>
    <col min="13" max="13" width="6.5703125" style="13" customWidth="1"/>
    <col min="14" max="14" width="9.5703125" customWidth="1"/>
    <col min="15" max="15" width="10.28515625" customWidth="1"/>
    <col min="16" max="16" width="9" customWidth="1"/>
    <col min="17" max="17" width="9.42578125" customWidth="1"/>
    <col min="18" max="18" width="9.7109375" customWidth="1"/>
    <col min="19" max="19" width="8.5703125" customWidth="1"/>
    <col min="20" max="20" width="9.28515625" customWidth="1"/>
    <col min="21" max="21" width="9.85546875" customWidth="1"/>
    <col min="22" max="22" width="8.5703125" customWidth="1"/>
    <col min="23" max="23" width="9.5703125" customWidth="1"/>
    <col min="24" max="24" width="8.7109375" style="102" customWidth="1"/>
    <col min="25" max="25" width="15.42578125" style="102" customWidth="1"/>
    <col min="26" max="26" width="21.140625" style="3" customWidth="1"/>
    <col min="27" max="27" width="1.7109375" customWidth="1"/>
  </cols>
  <sheetData>
    <row r="1" spans="1:29" ht="15.75" customHeight="1" x14ac:dyDescent="0.2">
      <c r="A1" s="133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00"/>
    </row>
    <row r="2" spans="1:29" ht="15.75" customHeight="1" x14ac:dyDescent="0.2">
      <c r="A2" s="134" t="s">
        <v>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00"/>
    </row>
    <row r="3" spans="1:29" ht="15.75" customHeight="1" x14ac:dyDescent="0.2">
      <c r="A3" s="133" t="s">
        <v>90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00"/>
    </row>
    <row r="4" spans="1:29" ht="15.7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00"/>
      <c r="Z4" s="100"/>
    </row>
    <row r="5" spans="1:29" ht="10.5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00"/>
      <c r="Z5"/>
    </row>
    <row r="6" spans="1:29" hidden="1" x14ac:dyDescent="0.2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2"/>
      <c r="Z6"/>
    </row>
    <row r="7" spans="1:29" hidden="1" x14ac:dyDescent="0.2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"/>
      <c r="Z7"/>
    </row>
    <row r="8" spans="1:29" hidden="1" x14ac:dyDescent="0.2">
      <c r="Y8" s="3"/>
      <c r="Z8"/>
    </row>
    <row r="9" spans="1:29" s="1" customFormat="1" ht="39.950000000000003" customHeight="1" x14ac:dyDescent="0.2">
      <c r="A9" s="119" t="s">
        <v>43</v>
      </c>
      <c r="B9" s="122" t="s">
        <v>45</v>
      </c>
      <c r="C9" s="114" t="s">
        <v>54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  <c r="O9" s="125" t="s">
        <v>57</v>
      </c>
      <c r="P9" s="125"/>
      <c r="Q9" s="125"/>
      <c r="R9" s="125"/>
      <c r="S9" s="125"/>
      <c r="T9" s="125"/>
      <c r="U9" s="125"/>
      <c r="V9" s="125"/>
      <c r="W9" s="125"/>
      <c r="X9" s="126"/>
      <c r="Y9" s="111" t="s">
        <v>56</v>
      </c>
      <c r="Z9" s="4"/>
    </row>
    <row r="10" spans="1:29" s="1" customFormat="1" ht="39.950000000000003" customHeight="1" x14ac:dyDescent="0.2">
      <c r="A10" s="120"/>
      <c r="B10" s="123"/>
      <c r="C10" s="114" t="s">
        <v>46</v>
      </c>
      <c r="D10" s="115"/>
      <c r="E10" s="115"/>
      <c r="F10" s="115"/>
      <c r="G10" s="115"/>
      <c r="H10" s="115"/>
      <c r="I10" s="115"/>
      <c r="J10" s="115"/>
      <c r="K10" s="115"/>
      <c r="L10" s="127" t="s">
        <v>50</v>
      </c>
      <c r="M10" s="128"/>
      <c r="N10" s="122" t="s">
        <v>2</v>
      </c>
      <c r="O10" s="131" t="s">
        <v>69</v>
      </c>
      <c r="P10" s="131"/>
      <c r="Q10" s="131"/>
      <c r="R10" s="110" t="s">
        <v>55</v>
      </c>
      <c r="S10" s="110"/>
      <c r="T10" s="110"/>
      <c r="U10" s="110"/>
      <c r="V10" s="110"/>
      <c r="W10" s="110"/>
      <c r="X10" s="111" t="s">
        <v>2</v>
      </c>
      <c r="Y10" s="112"/>
      <c r="Z10" s="4"/>
    </row>
    <row r="11" spans="1:29" s="1" customFormat="1" ht="39.950000000000003" customHeight="1" x14ac:dyDescent="0.2">
      <c r="A11" s="120"/>
      <c r="B11" s="123"/>
      <c r="C11" s="114" t="s">
        <v>47</v>
      </c>
      <c r="D11" s="115"/>
      <c r="E11" s="116"/>
      <c r="F11" s="114" t="s">
        <v>48</v>
      </c>
      <c r="G11" s="115"/>
      <c r="H11" s="116"/>
      <c r="I11" s="114" t="s">
        <v>49</v>
      </c>
      <c r="J11" s="115"/>
      <c r="K11" s="115"/>
      <c r="L11" s="129"/>
      <c r="M11" s="130"/>
      <c r="N11" s="123"/>
      <c r="O11" s="132"/>
      <c r="P11" s="132"/>
      <c r="Q11" s="132"/>
      <c r="R11" s="110" t="s">
        <v>58</v>
      </c>
      <c r="S11" s="110"/>
      <c r="T11" s="110"/>
      <c r="U11" s="117" t="s">
        <v>70</v>
      </c>
      <c r="V11" s="117"/>
      <c r="W11" s="117"/>
      <c r="X11" s="112"/>
      <c r="Y11" s="112"/>
      <c r="Z11" s="4"/>
    </row>
    <row r="12" spans="1:29" s="1" customFormat="1" ht="39.950000000000003" customHeight="1" x14ac:dyDescent="0.2">
      <c r="A12" s="121"/>
      <c r="B12" s="124"/>
      <c r="C12" s="98" t="s">
        <v>51</v>
      </c>
      <c r="D12" s="5" t="s">
        <v>52</v>
      </c>
      <c r="E12" s="5" t="s">
        <v>53</v>
      </c>
      <c r="F12" s="97" t="s">
        <v>51</v>
      </c>
      <c r="G12" s="5" t="s">
        <v>52</v>
      </c>
      <c r="H12" s="5" t="s">
        <v>53</v>
      </c>
      <c r="I12" s="97" t="s">
        <v>51</v>
      </c>
      <c r="J12" s="5" t="s">
        <v>52</v>
      </c>
      <c r="K12" s="5" t="s">
        <v>53</v>
      </c>
      <c r="L12" s="96" t="s">
        <v>62</v>
      </c>
      <c r="M12" s="14" t="s">
        <v>54</v>
      </c>
      <c r="N12" s="124"/>
      <c r="O12" s="62" t="s">
        <v>86</v>
      </c>
      <c r="P12" s="96" t="s">
        <v>52</v>
      </c>
      <c r="Q12" s="5" t="s">
        <v>53</v>
      </c>
      <c r="R12" s="96" t="s">
        <v>86</v>
      </c>
      <c r="S12" s="96" t="s">
        <v>52</v>
      </c>
      <c r="T12" s="5" t="s">
        <v>53</v>
      </c>
      <c r="U12" s="96" t="s">
        <v>86</v>
      </c>
      <c r="V12" s="96" t="s">
        <v>52</v>
      </c>
      <c r="W12" s="5" t="s">
        <v>53</v>
      </c>
      <c r="X12" s="113"/>
      <c r="Y12" s="113"/>
      <c r="Z12" s="4"/>
    </row>
    <row r="13" spans="1:29" s="1" customFormat="1" ht="33.950000000000003" customHeight="1" x14ac:dyDescent="0.2">
      <c r="A13" s="20">
        <v>1</v>
      </c>
      <c r="B13" s="18" t="s">
        <v>44</v>
      </c>
      <c r="C13" s="9">
        <v>1</v>
      </c>
      <c r="D13" s="9">
        <v>0</v>
      </c>
      <c r="E13" s="98">
        <v>1</v>
      </c>
      <c r="F13" s="9">
        <v>1</v>
      </c>
      <c r="G13" s="9">
        <v>1</v>
      </c>
      <c r="H13" s="98">
        <f>F13-G13</f>
        <v>0</v>
      </c>
      <c r="I13" s="9">
        <v>3</v>
      </c>
      <c r="J13" s="9">
        <v>3</v>
      </c>
      <c r="K13" s="98">
        <f>I13-J13</f>
        <v>0</v>
      </c>
      <c r="L13" s="98">
        <v>4</v>
      </c>
      <c r="M13" s="76">
        <v>29</v>
      </c>
      <c r="N13" s="9">
        <f>D13+G13+J13+L13+M13</f>
        <v>37</v>
      </c>
      <c r="O13" s="35">
        <v>28</v>
      </c>
      <c r="P13" s="8">
        <v>28</v>
      </c>
      <c r="Q13" s="97">
        <v>0</v>
      </c>
      <c r="R13" s="8">
        <v>0</v>
      </c>
      <c r="S13" s="8">
        <v>0</v>
      </c>
      <c r="T13" s="97">
        <v>0</v>
      </c>
      <c r="U13" s="8">
        <v>0</v>
      </c>
      <c r="V13" s="8">
        <v>0</v>
      </c>
      <c r="W13" s="16">
        <f>U13-V13</f>
        <v>0</v>
      </c>
      <c r="X13" s="11">
        <f>P13+S13+V13</f>
        <v>28</v>
      </c>
      <c r="Y13" s="12">
        <f>N13+X13</f>
        <v>65</v>
      </c>
      <c r="Z13" s="4"/>
      <c r="AC13" s="40">
        <f>Y13+Y14+Y15+Y16+Y17</f>
        <v>145</v>
      </c>
    </row>
    <row r="14" spans="1:29" s="1" customFormat="1" ht="33.950000000000003" customHeight="1" x14ac:dyDescent="0.2">
      <c r="A14" s="20">
        <v>2</v>
      </c>
      <c r="B14" s="18" t="s">
        <v>4</v>
      </c>
      <c r="C14" s="6"/>
      <c r="D14" s="6"/>
      <c r="E14" s="6"/>
      <c r="F14" s="9">
        <v>1</v>
      </c>
      <c r="G14" s="9">
        <v>1</v>
      </c>
      <c r="H14" s="98">
        <f t="shared" ref="H14:H54" si="0">F14-G14</f>
        <v>0</v>
      </c>
      <c r="I14" s="9">
        <v>3</v>
      </c>
      <c r="J14" s="9">
        <v>3</v>
      </c>
      <c r="K14" s="98">
        <f t="shared" ref="K14:K54" si="1">I14-J14</f>
        <v>0</v>
      </c>
      <c r="L14" s="98">
        <v>0</v>
      </c>
      <c r="M14" s="76">
        <v>9</v>
      </c>
      <c r="N14" s="9">
        <f t="shared" ref="N14:N54" si="2">D14+G14+J14+L14+M14</f>
        <v>13</v>
      </c>
      <c r="O14" s="35">
        <v>3</v>
      </c>
      <c r="P14" s="8">
        <v>3</v>
      </c>
      <c r="Q14" s="97">
        <f t="shared" ref="Q14:Q54" si="3">O14-P14</f>
        <v>0</v>
      </c>
      <c r="R14" s="8">
        <v>8</v>
      </c>
      <c r="S14" s="8">
        <v>8</v>
      </c>
      <c r="T14" s="97">
        <f t="shared" ref="T14:T54" si="4">R14-S14</f>
        <v>0</v>
      </c>
      <c r="U14" s="8">
        <v>0</v>
      </c>
      <c r="V14" s="8">
        <v>0</v>
      </c>
      <c r="W14" s="16">
        <f t="shared" ref="W14:W54" si="5">U14-V14</f>
        <v>0</v>
      </c>
      <c r="X14" s="11">
        <f t="shared" ref="X14:X54" si="6">P14+S14+V14</f>
        <v>11</v>
      </c>
      <c r="Y14" s="12">
        <f t="shared" ref="Y14:Y54" si="7">N14+X14</f>
        <v>24</v>
      </c>
      <c r="Z14" s="4"/>
    </row>
    <row r="15" spans="1:29" s="1" customFormat="1" ht="33.950000000000003" customHeight="1" x14ac:dyDescent="0.2">
      <c r="A15" s="20">
        <v>3</v>
      </c>
      <c r="B15" s="18" t="s">
        <v>0</v>
      </c>
      <c r="C15" s="6"/>
      <c r="D15" s="6"/>
      <c r="E15" s="6"/>
      <c r="F15" s="9">
        <v>1</v>
      </c>
      <c r="G15" s="9">
        <v>1</v>
      </c>
      <c r="H15" s="98">
        <f t="shared" si="0"/>
        <v>0</v>
      </c>
      <c r="I15" s="9">
        <v>0</v>
      </c>
      <c r="J15" s="9">
        <v>0</v>
      </c>
      <c r="K15" s="98">
        <f t="shared" si="1"/>
        <v>0</v>
      </c>
      <c r="L15" s="98">
        <v>3</v>
      </c>
      <c r="M15" s="76">
        <v>8</v>
      </c>
      <c r="N15" s="9">
        <f t="shared" si="2"/>
        <v>12</v>
      </c>
      <c r="O15" s="35">
        <v>11</v>
      </c>
      <c r="P15" s="8">
        <v>11</v>
      </c>
      <c r="Q15" s="97">
        <f t="shared" si="3"/>
        <v>0</v>
      </c>
      <c r="R15" s="8">
        <v>1</v>
      </c>
      <c r="S15" s="8">
        <v>1</v>
      </c>
      <c r="T15" s="97">
        <f t="shared" si="4"/>
        <v>0</v>
      </c>
      <c r="U15" s="8">
        <v>0</v>
      </c>
      <c r="V15" s="8">
        <v>0</v>
      </c>
      <c r="W15" s="16">
        <f t="shared" si="5"/>
        <v>0</v>
      </c>
      <c r="X15" s="11">
        <f t="shared" si="6"/>
        <v>12</v>
      </c>
      <c r="Y15" s="12">
        <f t="shared" si="7"/>
        <v>24</v>
      </c>
      <c r="Z15" s="4"/>
    </row>
    <row r="16" spans="1:29" s="1" customFormat="1" ht="33.950000000000003" customHeight="1" x14ac:dyDescent="0.2">
      <c r="A16" s="20">
        <v>4</v>
      </c>
      <c r="B16" s="18" t="s">
        <v>32</v>
      </c>
      <c r="C16" s="6"/>
      <c r="D16" s="6"/>
      <c r="E16" s="6"/>
      <c r="F16" s="9">
        <v>1</v>
      </c>
      <c r="G16" s="9">
        <v>1</v>
      </c>
      <c r="H16" s="98">
        <f t="shared" si="0"/>
        <v>0</v>
      </c>
      <c r="I16" s="9">
        <v>0</v>
      </c>
      <c r="J16" s="9">
        <v>0</v>
      </c>
      <c r="K16" s="98">
        <f t="shared" si="1"/>
        <v>0</v>
      </c>
      <c r="L16" s="98">
        <v>0</v>
      </c>
      <c r="M16" s="76">
        <v>11</v>
      </c>
      <c r="N16" s="9">
        <f t="shared" si="2"/>
        <v>12</v>
      </c>
      <c r="O16" s="35">
        <v>6</v>
      </c>
      <c r="P16" s="8">
        <v>6</v>
      </c>
      <c r="Q16" s="97">
        <f t="shared" si="3"/>
        <v>0</v>
      </c>
      <c r="R16" s="8">
        <v>0</v>
      </c>
      <c r="S16" s="8">
        <v>0</v>
      </c>
      <c r="T16" s="97">
        <f t="shared" si="4"/>
        <v>0</v>
      </c>
      <c r="U16" s="8">
        <v>0</v>
      </c>
      <c r="V16" s="8">
        <v>0</v>
      </c>
      <c r="W16" s="16">
        <f t="shared" si="5"/>
        <v>0</v>
      </c>
      <c r="X16" s="11">
        <f t="shared" si="6"/>
        <v>6</v>
      </c>
      <c r="Y16" s="12">
        <f t="shared" si="7"/>
        <v>18</v>
      </c>
      <c r="Z16" s="4"/>
    </row>
    <row r="17" spans="1:29" s="1" customFormat="1" ht="33.950000000000003" customHeight="1" x14ac:dyDescent="0.2">
      <c r="A17" s="20">
        <v>5</v>
      </c>
      <c r="B17" s="18" t="s">
        <v>3</v>
      </c>
      <c r="C17" s="6"/>
      <c r="D17" s="6"/>
      <c r="E17" s="6"/>
      <c r="F17" s="9">
        <v>1</v>
      </c>
      <c r="G17" s="9">
        <v>1</v>
      </c>
      <c r="H17" s="98">
        <f t="shared" si="0"/>
        <v>0</v>
      </c>
      <c r="I17" s="9">
        <v>3</v>
      </c>
      <c r="J17" s="9">
        <v>2</v>
      </c>
      <c r="K17" s="98">
        <f t="shared" si="1"/>
        <v>1</v>
      </c>
      <c r="L17" s="98">
        <v>0</v>
      </c>
      <c r="M17" s="76">
        <v>10</v>
      </c>
      <c r="N17" s="9">
        <f t="shared" si="2"/>
        <v>13</v>
      </c>
      <c r="O17" s="35">
        <v>1</v>
      </c>
      <c r="P17" s="8">
        <v>1</v>
      </c>
      <c r="Q17" s="97">
        <f t="shared" si="3"/>
        <v>0</v>
      </c>
      <c r="R17" s="8">
        <v>0</v>
      </c>
      <c r="S17" s="8">
        <v>0</v>
      </c>
      <c r="T17" s="97">
        <f t="shared" si="4"/>
        <v>0</v>
      </c>
      <c r="U17" s="8">
        <v>0</v>
      </c>
      <c r="V17" s="8">
        <v>0</v>
      </c>
      <c r="W17" s="16">
        <f t="shared" si="5"/>
        <v>0</v>
      </c>
      <c r="X17" s="11">
        <f t="shared" si="6"/>
        <v>1</v>
      </c>
      <c r="Y17" s="12">
        <f t="shared" si="7"/>
        <v>14</v>
      </c>
      <c r="Z17" s="4"/>
    </row>
    <row r="18" spans="1:29" s="1" customFormat="1" ht="33.950000000000003" customHeight="1" x14ac:dyDescent="0.2">
      <c r="A18" s="20">
        <v>6</v>
      </c>
      <c r="B18" s="18" t="s">
        <v>6</v>
      </c>
      <c r="C18" s="6"/>
      <c r="D18" s="6"/>
      <c r="E18" s="6"/>
      <c r="F18" s="9">
        <v>1</v>
      </c>
      <c r="G18" s="9">
        <v>1</v>
      </c>
      <c r="H18" s="98">
        <f t="shared" si="0"/>
        <v>0</v>
      </c>
      <c r="I18" s="9">
        <v>3</v>
      </c>
      <c r="J18" s="9">
        <v>3</v>
      </c>
      <c r="K18" s="98">
        <f t="shared" si="1"/>
        <v>0</v>
      </c>
      <c r="L18" s="98">
        <v>1</v>
      </c>
      <c r="M18" s="76">
        <v>14</v>
      </c>
      <c r="N18" s="9">
        <f t="shared" si="2"/>
        <v>19</v>
      </c>
      <c r="O18" s="35">
        <v>14</v>
      </c>
      <c r="P18" s="8">
        <v>14</v>
      </c>
      <c r="Q18" s="97">
        <f t="shared" si="3"/>
        <v>0</v>
      </c>
      <c r="R18" s="8">
        <v>2</v>
      </c>
      <c r="S18" s="8">
        <v>2</v>
      </c>
      <c r="T18" s="97">
        <f t="shared" si="4"/>
        <v>0</v>
      </c>
      <c r="U18" s="8">
        <v>2</v>
      </c>
      <c r="V18" s="8">
        <v>2</v>
      </c>
      <c r="W18" s="16">
        <f t="shared" si="5"/>
        <v>0</v>
      </c>
      <c r="X18" s="11">
        <f t="shared" si="6"/>
        <v>18</v>
      </c>
      <c r="Y18" s="12">
        <f t="shared" si="7"/>
        <v>37</v>
      </c>
      <c r="Z18" s="4"/>
    </row>
    <row r="19" spans="1:29" s="54" customFormat="1" ht="33.950000000000003" customHeight="1" x14ac:dyDescent="0.2">
      <c r="A19" s="20">
        <v>7</v>
      </c>
      <c r="B19" s="18" t="s">
        <v>7</v>
      </c>
      <c r="C19" s="6"/>
      <c r="D19" s="6"/>
      <c r="E19" s="6"/>
      <c r="F19" s="9">
        <v>1</v>
      </c>
      <c r="G19" s="9">
        <v>1</v>
      </c>
      <c r="H19" s="98">
        <f t="shared" si="0"/>
        <v>0</v>
      </c>
      <c r="I19" s="9">
        <v>3</v>
      </c>
      <c r="J19" s="9">
        <v>1</v>
      </c>
      <c r="K19" s="98">
        <f t="shared" si="1"/>
        <v>2</v>
      </c>
      <c r="L19" s="98">
        <v>0</v>
      </c>
      <c r="M19" s="76">
        <v>14</v>
      </c>
      <c r="N19" s="9">
        <f t="shared" si="2"/>
        <v>16</v>
      </c>
      <c r="O19" s="35">
        <v>14</v>
      </c>
      <c r="P19" s="8">
        <v>14</v>
      </c>
      <c r="Q19" s="97">
        <f t="shared" si="3"/>
        <v>0</v>
      </c>
      <c r="R19" s="8">
        <v>0</v>
      </c>
      <c r="S19" s="8">
        <v>0</v>
      </c>
      <c r="T19" s="97">
        <f t="shared" si="4"/>
        <v>0</v>
      </c>
      <c r="U19" s="8">
        <v>2</v>
      </c>
      <c r="V19" s="8">
        <v>1</v>
      </c>
      <c r="W19" s="16">
        <f t="shared" si="5"/>
        <v>1</v>
      </c>
      <c r="X19" s="11">
        <f t="shared" si="6"/>
        <v>15</v>
      </c>
      <c r="Y19" s="12">
        <f t="shared" si="7"/>
        <v>31</v>
      </c>
      <c r="Z19" s="53"/>
    </row>
    <row r="20" spans="1:29" s="1" customFormat="1" ht="33.950000000000003" customHeight="1" x14ac:dyDescent="0.2">
      <c r="A20" s="20">
        <v>8</v>
      </c>
      <c r="B20" s="18" t="s">
        <v>8</v>
      </c>
      <c r="C20" s="6"/>
      <c r="D20" s="6"/>
      <c r="E20" s="6"/>
      <c r="F20" s="9">
        <v>1</v>
      </c>
      <c r="G20" s="9">
        <v>1</v>
      </c>
      <c r="H20" s="98">
        <f t="shared" si="0"/>
        <v>0</v>
      </c>
      <c r="I20" s="9">
        <v>3</v>
      </c>
      <c r="J20" s="9">
        <v>3</v>
      </c>
      <c r="K20" s="98">
        <f t="shared" si="1"/>
        <v>0</v>
      </c>
      <c r="L20" s="98">
        <v>1</v>
      </c>
      <c r="M20" s="76">
        <v>14</v>
      </c>
      <c r="N20" s="9">
        <f t="shared" si="2"/>
        <v>19</v>
      </c>
      <c r="O20" s="35">
        <v>13</v>
      </c>
      <c r="P20" s="8">
        <v>13</v>
      </c>
      <c r="Q20" s="97">
        <f t="shared" si="3"/>
        <v>0</v>
      </c>
      <c r="R20" s="8">
        <v>1</v>
      </c>
      <c r="S20" s="8">
        <v>0</v>
      </c>
      <c r="T20" s="97">
        <f t="shared" si="4"/>
        <v>1</v>
      </c>
      <c r="U20" s="8">
        <v>0</v>
      </c>
      <c r="V20" s="8">
        <v>0</v>
      </c>
      <c r="W20" s="16">
        <f t="shared" si="5"/>
        <v>0</v>
      </c>
      <c r="X20" s="11">
        <f t="shared" si="6"/>
        <v>13</v>
      </c>
      <c r="Y20" s="12">
        <f t="shared" si="7"/>
        <v>32</v>
      </c>
      <c r="Z20" s="4"/>
      <c r="AC20" s="40">
        <f>Y18+Y19+Y20+Y21</f>
        <v>134</v>
      </c>
    </row>
    <row r="21" spans="1:29" s="1" customFormat="1" ht="33.950000000000003" customHeight="1" x14ac:dyDescent="0.2">
      <c r="A21" s="20">
        <v>9</v>
      </c>
      <c r="B21" s="18" t="s">
        <v>5</v>
      </c>
      <c r="C21" s="6"/>
      <c r="D21" s="6"/>
      <c r="E21" s="6"/>
      <c r="F21" s="9">
        <v>1</v>
      </c>
      <c r="G21" s="9">
        <v>1</v>
      </c>
      <c r="H21" s="98">
        <f t="shared" si="0"/>
        <v>0</v>
      </c>
      <c r="I21" s="9">
        <v>3</v>
      </c>
      <c r="J21" s="9">
        <v>1</v>
      </c>
      <c r="K21" s="98">
        <f t="shared" si="1"/>
        <v>2</v>
      </c>
      <c r="L21" s="98">
        <v>1</v>
      </c>
      <c r="M21" s="76">
        <v>16</v>
      </c>
      <c r="N21" s="9">
        <f t="shared" si="2"/>
        <v>19</v>
      </c>
      <c r="O21" s="35">
        <v>9</v>
      </c>
      <c r="P21" s="8">
        <v>9</v>
      </c>
      <c r="Q21" s="97">
        <f t="shared" si="3"/>
        <v>0</v>
      </c>
      <c r="R21" s="8">
        <v>3</v>
      </c>
      <c r="S21" s="8">
        <v>3</v>
      </c>
      <c r="T21" s="97">
        <f t="shared" si="4"/>
        <v>0</v>
      </c>
      <c r="U21" s="8">
        <v>3</v>
      </c>
      <c r="V21" s="8">
        <v>3</v>
      </c>
      <c r="W21" s="16">
        <f t="shared" si="5"/>
        <v>0</v>
      </c>
      <c r="X21" s="11">
        <f t="shared" si="6"/>
        <v>15</v>
      </c>
      <c r="Y21" s="12">
        <f t="shared" si="7"/>
        <v>34</v>
      </c>
      <c r="Z21" s="4"/>
      <c r="AC21" s="40">
        <f>AC13+AC20</f>
        <v>279</v>
      </c>
    </row>
    <row r="22" spans="1:29" s="1" customFormat="1" ht="33.950000000000003" customHeight="1" x14ac:dyDescent="0.2">
      <c r="A22" s="20">
        <v>10</v>
      </c>
      <c r="B22" s="18" t="s">
        <v>9</v>
      </c>
      <c r="C22" s="6"/>
      <c r="D22" s="6"/>
      <c r="E22" s="6"/>
      <c r="F22" s="9">
        <v>1</v>
      </c>
      <c r="G22" s="9">
        <v>1</v>
      </c>
      <c r="H22" s="98">
        <f t="shared" si="0"/>
        <v>0</v>
      </c>
      <c r="I22" s="9">
        <v>3</v>
      </c>
      <c r="J22" s="9">
        <v>1</v>
      </c>
      <c r="K22" s="98">
        <f t="shared" si="1"/>
        <v>2</v>
      </c>
      <c r="L22" s="98">
        <v>1</v>
      </c>
      <c r="M22" s="76">
        <v>9</v>
      </c>
      <c r="N22" s="9">
        <f t="shared" si="2"/>
        <v>12</v>
      </c>
      <c r="O22" s="35">
        <v>3</v>
      </c>
      <c r="P22" s="8">
        <v>3</v>
      </c>
      <c r="Q22" s="97">
        <f t="shared" si="3"/>
        <v>0</v>
      </c>
      <c r="R22" s="8">
        <v>1</v>
      </c>
      <c r="S22" s="8">
        <v>1</v>
      </c>
      <c r="T22" s="97">
        <f t="shared" si="4"/>
        <v>0</v>
      </c>
      <c r="U22" s="8">
        <v>1</v>
      </c>
      <c r="V22" s="8">
        <v>1</v>
      </c>
      <c r="W22" s="16">
        <f t="shared" si="5"/>
        <v>0</v>
      </c>
      <c r="X22" s="11">
        <f t="shared" si="6"/>
        <v>5</v>
      </c>
      <c r="Y22" s="12">
        <f t="shared" si="7"/>
        <v>17</v>
      </c>
      <c r="Z22" s="4"/>
    </row>
    <row r="23" spans="1:29" s="1" customFormat="1" ht="33.950000000000003" customHeight="1" x14ac:dyDescent="0.2">
      <c r="A23" s="20">
        <v>11</v>
      </c>
      <c r="B23" s="18" t="s">
        <v>10</v>
      </c>
      <c r="C23" s="6"/>
      <c r="D23" s="6"/>
      <c r="E23" s="6"/>
      <c r="F23" s="9">
        <v>1</v>
      </c>
      <c r="G23" s="9">
        <v>1</v>
      </c>
      <c r="H23" s="98">
        <f t="shared" si="0"/>
        <v>0</v>
      </c>
      <c r="I23" s="9">
        <v>3</v>
      </c>
      <c r="J23" s="9">
        <v>3</v>
      </c>
      <c r="K23" s="98">
        <f t="shared" si="1"/>
        <v>0</v>
      </c>
      <c r="L23" s="98">
        <v>0</v>
      </c>
      <c r="M23" s="76">
        <v>12</v>
      </c>
      <c r="N23" s="9">
        <f t="shared" si="2"/>
        <v>16</v>
      </c>
      <c r="O23" s="35">
        <v>2</v>
      </c>
      <c r="P23" s="8">
        <v>2</v>
      </c>
      <c r="Q23" s="97">
        <f t="shared" si="3"/>
        <v>0</v>
      </c>
      <c r="R23" s="8">
        <v>3</v>
      </c>
      <c r="S23" s="8">
        <v>3</v>
      </c>
      <c r="T23" s="97">
        <f t="shared" si="4"/>
        <v>0</v>
      </c>
      <c r="U23" s="8">
        <v>2</v>
      </c>
      <c r="V23" s="8">
        <v>2</v>
      </c>
      <c r="W23" s="16">
        <f t="shared" si="5"/>
        <v>0</v>
      </c>
      <c r="X23" s="11">
        <f t="shared" si="6"/>
        <v>7</v>
      </c>
      <c r="Y23" s="12">
        <f t="shared" si="7"/>
        <v>23</v>
      </c>
      <c r="Z23" s="4"/>
    </row>
    <row r="24" spans="1:29" s="1" customFormat="1" ht="33.950000000000003" customHeight="1" x14ac:dyDescent="0.2">
      <c r="A24" s="20">
        <v>12</v>
      </c>
      <c r="B24" s="18" t="s">
        <v>11</v>
      </c>
      <c r="C24" s="6"/>
      <c r="D24" s="6"/>
      <c r="E24" s="6"/>
      <c r="F24" s="9">
        <v>1</v>
      </c>
      <c r="G24" s="9">
        <v>1</v>
      </c>
      <c r="H24" s="98">
        <f t="shared" si="0"/>
        <v>0</v>
      </c>
      <c r="I24" s="9">
        <v>3</v>
      </c>
      <c r="J24" s="9">
        <v>3</v>
      </c>
      <c r="K24" s="98">
        <f t="shared" si="1"/>
        <v>0</v>
      </c>
      <c r="L24" s="98">
        <v>0</v>
      </c>
      <c r="M24" s="76">
        <v>11</v>
      </c>
      <c r="N24" s="9">
        <f t="shared" si="2"/>
        <v>15</v>
      </c>
      <c r="O24" s="35">
        <v>4</v>
      </c>
      <c r="P24" s="8">
        <v>4</v>
      </c>
      <c r="Q24" s="97">
        <f t="shared" si="3"/>
        <v>0</v>
      </c>
      <c r="R24" s="8">
        <v>1</v>
      </c>
      <c r="S24" s="8">
        <v>1</v>
      </c>
      <c r="T24" s="97">
        <f t="shared" si="4"/>
        <v>0</v>
      </c>
      <c r="U24" s="8">
        <v>2</v>
      </c>
      <c r="V24" s="8">
        <v>2</v>
      </c>
      <c r="W24" s="16">
        <f t="shared" si="5"/>
        <v>0</v>
      </c>
      <c r="X24" s="11">
        <f t="shared" si="6"/>
        <v>7</v>
      </c>
      <c r="Y24" s="12">
        <f t="shared" si="7"/>
        <v>22</v>
      </c>
      <c r="Z24" s="4"/>
    </row>
    <row r="25" spans="1:29" s="1" customFormat="1" ht="33.950000000000003" customHeight="1" x14ac:dyDescent="0.2">
      <c r="A25" s="20">
        <v>13</v>
      </c>
      <c r="B25" s="18" t="s">
        <v>12</v>
      </c>
      <c r="C25" s="6"/>
      <c r="D25" s="6"/>
      <c r="E25" s="6"/>
      <c r="F25" s="9">
        <v>1</v>
      </c>
      <c r="G25" s="9">
        <v>1</v>
      </c>
      <c r="H25" s="98">
        <f t="shared" si="0"/>
        <v>0</v>
      </c>
      <c r="I25" s="9">
        <v>3</v>
      </c>
      <c r="J25" s="9">
        <v>3</v>
      </c>
      <c r="K25" s="98">
        <f t="shared" si="1"/>
        <v>0</v>
      </c>
      <c r="L25" s="98">
        <v>0</v>
      </c>
      <c r="M25" s="76">
        <v>19</v>
      </c>
      <c r="N25" s="9">
        <f t="shared" si="2"/>
        <v>23</v>
      </c>
      <c r="O25" s="35">
        <v>2</v>
      </c>
      <c r="P25" s="8">
        <v>2</v>
      </c>
      <c r="Q25" s="97">
        <f t="shared" si="3"/>
        <v>0</v>
      </c>
      <c r="R25" s="8">
        <v>1</v>
      </c>
      <c r="S25" s="8">
        <v>1</v>
      </c>
      <c r="T25" s="97">
        <f t="shared" si="4"/>
        <v>0</v>
      </c>
      <c r="U25" s="8">
        <v>5</v>
      </c>
      <c r="V25" s="8">
        <v>5</v>
      </c>
      <c r="W25" s="16">
        <f t="shared" si="5"/>
        <v>0</v>
      </c>
      <c r="X25" s="11">
        <f t="shared" si="6"/>
        <v>8</v>
      </c>
      <c r="Y25" s="12">
        <f t="shared" si="7"/>
        <v>31</v>
      </c>
      <c r="Z25" s="4"/>
    </row>
    <row r="26" spans="1:29" s="1" customFormat="1" ht="33.950000000000003" customHeight="1" x14ac:dyDescent="0.2">
      <c r="A26" s="20">
        <v>14</v>
      </c>
      <c r="B26" s="18" t="s">
        <v>13</v>
      </c>
      <c r="C26" s="6"/>
      <c r="D26" s="6"/>
      <c r="E26" s="6"/>
      <c r="F26" s="9">
        <v>1</v>
      </c>
      <c r="G26" s="9">
        <v>1</v>
      </c>
      <c r="H26" s="98">
        <f t="shared" si="0"/>
        <v>0</v>
      </c>
      <c r="I26" s="9">
        <v>3</v>
      </c>
      <c r="J26" s="9">
        <v>2</v>
      </c>
      <c r="K26" s="98">
        <f t="shared" si="1"/>
        <v>1</v>
      </c>
      <c r="L26" s="98">
        <v>2</v>
      </c>
      <c r="M26" s="76">
        <v>9</v>
      </c>
      <c r="N26" s="9">
        <f t="shared" si="2"/>
        <v>14</v>
      </c>
      <c r="O26" s="35">
        <v>2</v>
      </c>
      <c r="P26" s="8">
        <v>2</v>
      </c>
      <c r="Q26" s="97">
        <f t="shared" si="3"/>
        <v>0</v>
      </c>
      <c r="R26" s="8">
        <v>2</v>
      </c>
      <c r="S26" s="8">
        <v>2</v>
      </c>
      <c r="T26" s="97">
        <f t="shared" si="4"/>
        <v>0</v>
      </c>
      <c r="U26" s="8">
        <v>3</v>
      </c>
      <c r="V26" s="8">
        <v>3</v>
      </c>
      <c r="W26" s="16">
        <f t="shared" si="5"/>
        <v>0</v>
      </c>
      <c r="X26" s="11">
        <f t="shared" si="6"/>
        <v>7</v>
      </c>
      <c r="Y26" s="12">
        <f t="shared" si="7"/>
        <v>21</v>
      </c>
      <c r="Z26" s="4"/>
    </row>
    <row r="27" spans="1:29" s="1" customFormat="1" ht="33.950000000000003" customHeight="1" x14ac:dyDescent="0.2">
      <c r="A27" s="20">
        <v>15</v>
      </c>
      <c r="B27" s="18" t="s">
        <v>14</v>
      </c>
      <c r="C27" s="6"/>
      <c r="D27" s="6"/>
      <c r="E27" s="6"/>
      <c r="F27" s="9">
        <v>1</v>
      </c>
      <c r="G27" s="9">
        <v>1</v>
      </c>
      <c r="H27" s="98">
        <f t="shared" si="0"/>
        <v>0</v>
      </c>
      <c r="I27" s="9">
        <v>3</v>
      </c>
      <c r="J27" s="9">
        <v>3</v>
      </c>
      <c r="K27" s="98">
        <f t="shared" si="1"/>
        <v>0</v>
      </c>
      <c r="L27" s="98">
        <v>2</v>
      </c>
      <c r="M27" s="76">
        <v>15</v>
      </c>
      <c r="N27" s="9">
        <f t="shared" si="2"/>
        <v>21</v>
      </c>
      <c r="O27" s="35">
        <v>6</v>
      </c>
      <c r="P27" s="8">
        <v>6</v>
      </c>
      <c r="Q27" s="97">
        <f t="shared" si="3"/>
        <v>0</v>
      </c>
      <c r="R27" s="8">
        <v>0</v>
      </c>
      <c r="S27" s="8">
        <v>0</v>
      </c>
      <c r="T27" s="97">
        <f t="shared" si="4"/>
        <v>0</v>
      </c>
      <c r="U27" s="8">
        <v>3</v>
      </c>
      <c r="V27" s="8">
        <v>3</v>
      </c>
      <c r="W27" s="16">
        <f t="shared" si="5"/>
        <v>0</v>
      </c>
      <c r="X27" s="11">
        <f t="shared" si="6"/>
        <v>9</v>
      </c>
      <c r="Y27" s="12">
        <f t="shared" si="7"/>
        <v>30</v>
      </c>
      <c r="Z27" s="4"/>
    </row>
    <row r="28" spans="1:29" s="1" customFormat="1" ht="33.950000000000003" customHeight="1" x14ac:dyDescent="0.2">
      <c r="A28" s="20">
        <v>16</v>
      </c>
      <c r="B28" s="18" t="s">
        <v>15</v>
      </c>
      <c r="C28" s="6"/>
      <c r="D28" s="6"/>
      <c r="E28" s="6"/>
      <c r="F28" s="9">
        <v>1</v>
      </c>
      <c r="G28" s="9">
        <v>1</v>
      </c>
      <c r="H28" s="98">
        <f t="shared" si="0"/>
        <v>0</v>
      </c>
      <c r="I28" s="9">
        <v>3</v>
      </c>
      <c r="J28" s="9">
        <v>3</v>
      </c>
      <c r="K28" s="98">
        <f t="shared" si="1"/>
        <v>0</v>
      </c>
      <c r="L28" s="98">
        <v>1</v>
      </c>
      <c r="M28" s="76">
        <v>8</v>
      </c>
      <c r="N28" s="9">
        <f t="shared" si="2"/>
        <v>13</v>
      </c>
      <c r="O28" s="35">
        <v>8</v>
      </c>
      <c r="P28" s="8">
        <v>8</v>
      </c>
      <c r="Q28" s="97">
        <f t="shared" si="3"/>
        <v>0</v>
      </c>
      <c r="R28" s="8">
        <v>1</v>
      </c>
      <c r="S28" s="8">
        <v>1</v>
      </c>
      <c r="T28" s="97">
        <f t="shared" si="4"/>
        <v>0</v>
      </c>
      <c r="U28" s="8">
        <v>3</v>
      </c>
      <c r="V28" s="8">
        <v>3</v>
      </c>
      <c r="W28" s="16">
        <f t="shared" si="5"/>
        <v>0</v>
      </c>
      <c r="X28" s="11">
        <f t="shared" si="6"/>
        <v>12</v>
      </c>
      <c r="Y28" s="12">
        <f t="shared" si="7"/>
        <v>25</v>
      </c>
      <c r="Z28" s="4"/>
    </row>
    <row r="29" spans="1:29" s="1" customFormat="1" ht="33.950000000000003" customHeight="1" x14ac:dyDescent="0.2">
      <c r="A29" s="20">
        <v>17</v>
      </c>
      <c r="B29" s="18" t="s">
        <v>16</v>
      </c>
      <c r="C29" s="6"/>
      <c r="D29" s="6"/>
      <c r="E29" s="6"/>
      <c r="F29" s="9">
        <v>1</v>
      </c>
      <c r="G29" s="9">
        <v>0</v>
      </c>
      <c r="H29" s="98">
        <f t="shared" si="0"/>
        <v>1</v>
      </c>
      <c r="I29" s="9">
        <v>3</v>
      </c>
      <c r="J29" s="9">
        <v>2</v>
      </c>
      <c r="K29" s="98">
        <f t="shared" si="1"/>
        <v>1</v>
      </c>
      <c r="L29" s="98">
        <v>1</v>
      </c>
      <c r="M29" s="76">
        <v>11</v>
      </c>
      <c r="N29" s="9">
        <f t="shared" si="2"/>
        <v>14</v>
      </c>
      <c r="O29" s="35">
        <v>11</v>
      </c>
      <c r="P29" s="8">
        <v>11</v>
      </c>
      <c r="Q29" s="97">
        <f t="shared" si="3"/>
        <v>0</v>
      </c>
      <c r="R29" s="8">
        <v>0</v>
      </c>
      <c r="S29" s="8">
        <v>0</v>
      </c>
      <c r="T29" s="97">
        <f t="shared" si="4"/>
        <v>0</v>
      </c>
      <c r="U29" s="8">
        <v>5</v>
      </c>
      <c r="V29" s="8">
        <v>5</v>
      </c>
      <c r="W29" s="16">
        <f t="shared" si="5"/>
        <v>0</v>
      </c>
      <c r="X29" s="11">
        <f t="shared" si="6"/>
        <v>16</v>
      </c>
      <c r="Y29" s="12">
        <f t="shared" si="7"/>
        <v>30</v>
      </c>
      <c r="Z29" s="4"/>
    </row>
    <row r="30" spans="1:29" s="1" customFormat="1" ht="33.950000000000003" customHeight="1" x14ac:dyDescent="0.2">
      <c r="A30" s="20">
        <v>18</v>
      </c>
      <c r="B30" s="18" t="s">
        <v>17</v>
      </c>
      <c r="C30" s="6"/>
      <c r="D30" s="6"/>
      <c r="E30" s="6"/>
      <c r="F30" s="9">
        <v>1</v>
      </c>
      <c r="G30" s="9">
        <v>1</v>
      </c>
      <c r="H30" s="98">
        <f t="shared" si="0"/>
        <v>0</v>
      </c>
      <c r="I30" s="9">
        <v>3</v>
      </c>
      <c r="J30" s="9">
        <v>3</v>
      </c>
      <c r="K30" s="98">
        <f t="shared" si="1"/>
        <v>0</v>
      </c>
      <c r="L30" s="98">
        <v>2</v>
      </c>
      <c r="M30" s="76">
        <v>7</v>
      </c>
      <c r="N30" s="9">
        <f t="shared" si="2"/>
        <v>13</v>
      </c>
      <c r="O30" s="35">
        <v>3</v>
      </c>
      <c r="P30" s="8">
        <v>3</v>
      </c>
      <c r="Q30" s="97">
        <f t="shared" si="3"/>
        <v>0</v>
      </c>
      <c r="R30" s="8">
        <v>0</v>
      </c>
      <c r="S30" s="8">
        <v>0</v>
      </c>
      <c r="T30" s="97">
        <f t="shared" si="4"/>
        <v>0</v>
      </c>
      <c r="U30" s="8">
        <v>4</v>
      </c>
      <c r="V30" s="8">
        <v>4</v>
      </c>
      <c r="W30" s="16">
        <f t="shared" si="5"/>
        <v>0</v>
      </c>
      <c r="X30" s="11">
        <f t="shared" si="6"/>
        <v>7</v>
      </c>
      <c r="Y30" s="12">
        <f t="shared" si="7"/>
        <v>20</v>
      </c>
      <c r="Z30" s="4"/>
    </row>
    <row r="31" spans="1:29" s="1" customFormat="1" ht="33.950000000000003" customHeight="1" x14ac:dyDescent="0.2">
      <c r="A31" s="20">
        <v>19</v>
      </c>
      <c r="B31" s="18" t="s">
        <v>18</v>
      </c>
      <c r="C31" s="6"/>
      <c r="D31" s="6"/>
      <c r="E31" s="6"/>
      <c r="F31" s="9">
        <v>1</v>
      </c>
      <c r="G31" s="9">
        <v>1</v>
      </c>
      <c r="H31" s="98">
        <f t="shared" si="0"/>
        <v>0</v>
      </c>
      <c r="I31" s="9">
        <v>3</v>
      </c>
      <c r="J31" s="9">
        <v>2</v>
      </c>
      <c r="K31" s="98">
        <f t="shared" si="1"/>
        <v>1</v>
      </c>
      <c r="L31" s="98">
        <v>4</v>
      </c>
      <c r="M31" s="76">
        <v>6</v>
      </c>
      <c r="N31" s="9">
        <f t="shared" si="2"/>
        <v>13</v>
      </c>
      <c r="O31" s="35">
        <v>3</v>
      </c>
      <c r="P31" s="8">
        <v>3</v>
      </c>
      <c r="Q31" s="97">
        <f t="shared" si="3"/>
        <v>0</v>
      </c>
      <c r="R31" s="8">
        <v>0</v>
      </c>
      <c r="S31" s="8">
        <v>0</v>
      </c>
      <c r="T31" s="97">
        <f t="shared" si="4"/>
        <v>0</v>
      </c>
      <c r="U31" s="8">
        <v>4</v>
      </c>
      <c r="V31" s="8">
        <v>4</v>
      </c>
      <c r="W31" s="16">
        <v>0</v>
      </c>
      <c r="X31" s="11">
        <f t="shared" si="6"/>
        <v>7</v>
      </c>
      <c r="Y31" s="12">
        <f t="shared" si="7"/>
        <v>20</v>
      </c>
      <c r="Z31" s="4"/>
    </row>
    <row r="32" spans="1:29" s="1" customFormat="1" ht="33.950000000000003" customHeight="1" x14ac:dyDescent="0.2">
      <c r="A32" s="20">
        <v>20</v>
      </c>
      <c r="B32" s="18" t="s">
        <v>19</v>
      </c>
      <c r="C32" s="6"/>
      <c r="D32" s="6"/>
      <c r="E32" s="6"/>
      <c r="F32" s="9">
        <v>1</v>
      </c>
      <c r="G32" s="9">
        <v>1</v>
      </c>
      <c r="H32" s="98">
        <f t="shared" si="0"/>
        <v>0</v>
      </c>
      <c r="I32" s="9">
        <v>3</v>
      </c>
      <c r="J32" s="9">
        <v>2</v>
      </c>
      <c r="K32" s="98">
        <f t="shared" si="1"/>
        <v>1</v>
      </c>
      <c r="L32" s="98">
        <v>5</v>
      </c>
      <c r="M32" s="76">
        <v>6</v>
      </c>
      <c r="N32" s="9">
        <f t="shared" si="2"/>
        <v>14</v>
      </c>
      <c r="O32" s="35">
        <v>4</v>
      </c>
      <c r="P32" s="8">
        <v>4</v>
      </c>
      <c r="Q32" s="97">
        <f t="shared" si="3"/>
        <v>0</v>
      </c>
      <c r="R32" s="8">
        <v>0</v>
      </c>
      <c r="S32" s="8">
        <v>0</v>
      </c>
      <c r="T32" s="97">
        <f t="shared" si="4"/>
        <v>0</v>
      </c>
      <c r="U32" s="8">
        <v>5</v>
      </c>
      <c r="V32" s="8">
        <v>4</v>
      </c>
      <c r="W32" s="16">
        <f t="shared" si="5"/>
        <v>1</v>
      </c>
      <c r="X32" s="11">
        <f t="shared" si="6"/>
        <v>8</v>
      </c>
      <c r="Y32" s="12">
        <f t="shared" si="7"/>
        <v>22</v>
      </c>
      <c r="Z32" s="4"/>
    </row>
    <row r="33" spans="1:26" s="1" customFormat="1" ht="33.950000000000003" customHeight="1" x14ac:dyDescent="0.2">
      <c r="A33" s="20">
        <v>21</v>
      </c>
      <c r="B33" s="19" t="s">
        <v>20</v>
      </c>
      <c r="C33" s="7"/>
      <c r="D33" s="7"/>
      <c r="E33" s="7"/>
      <c r="F33" s="9">
        <v>1</v>
      </c>
      <c r="G33" s="9">
        <v>1</v>
      </c>
      <c r="H33" s="98">
        <f t="shared" si="0"/>
        <v>0</v>
      </c>
      <c r="I33" s="9">
        <v>3</v>
      </c>
      <c r="J33" s="10">
        <v>3</v>
      </c>
      <c r="K33" s="98">
        <f t="shared" si="1"/>
        <v>0</v>
      </c>
      <c r="L33" s="98">
        <v>0</v>
      </c>
      <c r="M33" s="76">
        <v>7</v>
      </c>
      <c r="N33" s="9">
        <f t="shared" si="2"/>
        <v>11</v>
      </c>
      <c r="O33" s="35">
        <v>4</v>
      </c>
      <c r="P33" s="8">
        <v>4</v>
      </c>
      <c r="Q33" s="97">
        <f t="shared" si="3"/>
        <v>0</v>
      </c>
      <c r="R33" s="8">
        <v>2</v>
      </c>
      <c r="S33" s="8">
        <v>2</v>
      </c>
      <c r="T33" s="97">
        <f t="shared" si="4"/>
        <v>0</v>
      </c>
      <c r="U33" s="8">
        <v>3</v>
      </c>
      <c r="V33" s="8">
        <v>3</v>
      </c>
      <c r="W33" s="16">
        <f t="shared" si="5"/>
        <v>0</v>
      </c>
      <c r="X33" s="11">
        <f t="shared" si="6"/>
        <v>9</v>
      </c>
      <c r="Y33" s="12">
        <f t="shared" si="7"/>
        <v>20</v>
      </c>
      <c r="Z33" s="4"/>
    </row>
    <row r="34" spans="1:26" s="1" customFormat="1" ht="33.950000000000003" customHeight="1" x14ac:dyDescent="0.2">
      <c r="A34" s="20">
        <v>22</v>
      </c>
      <c r="B34" s="18" t="s">
        <v>21</v>
      </c>
      <c r="C34" s="6"/>
      <c r="D34" s="6"/>
      <c r="E34" s="6"/>
      <c r="F34" s="9">
        <v>1</v>
      </c>
      <c r="G34" s="9">
        <v>1</v>
      </c>
      <c r="H34" s="98">
        <f t="shared" si="0"/>
        <v>0</v>
      </c>
      <c r="I34" s="9">
        <v>3</v>
      </c>
      <c r="J34" s="9">
        <v>3</v>
      </c>
      <c r="K34" s="98">
        <f t="shared" si="1"/>
        <v>0</v>
      </c>
      <c r="L34" s="98">
        <v>2</v>
      </c>
      <c r="M34" s="76">
        <v>11</v>
      </c>
      <c r="N34" s="9">
        <f t="shared" si="2"/>
        <v>17</v>
      </c>
      <c r="O34" s="35">
        <v>2</v>
      </c>
      <c r="P34" s="8">
        <v>2</v>
      </c>
      <c r="Q34" s="97">
        <f t="shared" si="3"/>
        <v>0</v>
      </c>
      <c r="R34" s="8">
        <v>0</v>
      </c>
      <c r="S34" s="8">
        <v>0</v>
      </c>
      <c r="T34" s="97">
        <f t="shared" si="4"/>
        <v>0</v>
      </c>
      <c r="U34" s="8">
        <v>3</v>
      </c>
      <c r="V34" s="8">
        <v>3</v>
      </c>
      <c r="W34" s="16">
        <f t="shared" si="5"/>
        <v>0</v>
      </c>
      <c r="X34" s="11">
        <f t="shared" si="6"/>
        <v>5</v>
      </c>
      <c r="Y34" s="12">
        <f t="shared" si="7"/>
        <v>22</v>
      </c>
      <c r="Z34" s="4"/>
    </row>
    <row r="35" spans="1:26" s="1" customFormat="1" ht="33.950000000000003" customHeight="1" x14ac:dyDescent="0.2">
      <c r="A35" s="20">
        <v>23</v>
      </c>
      <c r="B35" s="18" t="s">
        <v>22</v>
      </c>
      <c r="C35" s="6"/>
      <c r="D35" s="6"/>
      <c r="E35" s="6"/>
      <c r="F35" s="9">
        <v>1</v>
      </c>
      <c r="G35" s="9">
        <v>1</v>
      </c>
      <c r="H35" s="98">
        <f t="shared" si="0"/>
        <v>0</v>
      </c>
      <c r="I35" s="9">
        <v>3</v>
      </c>
      <c r="J35" s="9">
        <v>3</v>
      </c>
      <c r="K35" s="98">
        <f t="shared" si="1"/>
        <v>0</v>
      </c>
      <c r="L35" s="98">
        <v>1</v>
      </c>
      <c r="M35" s="76">
        <v>14</v>
      </c>
      <c r="N35" s="9">
        <f t="shared" si="2"/>
        <v>19</v>
      </c>
      <c r="O35" s="35">
        <v>1</v>
      </c>
      <c r="P35" s="8">
        <v>1</v>
      </c>
      <c r="Q35" s="97">
        <f t="shared" si="3"/>
        <v>0</v>
      </c>
      <c r="R35" s="8">
        <v>0</v>
      </c>
      <c r="S35" s="8">
        <v>0</v>
      </c>
      <c r="T35" s="97">
        <f t="shared" si="4"/>
        <v>0</v>
      </c>
      <c r="U35" s="8">
        <v>5</v>
      </c>
      <c r="V35" s="8">
        <v>5</v>
      </c>
      <c r="W35" s="16">
        <f t="shared" si="5"/>
        <v>0</v>
      </c>
      <c r="X35" s="11">
        <f t="shared" si="6"/>
        <v>6</v>
      </c>
      <c r="Y35" s="12">
        <f t="shared" si="7"/>
        <v>25</v>
      </c>
      <c r="Z35" s="4"/>
    </row>
    <row r="36" spans="1:26" s="1" customFormat="1" ht="33.950000000000003" customHeight="1" x14ac:dyDescent="0.2">
      <c r="A36" s="20">
        <v>24</v>
      </c>
      <c r="B36" s="18" t="s">
        <v>34</v>
      </c>
      <c r="C36" s="6"/>
      <c r="D36" s="6"/>
      <c r="E36" s="6"/>
      <c r="F36" s="9">
        <v>1</v>
      </c>
      <c r="G36" s="9">
        <v>1</v>
      </c>
      <c r="H36" s="98">
        <f t="shared" si="0"/>
        <v>0</v>
      </c>
      <c r="I36" s="9">
        <v>3</v>
      </c>
      <c r="J36" s="9">
        <v>2</v>
      </c>
      <c r="K36" s="98">
        <f t="shared" si="1"/>
        <v>1</v>
      </c>
      <c r="L36" s="98">
        <v>3</v>
      </c>
      <c r="M36" s="76">
        <v>4</v>
      </c>
      <c r="N36" s="9">
        <f t="shared" si="2"/>
        <v>10</v>
      </c>
      <c r="O36" s="35">
        <v>0</v>
      </c>
      <c r="P36" s="8">
        <v>0</v>
      </c>
      <c r="Q36" s="97">
        <f t="shared" si="3"/>
        <v>0</v>
      </c>
      <c r="R36" s="8">
        <v>1</v>
      </c>
      <c r="S36" s="8">
        <v>1</v>
      </c>
      <c r="T36" s="97">
        <f t="shared" si="4"/>
        <v>0</v>
      </c>
      <c r="U36" s="8">
        <v>3</v>
      </c>
      <c r="V36" s="8">
        <v>3</v>
      </c>
      <c r="W36" s="16">
        <f t="shared" si="5"/>
        <v>0</v>
      </c>
      <c r="X36" s="11">
        <f t="shared" si="6"/>
        <v>4</v>
      </c>
      <c r="Y36" s="12">
        <f t="shared" si="7"/>
        <v>14</v>
      </c>
      <c r="Z36" s="4"/>
    </row>
    <row r="37" spans="1:26" s="1" customFormat="1" ht="33.950000000000003" customHeight="1" x14ac:dyDescent="0.2">
      <c r="A37" s="20">
        <v>25</v>
      </c>
      <c r="B37" s="18" t="s">
        <v>35</v>
      </c>
      <c r="C37" s="6"/>
      <c r="D37" s="6"/>
      <c r="E37" s="6"/>
      <c r="F37" s="9">
        <v>1</v>
      </c>
      <c r="G37" s="9">
        <v>1</v>
      </c>
      <c r="H37" s="98">
        <f t="shared" si="0"/>
        <v>0</v>
      </c>
      <c r="I37" s="9">
        <v>3</v>
      </c>
      <c r="J37" s="9">
        <v>3</v>
      </c>
      <c r="K37" s="98">
        <f t="shared" si="1"/>
        <v>0</v>
      </c>
      <c r="L37" s="98">
        <v>1</v>
      </c>
      <c r="M37" s="76">
        <v>11</v>
      </c>
      <c r="N37" s="9">
        <f t="shared" si="2"/>
        <v>16</v>
      </c>
      <c r="O37" s="35">
        <v>0</v>
      </c>
      <c r="P37" s="8">
        <v>0</v>
      </c>
      <c r="Q37" s="97">
        <f t="shared" si="3"/>
        <v>0</v>
      </c>
      <c r="R37" s="8">
        <v>0</v>
      </c>
      <c r="S37" s="8">
        <v>0</v>
      </c>
      <c r="T37" s="97">
        <f t="shared" si="4"/>
        <v>0</v>
      </c>
      <c r="U37" s="8">
        <v>5</v>
      </c>
      <c r="V37" s="8">
        <v>5</v>
      </c>
      <c r="W37" s="16">
        <f t="shared" si="5"/>
        <v>0</v>
      </c>
      <c r="X37" s="11">
        <f t="shared" si="6"/>
        <v>5</v>
      </c>
      <c r="Y37" s="12">
        <f t="shared" si="7"/>
        <v>21</v>
      </c>
      <c r="Z37" s="4"/>
    </row>
    <row r="38" spans="1:26" s="1" customFormat="1" ht="33.950000000000003" customHeight="1" x14ac:dyDescent="0.2">
      <c r="A38" s="20">
        <v>26</v>
      </c>
      <c r="B38" s="18" t="s">
        <v>36</v>
      </c>
      <c r="C38" s="6"/>
      <c r="D38" s="6"/>
      <c r="E38" s="6"/>
      <c r="F38" s="9">
        <v>1</v>
      </c>
      <c r="G38" s="9">
        <v>1</v>
      </c>
      <c r="H38" s="98">
        <f>F38-G38</f>
        <v>0</v>
      </c>
      <c r="I38" s="9">
        <v>3</v>
      </c>
      <c r="J38" s="9">
        <v>3</v>
      </c>
      <c r="K38" s="98">
        <f>I38-J38</f>
        <v>0</v>
      </c>
      <c r="L38" s="98">
        <v>1</v>
      </c>
      <c r="M38" s="76">
        <v>6</v>
      </c>
      <c r="N38" s="9">
        <f t="shared" si="2"/>
        <v>11</v>
      </c>
      <c r="O38" s="35">
        <v>0</v>
      </c>
      <c r="P38" s="8">
        <v>0</v>
      </c>
      <c r="Q38" s="97">
        <f>O38-P38</f>
        <v>0</v>
      </c>
      <c r="R38" s="8">
        <v>0</v>
      </c>
      <c r="S38" s="8">
        <v>0</v>
      </c>
      <c r="T38" s="97">
        <f>R38-S38</f>
        <v>0</v>
      </c>
      <c r="U38" s="8">
        <v>2</v>
      </c>
      <c r="V38" s="8">
        <v>2</v>
      </c>
      <c r="W38" s="16">
        <f>U38-V38</f>
        <v>0</v>
      </c>
      <c r="X38" s="11">
        <f>P38+S38+V38</f>
        <v>2</v>
      </c>
      <c r="Y38" s="12">
        <f t="shared" si="7"/>
        <v>13</v>
      </c>
      <c r="Z38" s="4"/>
    </row>
    <row r="39" spans="1:26" s="1" customFormat="1" ht="33.950000000000003" customHeight="1" x14ac:dyDescent="0.2">
      <c r="A39" s="20">
        <v>27</v>
      </c>
      <c r="B39" s="18" t="s">
        <v>33</v>
      </c>
      <c r="C39" s="6"/>
      <c r="D39" s="6"/>
      <c r="E39" s="6"/>
      <c r="F39" s="9">
        <v>1</v>
      </c>
      <c r="G39" s="9">
        <v>1</v>
      </c>
      <c r="H39" s="98">
        <f t="shared" si="0"/>
        <v>0</v>
      </c>
      <c r="I39" s="9">
        <v>3</v>
      </c>
      <c r="J39" s="9">
        <v>3</v>
      </c>
      <c r="K39" s="98">
        <f t="shared" si="1"/>
        <v>0</v>
      </c>
      <c r="L39" s="98">
        <v>3</v>
      </c>
      <c r="M39" s="76">
        <v>5</v>
      </c>
      <c r="N39" s="9">
        <f t="shared" si="2"/>
        <v>12</v>
      </c>
      <c r="O39" s="35">
        <v>1</v>
      </c>
      <c r="P39" s="8">
        <v>1</v>
      </c>
      <c r="Q39" s="97">
        <f t="shared" si="3"/>
        <v>0</v>
      </c>
      <c r="R39" s="8">
        <v>0</v>
      </c>
      <c r="S39" s="8">
        <v>0</v>
      </c>
      <c r="T39" s="97">
        <f t="shared" si="4"/>
        <v>0</v>
      </c>
      <c r="U39" s="8">
        <v>3</v>
      </c>
      <c r="V39" s="8">
        <v>3</v>
      </c>
      <c r="W39" s="16">
        <f t="shared" si="5"/>
        <v>0</v>
      </c>
      <c r="X39" s="11">
        <f t="shared" si="6"/>
        <v>4</v>
      </c>
      <c r="Y39" s="12">
        <f t="shared" si="7"/>
        <v>16</v>
      </c>
      <c r="Z39" s="4"/>
    </row>
    <row r="40" spans="1:26" s="1" customFormat="1" ht="33.950000000000003" customHeight="1" x14ac:dyDescent="0.2">
      <c r="A40" s="20">
        <v>28</v>
      </c>
      <c r="B40" s="18" t="s">
        <v>23</v>
      </c>
      <c r="C40" s="6"/>
      <c r="D40" s="6"/>
      <c r="E40" s="6"/>
      <c r="F40" s="9">
        <v>1</v>
      </c>
      <c r="G40" s="9">
        <v>1</v>
      </c>
      <c r="H40" s="98">
        <f t="shared" si="0"/>
        <v>0</v>
      </c>
      <c r="I40" s="9">
        <v>3</v>
      </c>
      <c r="J40" s="9">
        <v>3</v>
      </c>
      <c r="K40" s="98">
        <f t="shared" si="1"/>
        <v>0</v>
      </c>
      <c r="L40" s="98">
        <v>5</v>
      </c>
      <c r="M40" s="76">
        <v>5</v>
      </c>
      <c r="N40" s="9">
        <f t="shared" si="2"/>
        <v>14</v>
      </c>
      <c r="O40" s="35">
        <v>3</v>
      </c>
      <c r="P40" s="8">
        <v>3</v>
      </c>
      <c r="Q40" s="97">
        <f t="shared" si="3"/>
        <v>0</v>
      </c>
      <c r="R40" s="8">
        <v>0</v>
      </c>
      <c r="S40" s="8">
        <v>0</v>
      </c>
      <c r="T40" s="97">
        <f t="shared" si="4"/>
        <v>0</v>
      </c>
      <c r="U40" s="8">
        <v>2</v>
      </c>
      <c r="V40" s="8">
        <v>2</v>
      </c>
      <c r="W40" s="16">
        <f t="shared" si="5"/>
        <v>0</v>
      </c>
      <c r="X40" s="11">
        <f t="shared" si="6"/>
        <v>5</v>
      </c>
      <c r="Y40" s="12">
        <f t="shared" si="7"/>
        <v>19</v>
      </c>
      <c r="Z40" s="4"/>
    </row>
    <row r="41" spans="1:26" s="1" customFormat="1" ht="33.950000000000003" customHeight="1" x14ac:dyDescent="0.2">
      <c r="A41" s="20">
        <v>29</v>
      </c>
      <c r="B41" s="18" t="s">
        <v>24</v>
      </c>
      <c r="C41" s="6"/>
      <c r="D41" s="6"/>
      <c r="E41" s="6"/>
      <c r="F41" s="9">
        <v>1</v>
      </c>
      <c r="G41" s="9">
        <v>1</v>
      </c>
      <c r="H41" s="98">
        <f t="shared" si="0"/>
        <v>0</v>
      </c>
      <c r="I41" s="9">
        <v>3</v>
      </c>
      <c r="J41" s="9">
        <v>3</v>
      </c>
      <c r="K41" s="98">
        <f t="shared" si="1"/>
        <v>0</v>
      </c>
      <c r="L41" s="98">
        <v>1</v>
      </c>
      <c r="M41" s="76">
        <v>6</v>
      </c>
      <c r="N41" s="9">
        <f t="shared" si="2"/>
        <v>11</v>
      </c>
      <c r="O41" s="35">
        <v>1</v>
      </c>
      <c r="P41" s="8">
        <v>1</v>
      </c>
      <c r="Q41" s="97">
        <f t="shared" si="3"/>
        <v>0</v>
      </c>
      <c r="R41" s="8">
        <v>0</v>
      </c>
      <c r="S41" s="8">
        <v>0</v>
      </c>
      <c r="T41" s="97">
        <f t="shared" si="4"/>
        <v>0</v>
      </c>
      <c r="U41" s="8">
        <v>4</v>
      </c>
      <c r="V41" s="8">
        <v>4</v>
      </c>
      <c r="W41" s="16">
        <f t="shared" si="5"/>
        <v>0</v>
      </c>
      <c r="X41" s="11">
        <f t="shared" si="6"/>
        <v>5</v>
      </c>
      <c r="Y41" s="12">
        <f t="shared" si="7"/>
        <v>16</v>
      </c>
      <c r="Z41" s="4"/>
    </row>
    <row r="42" spans="1:26" s="1" customFormat="1" ht="33.950000000000003" customHeight="1" x14ac:dyDescent="0.2">
      <c r="A42" s="20">
        <v>30</v>
      </c>
      <c r="B42" s="18" t="s">
        <v>25</v>
      </c>
      <c r="C42" s="6"/>
      <c r="D42" s="6"/>
      <c r="E42" s="6"/>
      <c r="F42" s="9">
        <v>1</v>
      </c>
      <c r="G42" s="9">
        <v>0</v>
      </c>
      <c r="H42" s="98">
        <f t="shared" si="0"/>
        <v>1</v>
      </c>
      <c r="I42" s="9">
        <v>3</v>
      </c>
      <c r="J42" s="9">
        <v>2</v>
      </c>
      <c r="K42" s="98">
        <f t="shared" si="1"/>
        <v>1</v>
      </c>
      <c r="L42" s="98">
        <v>3</v>
      </c>
      <c r="M42" s="76">
        <v>12</v>
      </c>
      <c r="N42" s="9">
        <f t="shared" si="2"/>
        <v>17</v>
      </c>
      <c r="O42" s="35">
        <v>1</v>
      </c>
      <c r="P42" s="8">
        <v>1</v>
      </c>
      <c r="Q42" s="97">
        <f t="shared" si="3"/>
        <v>0</v>
      </c>
      <c r="R42" s="8">
        <v>0</v>
      </c>
      <c r="S42" s="8">
        <v>0</v>
      </c>
      <c r="T42" s="97">
        <f t="shared" si="4"/>
        <v>0</v>
      </c>
      <c r="U42" s="8">
        <v>5</v>
      </c>
      <c r="V42" s="8">
        <v>5</v>
      </c>
      <c r="W42" s="16">
        <f t="shared" si="5"/>
        <v>0</v>
      </c>
      <c r="X42" s="11">
        <f t="shared" si="6"/>
        <v>6</v>
      </c>
      <c r="Y42" s="12">
        <f t="shared" si="7"/>
        <v>23</v>
      </c>
      <c r="Z42" s="4"/>
    </row>
    <row r="43" spans="1:26" s="1" customFormat="1" ht="33.950000000000003" customHeight="1" x14ac:dyDescent="0.2">
      <c r="A43" s="20">
        <v>31</v>
      </c>
      <c r="B43" s="18" t="s">
        <v>37</v>
      </c>
      <c r="C43" s="6"/>
      <c r="D43" s="6"/>
      <c r="E43" s="6"/>
      <c r="F43" s="9">
        <v>1</v>
      </c>
      <c r="G43" s="9">
        <v>1</v>
      </c>
      <c r="H43" s="98">
        <f t="shared" si="0"/>
        <v>0</v>
      </c>
      <c r="I43" s="9">
        <v>3</v>
      </c>
      <c r="J43" s="9">
        <v>3</v>
      </c>
      <c r="K43" s="98">
        <f t="shared" si="1"/>
        <v>0</v>
      </c>
      <c r="L43" s="98">
        <v>2</v>
      </c>
      <c r="M43" s="76">
        <v>6</v>
      </c>
      <c r="N43" s="9">
        <f t="shared" si="2"/>
        <v>12</v>
      </c>
      <c r="O43" s="35">
        <v>1</v>
      </c>
      <c r="P43" s="8">
        <v>1</v>
      </c>
      <c r="Q43" s="97">
        <f t="shared" si="3"/>
        <v>0</v>
      </c>
      <c r="R43" s="8">
        <v>1</v>
      </c>
      <c r="S43" s="8">
        <v>1</v>
      </c>
      <c r="T43" s="97">
        <f t="shared" si="4"/>
        <v>0</v>
      </c>
      <c r="U43" s="8">
        <v>3</v>
      </c>
      <c r="V43" s="8">
        <v>3</v>
      </c>
      <c r="W43" s="16">
        <f t="shared" si="5"/>
        <v>0</v>
      </c>
      <c r="X43" s="11">
        <f t="shared" si="6"/>
        <v>5</v>
      </c>
      <c r="Y43" s="12">
        <f t="shared" si="7"/>
        <v>17</v>
      </c>
      <c r="Z43" s="4"/>
    </row>
    <row r="44" spans="1:26" s="1" customFormat="1" ht="33.950000000000003" customHeight="1" x14ac:dyDescent="0.2">
      <c r="A44" s="20">
        <v>32</v>
      </c>
      <c r="B44" s="18" t="s">
        <v>38</v>
      </c>
      <c r="C44" s="6"/>
      <c r="D44" s="6"/>
      <c r="E44" s="6"/>
      <c r="F44" s="9">
        <v>1</v>
      </c>
      <c r="G44" s="9">
        <v>1</v>
      </c>
      <c r="H44" s="98">
        <f t="shared" si="0"/>
        <v>0</v>
      </c>
      <c r="I44" s="9">
        <v>3</v>
      </c>
      <c r="J44" s="9">
        <v>2</v>
      </c>
      <c r="K44" s="98">
        <f t="shared" si="1"/>
        <v>1</v>
      </c>
      <c r="L44" s="98">
        <v>3</v>
      </c>
      <c r="M44" s="76">
        <v>3</v>
      </c>
      <c r="N44" s="9">
        <f t="shared" si="2"/>
        <v>9</v>
      </c>
      <c r="O44" s="35">
        <v>0</v>
      </c>
      <c r="P44" s="8">
        <v>0</v>
      </c>
      <c r="Q44" s="97">
        <f t="shared" si="3"/>
        <v>0</v>
      </c>
      <c r="R44" s="8">
        <v>1</v>
      </c>
      <c r="S44" s="8">
        <v>1</v>
      </c>
      <c r="T44" s="97">
        <f t="shared" si="4"/>
        <v>0</v>
      </c>
      <c r="U44" s="8">
        <v>3</v>
      </c>
      <c r="V44" s="8">
        <v>3</v>
      </c>
      <c r="W44" s="16">
        <f t="shared" si="5"/>
        <v>0</v>
      </c>
      <c r="X44" s="11">
        <f t="shared" si="6"/>
        <v>4</v>
      </c>
      <c r="Y44" s="12">
        <f t="shared" si="7"/>
        <v>13</v>
      </c>
      <c r="Z44" s="4"/>
    </row>
    <row r="45" spans="1:26" s="1" customFormat="1" ht="33.950000000000003" customHeight="1" x14ac:dyDescent="0.2">
      <c r="A45" s="20">
        <v>33</v>
      </c>
      <c r="B45" s="18" t="s">
        <v>26</v>
      </c>
      <c r="C45" s="6"/>
      <c r="D45" s="6"/>
      <c r="E45" s="6"/>
      <c r="F45" s="9">
        <v>1</v>
      </c>
      <c r="G45" s="9">
        <v>1</v>
      </c>
      <c r="H45" s="98">
        <f t="shared" si="0"/>
        <v>0</v>
      </c>
      <c r="I45" s="9">
        <v>3</v>
      </c>
      <c r="J45" s="9">
        <v>3</v>
      </c>
      <c r="K45" s="98">
        <f t="shared" si="1"/>
        <v>0</v>
      </c>
      <c r="L45" s="98">
        <v>2</v>
      </c>
      <c r="M45" s="76">
        <v>5</v>
      </c>
      <c r="N45" s="9">
        <f t="shared" si="2"/>
        <v>11</v>
      </c>
      <c r="O45" s="35">
        <v>2</v>
      </c>
      <c r="P45" s="8">
        <v>2</v>
      </c>
      <c r="Q45" s="97">
        <f t="shared" si="3"/>
        <v>0</v>
      </c>
      <c r="R45" s="8">
        <v>0</v>
      </c>
      <c r="S45" s="8">
        <v>0</v>
      </c>
      <c r="T45" s="97">
        <f t="shared" si="4"/>
        <v>0</v>
      </c>
      <c r="U45" s="8">
        <v>6</v>
      </c>
      <c r="V45" s="8">
        <v>6</v>
      </c>
      <c r="W45" s="16">
        <f t="shared" si="5"/>
        <v>0</v>
      </c>
      <c r="X45" s="11">
        <f t="shared" si="6"/>
        <v>8</v>
      </c>
      <c r="Y45" s="12">
        <f t="shared" si="7"/>
        <v>19</v>
      </c>
      <c r="Z45" s="4"/>
    </row>
    <row r="46" spans="1:26" s="1" customFormat="1" ht="33.950000000000003" customHeight="1" x14ac:dyDescent="0.2">
      <c r="A46" s="20">
        <v>34</v>
      </c>
      <c r="B46" s="18" t="s">
        <v>27</v>
      </c>
      <c r="C46" s="6"/>
      <c r="D46" s="6"/>
      <c r="E46" s="6"/>
      <c r="F46" s="9">
        <v>1</v>
      </c>
      <c r="G46" s="9">
        <v>1</v>
      </c>
      <c r="H46" s="98">
        <f t="shared" si="0"/>
        <v>0</v>
      </c>
      <c r="I46" s="9">
        <v>3</v>
      </c>
      <c r="J46" s="9">
        <v>3</v>
      </c>
      <c r="K46" s="98">
        <f t="shared" si="1"/>
        <v>0</v>
      </c>
      <c r="L46" s="98">
        <v>1</v>
      </c>
      <c r="M46" s="76">
        <v>7</v>
      </c>
      <c r="N46" s="9">
        <f t="shared" si="2"/>
        <v>12</v>
      </c>
      <c r="O46" s="35">
        <v>1</v>
      </c>
      <c r="P46" s="8">
        <v>1</v>
      </c>
      <c r="Q46" s="97">
        <f t="shared" si="3"/>
        <v>0</v>
      </c>
      <c r="R46" s="8">
        <v>0</v>
      </c>
      <c r="S46" s="8">
        <v>0</v>
      </c>
      <c r="T46" s="97">
        <f t="shared" si="4"/>
        <v>0</v>
      </c>
      <c r="U46" s="8">
        <v>3</v>
      </c>
      <c r="V46" s="8">
        <v>3</v>
      </c>
      <c r="W46" s="16">
        <f t="shared" si="5"/>
        <v>0</v>
      </c>
      <c r="X46" s="11">
        <f t="shared" si="6"/>
        <v>4</v>
      </c>
      <c r="Y46" s="12">
        <f t="shared" si="7"/>
        <v>16</v>
      </c>
      <c r="Z46" s="4"/>
    </row>
    <row r="47" spans="1:26" s="1" customFormat="1" ht="33.950000000000003" customHeight="1" x14ac:dyDescent="0.2">
      <c r="A47" s="20">
        <v>35</v>
      </c>
      <c r="B47" s="18" t="s">
        <v>39</v>
      </c>
      <c r="C47" s="6"/>
      <c r="D47" s="6"/>
      <c r="E47" s="6"/>
      <c r="F47" s="9">
        <v>1</v>
      </c>
      <c r="G47" s="9">
        <v>1</v>
      </c>
      <c r="H47" s="98">
        <f t="shared" si="0"/>
        <v>0</v>
      </c>
      <c r="I47" s="9">
        <v>3</v>
      </c>
      <c r="J47" s="9">
        <v>3</v>
      </c>
      <c r="K47" s="98">
        <f t="shared" si="1"/>
        <v>0</v>
      </c>
      <c r="L47" s="98">
        <v>4</v>
      </c>
      <c r="M47" s="76">
        <v>4</v>
      </c>
      <c r="N47" s="9">
        <f t="shared" si="2"/>
        <v>12</v>
      </c>
      <c r="O47" s="35">
        <v>3</v>
      </c>
      <c r="P47" s="8">
        <v>3</v>
      </c>
      <c r="Q47" s="97">
        <f t="shared" si="3"/>
        <v>0</v>
      </c>
      <c r="R47" s="8">
        <v>0</v>
      </c>
      <c r="S47" s="8">
        <v>0</v>
      </c>
      <c r="T47" s="97">
        <f t="shared" si="4"/>
        <v>0</v>
      </c>
      <c r="U47" s="8">
        <v>4</v>
      </c>
      <c r="V47" s="8">
        <v>4</v>
      </c>
      <c r="W47" s="16">
        <f t="shared" si="5"/>
        <v>0</v>
      </c>
      <c r="X47" s="11">
        <f t="shared" si="6"/>
        <v>7</v>
      </c>
      <c r="Y47" s="12">
        <f t="shared" si="7"/>
        <v>19</v>
      </c>
      <c r="Z47" s="4"/>
    </row>
    <row r="48" spans="1:26" s="1" customFormat="1" ht="33.950000000000003" customHeight="1" x14ac:dyDescent="0.2">
      <c r="A48" s="20">
        <v>36</v>
      </c>
      <c r="B48" s="18" t="s">
        <v>42</v>
      </c>
      <c r="C48" s="6"/>
      <c r="D48" s="6"/>
      <c r="E48" s="6"/>
      <c r="F48" s="9">
        <v>1</v>
      </c>
      <c r="G48" s="9">
        <v>1</v>
      </c>
      <c r="H48" s="98">
        <f t="shared" si="0"/>
        <v>0</v>
      </c>
      <c r="I48" s="9">
        <v>3</v>
      </c>
      <c r="J48" s="9">
        <v>3</v>
      </c>
      <c r="K48" s="98">
        <f t="shared" si="1"/>
        <v>0</v>
      </c>
      <c r="L48" s="98">
        <v>1</v>
      </c>
      <c r="M48" s="76">
        <v>14</v>
      </c>
      <c r="N48" s="9">
        <f t="shared" si="2"/>
        <v>19</v>
      </c>
      <c r="O48" s="35">
        <v>0</v>
      </c>
      <c r="P48" s="8">
        <v>0</v>
      </c>
      <c r="Q48" s="97">
        <f t="shared" si="3"/>
        <v>0</v>
      </c>
      <c r="R48" s="8">
        <v>0</v>
      </c>
      <c r="S48" s="8">
        <v>0</v>
      </c>
      <c r="T48" s="97">
        <f t="shared" si="4"/>
        <v>0</v>
      </c>
      <c r="U48" s="8">
        <v>2</v>
      </c>
      <c r="V48" s="8">
        <v>2</v>
      </c>
      <c r="W48" s="16">
        <f t="shared" si="5"/>
        <v>0</v>
      </c>
      <c r="X48" s="11">
        <f t="shared" si="6"/>
        <v>2</v>
      </c>
      <c r="Y48" s="12">
        <f t="shared" si="7"/>
        <v>21</v>
      </c>
      <c r="Z48" s="4"/>
    </row>
    <row r="49" spans="1:26" s="1" customFormat="1" ht="33.950000000000003" customHeight="1" x14ac:dyDescent="0.2">
      <c r="A49" s="20">
        <v>37</v>
      </c>
      <c r="B49" s="18" t="s">
        <v>40</v>
      </c>
      <c r="C49" s="6"/>
      <c r="D49" s="6"/>
      <c r="E49" s="6"/>
      <c r="F49" s="9">
        <v>1</v>
      </c>
      <c r="G49" s="9">
        <v>1</v>
      </c>
      <c r="H49" s="98">
        <f t="shared" si="0"/>
        <v>0</v>
      </c>
      <c r="I49" s="9">
        <v>3</v>
      </c>
      <c r="J49" s="9">
        <v>3</v>
      </c>
      <c r="K49" s="98">
        <f t="shared" si="1"/>
        <v>0</v>
      </c>
      <c r="L49" s="98">
        <v>2</v>
      </c>
      <c r="M49" s="76">
        <v>8</v>
      </c>
      <c r="N49" s="9">
        <f t="shared" si="2"/>
        <v>14</v>
      </c>
      <c r="O49" s="35">
        <v>0</v>
      </c>
      <c r="P49" s="8">
        <v>0</v>
      </c>
      <c r="Q49" s="97">
        <f t="shared" si="3"/>
        <v>0</v>
      </c>
      <c r="R49" s="8">
        <v>1</v>
      </c>
      <c r="S49" s="8">
        <v>1</v>
      </c>
      <c r="T49" s="97">
        <f t="shared" si="4"/>
        <v>0</v>
      </c>
      <c r="U49" s="8">
        <v>2</v>
      </c>
      <c r="V49" s="8">
        <v>2</v>
      </c>
      <c r="W49" s="16">
        <f t="shared" si="5"/>
        <v>0</v>
      </c>
      <c r="X49" s="11">
        <f t="shared" si="6"/>
        <v>3</v>
      </c>
      <c r="Y49" s="12">
        <f t="shared" si="7"/>
        <v>17</v>
      </c>
      <c r="Z49" s="4"/>
    </row>
    <row r="50" spans="1:26" s="1" customFormat="1" ht="33.950000000000003" customHeight="1" x14ac:dyDescent="0.2">
      <c r="A50" s="20">
        <v>38</v>
      </c>
      <c r="B50" s="18" t="s">
        <v>41</v>
      </c>
      <c r="C50" s="6"/>
      <c r="D50" s="6"/>
      <c r="E50" s="6"/>
      <c r="F50" s="9">
        <v>1</v>
      </c>
      <c r="G50" s="9">
        <v>1</v>
      </c>
      <c r="H50" s="98">
        <f t="shared" si="0"/>
        <v>0</v>
      </c>
      <c r="I50" s="9">
        <v>3</v>
      </c>
      <c r="J50" s="9">
        <v>2</v>
      </c>
      <c r="K50" s="98">
        <f t="shared" si="1"/>
        <v>1</v>
      </c>
      <c r="L50" s="98">
        <v>1</v>
      </c>
      <c r="M50" s="76">
        <v>6</v>
      </c>
      <c r="N50" s="9">
        <f t="shared" si="2"/>
        <v>10</v>
      </c>
      <c r="O50" s="35">
        <v>0</v>
      </c>
      <c r="P50" s="8">
        <v>0</v>
      </c>
      <c r="Q50" s="97">
        <f t="shared" si="3"/>
        <v>0</v>
      </c>
      <c r="R50" s="8">
        <v>1</v>
      </c>
      <c r="S50" s="8">
        <v>1</v>
      </c>
      <c r="T50" s="97">
        <f t="shared" si="4"/>
        <v>0</v>
      </c>
      <c r="U50" s="8">
        <v>2</v>
      </c>
      <c r="V50" s="8">
        <v>2</v>
      </c>
      <c r="W50" s="16">
        <f t="shared" si="5"/>
        <v>0</v>
      </c>
      <c r="X50" s="11">
        <f t="shared" si="6"/>
        <v>3</v>
      </c>
      <c r="Y50" s="12">
        <f t="shared" si="7"/>
        <v>13</v>
      </c>
      <c r="Z50" s="4"/>
    </row>
    <row r="51" spans="1:26" s="1" customFormat="1" ht="33.950000000000003" customHeight="1" x14ac:dyDescent="0.2">
      <c r="A51" s="20">
        <v>39</v>
      </c>
      <c r="B51" s="18" t="s">
        <v>28</v>
      </c>
      <c r="C51" s="6"/>
      <c r="D51" s="6"/>
      <c r="E51" s="6"/>
      <c r="F51" s="9">
        <v>1</v>
      </c>
      <c r="G51" s="9">
        <v>1</v>
      </c>
      <c r="H51" s="98">
        <f t="shared" si="0"/>
        <v>0</v>
      </c>
      <c r="I51" s="9">
        <v>3</v>
      </c>
      <c r="J51" s="9">
        <v>2</v>
      </c>
      <c r="K51" s="98">
        <f t="shared" si="1"/>
        <v>1</v>
      </c>
      <c r="L51" s="98">
        <v>1</v>
      </c>
      <c r="M51" s="76">
        <v>17</v>
      </c>
      <c r="N51" s="9">
        <f t="shared" si="2"/>
        <v>21</v>
      </c>
      <c r="O51" s="35">
        <v>6</v>
      </c>
      <c r="P51" s="8">
        <v>6</v>
      </c>
      <c r="Q51" s="97">
        <f t="shared" si="3"/>
        <v>0</v>
      </c>
      <c r="R51" s="8">
        <v>0</v>
      </c>
      <c r="S51" s="8">
        <v>0</v>
      </c>
      <c r="T51" s="97">
        <f t="shared" si="4"/>
        <v>0</v>
      </c>
      <c r="U51" s="8">
        <v>0</v>
      </c>
      <c r="V51" s="8">
        <v>0</v>
      </c>
      <c r="W51" s="16">
        <f t="shared" si="5"/>
        <v>0</v>
      </c>
      <c r="X51" s="11">
        <f t="shared" si="6"/>
        <v>6</v>
      </c>
      <c r="Y51" s="12">
        <f t="shared" si="7"/>
        <v>27</v>
      </c>
      <c r="Z51" s="4"/>
    </row>
    <row r="52" spans="1:26" s="1" customFormat="1" ht="33.950000000000003" customHeight="1" x14ac:dyDescent="0.2">
      <c r="A52" s="20">
        <v>40</v>
      </c>
      <c r="B52" s="18" t="s">
        <v>29</v>
      </c>
      <c r="C52" s="6"/>
      <c r="D52" s="6"/>
      <c r="E52" s="6"/>
      <c r="F52" s="9">
        <v>1</v>
      </c>
      <c r="G52" s="9">
        <v>1</v>
      </c>
      <c r="H52" s="98">
        <f t="shared" si="0"/>
        <v>0</v>
      </c>
      <c r="I52" s="9">
        <v>3</v>
      </c>
      <c r="J52" s="9">
        <v>2</v>
      </c>
      <c r="K52" s="98">
        <f t="shared" si="1"/>
        <v>1</v>
      </c>
      <c r="L52" s="98">
        <v>1</v>
      </c>
      <c r="M52" s="76">
        <v>13</v>
      </c>
      <c r="N52" s="9">
        <f t="shared" si="2"/>
        <v>17</v>
      </c>
      <c r="O52" s="35">
        <v>3</v>
      </c>
      <c r="P52" s="8">
        <v>3</v>
      </c>
      <c r="Q52" s="97">
        <f t="shared" si="3"/>
        <v>0</v>
      </c>
      <c r="R52" s="8">
        <v>1</v>
      </c>
      <c r="S52" s="8">
        <v>1</v>
      </c>
      <c r="T52" s="97">
        <f t="shared" si="4"/>
        <v>0</v>
      </c>
      <c r="U52" s="8">
        <v>1</v>
      </c>
      <c r="V52" s="8">
        <v>1</v>
      </c>
      <c r="W52" s="16">
        <f t="shared" si="5"/>
        <v>0</v>
      </c>
      <c r="X52" s="11">
        <f t="shared" si="6"/>
        <v>5</v>
      </c>
      <c r="Y52" s="12">
        <f t="shared" si="7"/>
        <v>22</v>
      </c>
      <c r="Z52" s="53"/>
    </row>
    <row r="53" spans="1:26" s="1" customFormat="1" ht="33.950000000000003" customHeight="1" x14ac:dyDescent="0.2">
      <c r="A53" s="20">
        <v>41</v>
      </c>
      <c r="B53" s="18" t="s">
        <v>30</v>
      </c>
      <c r="C53" s="6"/>
      <c r="D53" s="6"/>
      <c r="E53" s="6"/>
      <c r="F53" s="9">
        <v>1</v>
      </c>
      <c r="G53" s="9">
        <v>1</v>
      </c>
      <c r="H53" s="98">
        <f t="shared" si="0"/>
        <v>0</v>
      </c>
      <c r="I53" s="9">
        <v>3</v>
      </c>
      <c r="J53" s="9">
        <v>3</v>
      </c>
      <c r="K53" s="98">
        <f t="shared" si="1"/>
        <v>0</v>
      </c>
      <c r="L53" s="98">
        <v>1</v>
      </c>
      <c r="M53" s="76">
        <v>9</v>
      </c>
      <c r="N53" s="9">
        <f t="shared" si="2"/>
        <v>14</v>
      </c>
      <c r="O53" s="35">
        <v>3</v>
      </c>
      <c r="P53" s="8">
        <v>3</v>
      </c>
      <c r="Q53" s="97">
        <f t="shared" si="3"/>
        <v>0</v>
      </c>
      <c r="R53" s="8">
        <v>1</v>
      </c>
      <c r="S53" s="8">
        <v>1</v>
      </c>
      <c r="T53" s="97">
        <f t="shared" si="4"/>
        <v>0</v>
      </c>
      <c r="U53" s="8">
        <v>4</v>
      </c>
      <c r="V53" s="8">
        <v>4</v>
      </c>
      <c r="W53" s="16">
        <f t="shared" si="5"/>
        <v>0</v>
      </c>
      <c r="X53" s="11">
        <f t="shared" si="6"/>
        <v>8</v>
      </c>
      <c r="Y53" s="12">
        <f t="shared" si="7"/>
        <v>22</v>
      </c>
      <c r="Z53" s="4"/>
    </row>
    <row r="54" spans="1:26" s="1" customFormat="1" ht="33.950000000000003" customHeight="1" thickBot="1" x14ac:dyDescent="0.25">
      <c r="A54" s="21">
        <v>42</v>
      </c>
      <c r="B54" s="88" t="s">
        <v>31</v>
      </c>
      <c r="C54" s="89"/>
      <c r="D54" s="89"/>
      <c r="E54" s="89"/>
      <c r="F54" s="90">
        <v>1</v>
      </c>
      <c r="G54" s="9">
        <v>1</v>
      </c>
      <c r="H54" s="99">
        <f t="shared" si="0"/>
        <v>0</v>
      </c>
      <c r="I54" s="90">
        <v>3</v>
      </c>
      <c r="J54" s="90">
        <v>2</v>
      </c>
      <c r="K54" s="99">
        <f t="shared" si="1"/>
        <v>1</v>
      </c>
      <c r="L54" s="99">
        <v>4</v>
      </c>
      <c r="M54" s="91">
        <v>5</v>
      </c>
      <c r="N54" s="9">
        <f t="shared" si="2"/>
        <v>12</v>
      </c>
      <c r="O54" s="36">
        <v>1</v>
      </c>
      <c r="P54" s="15">
        <v>1</v>
      </c>
      <c r="Q54" s="39">
        <f t="shared" si="3"/>
        <v>0</v>
      </c>
      <c r="R54" s="15">
        <v>1</v>
      </c>
      <c r="S54" s="15">
        <v>1</v>
      </c>
      <c r="T54" s="39">
        <f t="shared" si="4"/>
        <v>0</v>
      </c>
      <c r="U54" s="15">
        <v>2</v>
      </c>
      <c r="V54" s="15">
        <v>2</v>
      </c>
      <c r="W54" s="22">
        <f t="shared" si="5"/>
        <v>0</v>
      </c>
      <c r="X54" s="23">
        <f t="shared" si="6"/>
        <v>4</v>
      </c>
      <c r="Y54" s="24">
        <f t="shared" si="7"/>
        <v>16</v>
      </c>
      <c r="Z54" s="4"/>
    </row>
    <row r="55" spans="1:26" ht="24" customHeight="1" thickTop="1" thickBot="1" x14ac:dyDescent="0.25">
      <c r="A55" s="25"/>
      <c r="B55" s="26" t="s">
        <v>2</v>
      </c>
      <c r="C55" s="26">
        <v>1</v>
      </c>
      <c r="D55" s="26">
        <v>0</v>
      </c>
      <c r="E55" s="26">
        <f>C55-D55</f>
        <v>1</v>
      </c>
      <c r="F55" s="26">
        <f t="shared" ref="F55:Y55" si="8">SUM(F13:F54)</f>
        <v>42</v>
      </c>
      <c r="G55" s="26">
        <f t="shared" si="8"/>
        <v>40</v>
      </c>
      <c r="H55" s="26">
        <f t="shared" si="8"/>
        <v>2</v>
      </c>
      <c r="I55" s="26">
        <f t="shared" si="8"/>
        <v>120</v>
      </c>
      <c r="J55" s="26">
        <f t="shared" si="8"/>
        <v>102</v>
      </c>
      <c r="K55" s="26">
        <f t="shared" si="8"/>
        <v>18</v>
      </c>
      <c r="L55" s="26">
        <f>SUM(L13:L54)</f>
        <v>71</v>
      </c>
      <c r="M55" s="28">
        <f t="shared" si="8"/>
        <v>416</v>
      </c>
      <c r="N55" s="38">
        <f t="shared" si="8"/>
        <v>629</v>
      </c>
      <c r="O55" s="37">
        <f t="shared" si="8"/>
        <v>180</v>
      </c>
      <c r="P55" s="26">
        <f t="shared" si="8"/>
        <v>180</v>
      </c>
      <c r="Q55" s="26">
        <f t="shared" si="8"/>
        <v>0</v>
      </c>
      <c r="R55" s="26">
        <f t="shared" si="8"/>
        <v>34</v>
      </c>
      <c r="S55" s="26">
        <f t="shared" si="8"/>
        <v>33</v>
      </c>
      <c r="T55" s="26">
        <f t="shared" si="8"/>
        <v>1</v>
      </c>
      <c r="U55" s="26">
        <f t="shared" si="8"/>
        <v>111</v>
      </c>
      <c r="V55" s="26">
        <f t="shared" si="8"/>
        <v>109</v>
      </c>
      <c r="W55" s="92">
        <f t="shared" si="8"/>
        <v>2</v>
      </c>
      <c r="X55" s="26">
        <f t="shared" si="8"/>
        <v>322</v>
      </c>
      <c r="Y55" s="30">
        <f t="shared" si="8"/>
        <v>951</v>
      </c>
      <c r="Z55" s="4"/>
    </row>
    <row r="56" spans="1:26" ht="13.5" thickTop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93"/>
      <c r="N56" s="1"/>
      <c r="O56" s="1"/>
      <c r="P56" s="1"/>
      <c r="Q56" s="1"/>
      <c r="R56" s="1"/>
      <c r="S56" s="1"/>
      <c r="T56" s="1"/>
      <c r="U56" s="1"/>
      <c r="V56" s="1"/>
      <c r="W56" s="1"/>
      <c r="X56" s="101"/>
      <c r="Y56" s="101"/>
    </row>
    <row r="58" spans="1:26" x14ac:dyDescent="0.2">
      <c r="B58" s="17" t="s">
        <v>61</v>
      </c>
      <c r="C58" s="31">
        <f>E55+H55+K55</f>
        <v>21</v>
      </c>
    </row>
    <row r="59" spans="1:26" x14ac:dyDescent="0.2">
      <c r="B59">
        <v>1</v>
      </c>
      <c r="C59" s="63" t="s">
        <v>63</v>
      </c>
    </row>
    <row r="60" spans="1:26" x14ac:dyDescent="0.2">
      <c r="B60">
        <v>2</v>
      </c>
      <c r="C60" s="63" t="s">
        <v>88</v>
      </c>
    </row>
    <row r="61" spans="1:26" x14ac:dyDescent="0.2">
      <c r="B61">
        <v>3</v>
      </c>
      <c r="C61" s="63" t="s">
        <v>91</v>
      </c>
    </row>
    <row r="62" spans="1:26" x14ac:dyDescent="0.2">
      <c r="B62">
        <v>4</v>
      </c>
      <c r="C62" s="63" t="s">
        <v>71</v>
      </c>
    </row>
    <row r="63" spans="1:26" x14ac:dyDescent="0.2">
      <c r="B63">
        <v>5</v>
      </c>
      <c r="C63" s="63" t="s">
        <v>72</v>
      </c>
    </row>
    <row r="64" spans="1:26" x14ac:dyDescent="0.2">
      <c r="B64">
        <v>6</v>
      </c>
      <c r="C64" s="63" t="s">
        <v>73</v>
      </c>
    </row>
    <row r="65" spans="2:3" x14ac:dyDescent="0.2">
      <c r="B65">
        <v>7</v>
      </c>
      <c r="C65" s="63" t="s">
        <v>74</v>
      </c>
    </row>
    <row r="66" spans="2:3" x14ac:dyDescent="0.2">
      <c r="B66">
        <v>8</v>
      </c>
      <c r="C66" s="63" t="s">
        <v>64</v>
      </c>
    </row>
    <row r="67" spans="2:3" x14ac:dyDescent="0.2">
      <c r="B67">
        <v>9</v>
      </c>
      <c r="C67" s="63" t="s">
        <v>75</v>
      </c>
    </row>
    <row r="68" spans="2:3" x14ac:dyDescent="0.2">
      <c r="B68">
        <v>10</v>
      </c>
      <c r="C68" s="63" t="s">
        <v>76</v>
      </c>
    </row>
    <row r="69" spans="2:3" x14ac:dyDescent="0.2">
      <c r="B69">
        <v>11</v>
      </c>
      <c r="C69" s="63" t="s">
        <v>92</v>
      </c>
    </row>
    <row r="70" spans="2:3" x14ac:dyDescent="0.2">
      <c r="B70">
        <v>12</v>
      </c>
      <c r="C70" s="63" t="s">
        <v>77</v>
      </c>
    </row>
    <row r="71" spans="2:3" x14ac:dyDescent="0.2">
      <c r="B71">
        <v>13</v>
      </c>
      <c r="C71" s="63" t="s">
        <v>78</v>
      </c>
    </row>
    <row r="72" spans="2:3" x14ac:dyDescent="0.2">
      <c r="B72">
        <v>14</v>
      </c>
      <c r="C72" s="63" t="s">
        <v>79</v>
      </c>
    </row>
    <row r="73" spans="2:3" x14ac:dyDescent="0.2">
      <c r="B73">
        <v>15</v>
      </c>
      <c r="C73" s="63" t="s">
        <v>80</v>
      </c>
    </row>
    <row r="74" spans="2:3" x14ac:dyDescent="0.2">
      <c r="B74">
        <v>16</v>
      </c>
      <c r="C74" s="63" t="s">
        <v>81</v>
      </c>
    </row>
    <row r="75" spans="2:3" x14ac:dyDescent="0.2">
      <c r="B75">
        <v>17</v>
      </c>
      <c r="C75" s="63" t="s">
        <v>82</v>
      </c>
    </row>
    <row r="76" spans="2:3" x14ac:dyDescent="0.2">
      <c r="B76">
        <v>18</v>
      </c>
      <c r="C76" s="63" t="s">
        <v>83</v>
      </c>
    </row>
    <row r="77" spans="2:3" x14ac:dyDescent="0.2">
      <c r="B77">
        <v>19</v>
      </c>
      <c r="C77" s="63" t="s">
        <v>84</v>
      </c>
    </row>
    <row r="78" spans="2:3" x14ac:dyDescent="0.2">
      <c r="B78">
        <v>20</v>
      </c>
      <c r="C78" s="63" t="s">
        <v>93</v>
      </c>
    </row>
    <row r="79" spans="2:3" x14ac:dyDescent="0.2">
      <c r="B79">
        <v>21</v>
      </c>
      <c r="C79" s="1" t="s">
        <v>94</v>
      </c>
    </row>
    <row r="80" spans="2:3" x14ac:dyDescent="0.2">
      <c r="C80" s="1"/>
    </row>
    <row r="82" spans="2:11" x14ac:dyDescent="0.2">
      <c r="B82" t="s">
        <v>65</v>
      </c>
      <c r="C82">
        <f>C55+F55+I55</f>
        <v>163</v>
      </c>
      <c r="J82" t="s">
        <v>66</v>
      </c>
      <c r="K82">
        <f>L55+M55</f>
        <v>487</v>
      </c>
    </row>
    <row r="83" spans="2:11" x14ac:dyDescent="0.2">
      <c r="C83">
        <f>D55+G55+J55</f>
        <v>142</v>
      </c>
    </row>
    <row r="84" spans="2:11" x14ac:dyDescent="0.2">
      <c r="C84">
        <f>C82-C83</f>
        <v>21</v>
      </c>
    </row>
  </sheetData>
  <mergeCells count="23">
    <mergeCell ref="B7:X7"/>
    <mergeCell ref="A9:A12"/>
    <mergeCell ref="B9:B12"/>
    <mergeCell ref="C9:N9"/>
    <mergeCell ref="O9:X9"/>
    <mergeCell ref="R10:W10"/>
    <mergeCell ref="X10:X12"/>
    <mergeCell ref="C11:E11"/>
    <mergeCell ref="F11:H11"/>
    <mergeCell ref="I11:K11"/>
    <mergeCell ref="R11:T11"/>
    <mergeCell ref="U11:W11"/>
    <mergeCell ref="Y9:Y12"/>
    <mergeCell ref="C10:K10"/>
    <mergeCell ref="L10:M11"/>
    <mergeCell ref="N10:N12"/>
    <mergeCell ref="O10:Q11"/>
    <mergeCell ref="B6:X6"/>
    <mergeCell ref="A1:Y1"/>
    <mergeCell ref="A2:Y2"/>
    <mergeCell ref="A3:Y3"/>
    <mergeCell ref="A4:X4"/>
    <mergeCell ref="A5:X5"/>
  </mergeCells>
  <printOptions verticalCentered="1"/>
  <pageMargins left="0" right="0.31496062992125984" top="0.74803149606299213" bottom="0.74803149606299213" header="0.31496062992125984" footer="0.31496062992125984"/>
  <pageSetup paperSize="5" scale="65" fitToHeight="0" orientation="landscape" horizontalDpi="300" verticalDpi="300" r:id="rId1"/>
  <headerFooter alignWithMargins="0"/>
  <colBreaks count="1" manualBreakCount="1">
    <brk id="25" max="25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2"/>
  <sheetViews>
    <sheetView zoomScale="90" zoomScaleNormal="90" zoomScaleSheetLayoutView="90" workbookViewId="0">
      <pane ySplit="12" topLeftCell="A55" activePane="bottomLeft" state="frozen"/>
      <selection pane="bottomLeft" activeCell="R62" sqref="R62"/>
    </sheetView>
  </sheetViews>
  <sheetFormatPr defaultRowHeight="12.75" x14ac:dyDescent="0.2"/>
  <cols>
    <col min="1" max="1" width="5.42578125" customWidth="1"/>
    <col min="2" max="2" width="26.42578125" customWidth="1"/>
    <col min="3" max="3" width="9.140625" customWidth="1"/>
    <col min="4" max="4" width="8.28515625" customWidth="1"/>
    <col min="5" max="5" width="9.140625" customWidth="1"/>
    <col min="6" max="6" width="9.7109375" customWidth="1"/>
    <col min="7" max="7" width="8.140625" customWidth="1"/>
    <col min="8" max="8" width="9.28515625" customWidth="1"/>
    <col min="9" max="9" width="9.5703125" customWidth="1"/>
    <col min="10" max="10" width="8.28515625" customWidth="1"/>
    <col min="11" max="11" width="10.28515625" customWidth="1"/>
    <col min="12" max="12" width="6.85546875" customWidth="1"/>
    <col min="13" max="13" width="6.5703125" style="13" customWidth="1"/>
    <col min="14" max="14" width="9.5703125" customWidth="1"/>
    <col min="15" max="15" width="10.28515625" customWidth="1"/>
    <col min="16" max="16" width="9" customWidth="1"/>
    <col min="17" max="17" width="9.42578125" customWidth="1"/>
    <col min="18" max="18" width="9.7109375" customWidth="1"/>
    <col min="19" max="19" width="8.5703125" customWidth="1"/>
    <col min="20" max="20" width="9.28515625" customWidth="1"/>
    <col min="21" max="21" width="9.85546875" customWidth="1"/>
    <col min="22" max="22" width="8.5703125" customWidth="1"/>
    <col min="23" max="23" width="9.5703125" customWidth="1"/>
    <col min="24" max="24" width="8.7109375" style="87" customWidth="1"/>
    <col min="25" max="25" width="15.42578125" style="87" customWidth="1"/>
    <col min="26" max="26" width="21.140625" style="3" customWidth="1"/>
    <col min="27" max="27" width="1.7109375" customWidth="1"/>
  </cols>
  <sheetData>
    <row r="1" spans="1:29" ht="15.75" customHeight="1" x14ac:dyDescent="0.2">
      <c r="A1" s="133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81"/>
    </row>
    <row r="2" spans="1:29" ht="15.75" customHeight="1" x14ac:dyDescent="0.2">
      <c r="A2" s="134" t="s">
        <v>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81"/>
    </row>
    <row r="3" spans="1:29" ht="15.75" customHeight="1" x14ac:dyDescent="0.2">
      <c r="A3" s="133" t="s">
        <v>89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81"/>
    </row>
    <row r="4" spans="1:29" ht="15.7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81"/>
      <c r="Z4" s="81"/>
    </row>
    <row r="5" spans="1:29" ht="10.5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81"/>
      <c r="Z5"/>
    </row>
    <row r="6" spans="1:29" hidden="1" x14ac:dyDescent="0.2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2"/>
      <c r="Z6"/>
    </row>
    <row r="7" spans="1:29" hidden="1" x14ac:dyDescent="0.2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"/>
      <c r="Z7"/>
    </row>
    <row r="8" spans="1:29" hidden="1" x14ac:dyDescent="0.2">
      <c r="Y8" s="3"/>
      <c r="Z8"/>
    </row>
    <row r="9" spans="1:29" s="1" customFormat="1" ht="39.950000000000003" customHeight="1" x14ac:dyDescent="0.2">
      <c r="A9" s="119" t="s">
        <v>43</v>
      </c>
      <c r="B9" s="122" t="s">
        <v>45</v>
      </c>
      <c r="C9" s="114" t="s">
        <v>54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  <c r="O9" s="125" t="s">
        <v>57</v>
      </c>
      <c r="P9" s="125"/>
      <c r="Q9" s="125"/>
      <c r="R9" s="125"/>
      <c r="S9" s="125"/>
      <c r="T9" s="125"/>
      <c r="U9" s="125"/>
      <c r="V9" s="125"/>
      <c r="W9" s="125"/>
      <c r="X9" s="126"/>
      <c r="Y9" s="111" t="s">
        <v>56</v>
      </c>
      <c r="Z9" s="4"/>
    </row>
    <row r="10" spans="1:29" s="1" customFormat="1" ht="39.950000000000003" customHeight="1" x14ac:dyDescent="0.2">
      <c r="A10" s="120"/>
      <c r="B10" s="123"/>
      <c r="C10" s="114" t="s">
        <v>46</v>
      </c>
      <c r="D10" s="115"/>
      <c r="E10" s="115"/>
      <c r="F10" s="115"/>
      <c r="G10" s="115"/>
      <c r="H10" s="115"/>
      <c r="I10" s="115"/>
      <c r="J10" s="115"/>
      <c r="K10" s="115"/>
      <c r="L10" s="127" t="s">
        <v>50</v>
      </c>
      <c r="M10" s="128"/>
      <c r="N10" s="122" t="s">
        <v>2</v>
      </c>
      <c r="O10" s="131" t="s">
        <v>69</v>
      </c>
      <c r="P10" s="131"/>
      <c r="Q10" s="131"/>
      <c r="R10" s="110" t="s">
        <v>55</v>
      </c>
      <c r="S10" s="110"/>
      <c r="T10" s="110"/>
      <c r="U10" s="110"/>
      <c r="V10" s="110"/>
      <c r="W10" s="110"/>
      <c r="X10" s="111" t="s">
        <v>2</v>
      </c>
      <c r="Y10" s="112"/>
      <c r="Z10" s="4"/>
    </row>
    <row r="11" spans="1:29" s="1" customFormat="1" ht="39.950000000000003" customHeight="1" x14ac:dyDescent="0.2">
      <c r="A11" s="120"/>
      <c r="B11" s="123"/>
      <c r="C11" s="114" t="s">
        <v>47</v>
      </c>
      <c r="D11" s="115"/>
      <c r="E11" s="116"/>
      <c r="F11" s="114" t="s">
        <v>48</v>
      </c>
      <c r="G11" s="115"/>
      <c r="H11" s="116"/>
      <c r="I11" s="114" t="s">
        <v>49</v>
      </c>
      <c r="J11" s="115"/>
      <c r="K11" s="115"/>
      <c r="L11" s="129"/>
      <c r="M11" s="130"/>
      <c r="N11" s="123"/>
      <c r="O11" s="132"/>
      <c r="P11" s="132"/>
      <c r="Q11" s="132"/>
      <c r="R11" s="110" t="s">
        <v>58</v>
      </c>
      <c r="S11" s="110"/>
      <c r="T11" s="110"/>
      <c r="U11" s="117" t="s">
        <v>70</v>
      </c>
      <c r="V11" s="117"/>
      <c r="W11" s="117"/>
      <c r="X11" s="112"/>
      <c r="Y11" s="112"/>
      <c r="Z11" s="4"/>
    </row>
    <row r="12" spans="1:29" s="1" customFormat="1" ht="39.950000000000003" customHeight="1" x14ac:dyDescent="0.2">
      <c r="A12" s="121"/>
      <c r="B12" s="124"/>
      <c r="C12" s="85" t="s">
        <v>51</v>
      </c>
      <c r="D12" s="5" t="s">
        <v>52</v>
      </c>
      <c r="E12" s="5" t="s">
        <v>53</v>
      </c>
      <c r="F12" s="82" t="s">
        <v>51</v>
      </c>
      <c r="G12" s="5" t="s">
        <v>52</v>
      </c>
      <c r="H12" s="5" t="s">
        <v>53</v>
      </c>
      <c r="I12" s="82" t="s">
        <v>51</v>
      </c>
      <c r="J12" s="5" t="s">
        <v>52</v>
      </c>
      <c r="K12" s="5" t="s">
        <v>53</v>
      </c>
      <c r="L12" s="84" t="s">
        <v>62</v>
      </c>
      <c r="M12" s="14" t="s">
        <v>54</v>
      </c>
      <c r="N12" s="124"/>
      <c r="O12" s="62" t="s">
        <v>86</v>
      </c>
      <c r="P12" s="84" t="s">
        <v>52</v>
      </c>
      <c r="Q12" s="5" t="s">
        <v>53</v>
      </c>
      <c r="R12" s="84" t="s">
        <v>86</v>
      </c>
      <c r="S12" s="84" t="s">
        <v>52</v>
      </c>
      <c r="T12" s="5" t="s">
        <v>53</v>
      </c>
      <c r="U12" s="84" t="s">
        <v>86</v>
      </c>
      <c r="V12" s="84" t="s">
        <v>52</v>
      </c>
      <c r="W12" s="5" t="s">
        <v>53</v>
      </c>
      <c r="X12" s="113"/>
      <c r="Y12" s="113"/>
      <c r="Z12" s="4"/>
    </row>
    <row r="13" spans="1:29" s="1" customFormat="1" ht="33.950000000000003" customHeight="1" x14ac:dyDescent="0.2">
      <c r="A13" s="20">
        <v>1</v>
      </c>
      <c r="B13" s="18" t="s">
        <v>44</v>
      </c>
      <c r="C13" s="9">
        <v>1</v>
      </c>
      <c r="D13" s="9">
        <v>0</v>
      </c>
      <c r="E13" s="85">
        <v>1</v>
      </c>
      <c r="F13" s="9">
        <v>1</v>
      </c>
      <c r="G13" s="9">
        <v>1</v>
      </c>
      <c r="H13" s="85">
        <f>F13-G13</f>
        <v>0</v>
      </c>
      <c r="I13" s="9">
        <v>3</v>
      </c>
      <c r="J13" s="9">
        <v>3</v>
      </c>
      <c r="K13" s="85">
        <f>I13-J13</f>
        <v>0</v>
      </c>
      <c r="L13" s="85">
        <v>4</v>
      </c>
      <c r="M13" s="76">
        <v>29</v>
      </c>
      <c r="N13" s="9">
        <f>D13+G13+J13+L13+M13</f>
        <v>37</v>
      </c>
      <c r="O13" s="35">
        <v>28</v>
      </c>
      <c r="P13" s="8">
        <v>28</v>
      </c>
      <c r="Q13" s="82">
        <v>0</v>
      </c>
      <c r="R13" s="8">
        <v>0</v>
      </c>
      <c r="S13" s="8">
        <v>0</v>
      </c>
      <c r="T13" s="82">
        <v>0</v>
      </c>
      <c r="U13" s="8">
        <v>0</v>
      </c>
      <c r="V13" s="8">
        <v>0</v>
      </c>
      <c r="W13" s="16">
        <f>U13-V13</f>
        <v>0</v>
      </c>
      <c r="X13" s="11">
        <f>P13+S13+V13</f>
        <v>28</v>
      </c>
      <c r="Y13" s="12">
        <f>N13+X13</f>
        <v>65</v>
      </c>
      <c r="Z13" s="4"/>
      <c r="AC13" s="40">
        <f>Y13+Y14+Y15+Y16+Y17</f>
        <v>147</v>
      </c>
    </row>
    <row r="14" spans="1:29" s="1" customFormat="1" ht="33.950000000000003" customHeight="1" x14ac:dyDescent="0.2">
      <c r="A14" s="20">
        <v>2</v>
      </c>
      <c r="B14" s="18" t="s">
        <v>4</v>
      </c>
      <c r="C14" s="6"/>
      <c r="D14" s="6"/>
      <c r="E14" s="6"/>
      <c r="F14" s="9">
        <v>1</v>
      </c>
      <c r="G14" s="9">
        <v>1</v>
      </c>
      <c r="H14" s="85">
        <f t="shared" ref="H14:H54" si="0">F14-G14</f>
        <v>0</v>
      </c>
      <c r="I14" s="9">
        <v>3</v>
      </c>
      <c r="J14" s="9">
        <v>3</v>
      </c>
      <c r="K14" s="85">
        <f t="shared" ref="K14:K54" si="1">I14-J14</f>
        <v>0</v>
      </c>
      <c r="L14" s="85">
        <v>0</v>
      </c>
      <c r="M14" s="76">
        <v>10</v>
      </c>
      <c r="N14" s="9">
        <f t="shared" ref="N14:N54" si="2">D14+G14+J14+L14+M14</f>
        <v>14</v>
      </c>
      <c r="O14" s="35">
        <v>3</v>
      </c>
      <c r="P14" s="8">
        <v>3</v>
      </c>
      <c r="Q14" s="82">
        <f t="shared" ref="Q14:Q54" si="3">O14-P14</f>
        <v>0</v>
      </c>
      <c r="R14" s="8">
        <v>8</v>
      </c>
      <c r="S14" s="8">
        <v>8</v>
      </c>
      <c r="T14" s="82">
        <f t="shared" ref="T14:T54" si="4">R14-S14</f>
        <v>0</v>
      </c>
      <c r="U14" s="8">
        <v>0</v>
      </c>
      <c r="V14" s="8">
        <v>0</v>
      </c>
      <c r="W14" s="16">
        <f t="shared" ref="W14:W54" si="5">U14-V14</f>
        <v>0</v>
      </c>
      <c r="X14" s="11">
        <f t="shared" ref="X14:X54" si="6">P14+S14+V14</f>
        <v>11</v>
      </c>
      <c r="Y14" s="12">
        <f t="shared" ref="Y14:Y54" si="7">N14+X14</f>
        <v>25</v>
      </c>
      <c r="Z14" s="4"/>
    </row>
    <row r="15" spans="1:29" s="1" customFormat="1" ht="33.950000000000003" customHeight="1" x14ac:dyDescent="0.2">
      <c r="A15" s="20">
        <v>3</v>
      </c>
      <c r="B15" s="18" t="s">
        <v>0</v>
      </c>
      <c r="C15" s="6"/>
      <c r="D15" s="6"/>
      <c r="E15" s="6"/>
      <c r="F15" s="9">
        <v>1</v>
      </c>
      <c r="G15" s="9">
        <v>1</v>
      </c>
      <c r="H15" s="85">
        <f t="shared" si="0"/>
        <v>0</v>
      </c>
      <c r="I15" s="9">
        <v>0</v>
      </c>
      <c r="J15" s="9">
        <v>0</v>
      </c>
      <c r="K15" s="85">
        <f t="shared" si="1"/>
        <v>0</v>
      </c>
      <c r="L15" s="85">
        <v>3</v>
      </c>
      <c r="M15" s="76">
        <v>8</v>
      </c>
      <c r="N15" s="9">
        <f t="shared" si="2"/>
        <v>12</v>
      </c>
      <c r="O15" s="35">
        <v>11</v>
      </c>
      <c r="P15" s="8">
        <v>11</v>
      </c>
      <c r="Q15" s="82">
        <f t="shared" si="3"/>
        <v>0</v>
      </c>
      <c r="R15" s="8">
        <v>1</v>
      </c>
      <c r="S15" s="8">
        <v>1</v>
      </c>
      <c r="T15" s="82">
        <f t="shared" si="4"/>
        <v>0</v>
      </c>
      <c r="U15" s="8">
        <v>0</v>
      </c>
      <c r="V15" s="8">
        <v>0</v>
      </c>
      <c r="W15" s="16">
        <f t="shared" si="5"/>
        <v>0</v>
      </c>
      <c r="X15" s="11">
        <f t="shared" si="6"/>
        <v>12</v>
      </c>
      <c r="Y15" s="12">
        <f t="shared" si="7"/>
        <v>24</v>
      </c>
      <c r="Z15" s="4"/>
    </row>
    <row r="16" spans="1:29" s="1" customFormat="1" ht="33.950000000000003" customHeight="1" x14ac:dyDescent="0.2">
      <c r="A16" s="20">
        <v>4</v>
      </c>
      <c r="B16" s="18" t="s">
        <v>32</v>
      </c>
      <c r="C16" s="6"/>
      <c r="D16" s="6"/>
      <c r="E16" s="6"/>
      <c r="F16" s="9">
        <v>1</v>
      </c>
      <c r="G16" s="9">
        <v>1</v>
      </c>
      <c r="H16" s="85">
        <f t="shared" si="0"/>
        <v>0</v>
      </c>
      <c r="I16" s="9">
        <v>0</v>
      </c>
      <c r="J16" s="9">
        <v>0</v>
      </c>
      <c r="K16" s="85">
        <f t="shared" si="1"/>
        <v>0</v>
      </c>
      <c r="L16" s="85">
        <v>0</v>
      </c>
      <c r="M16" s="76">
        <v>11</v>
      </c>
      <c r="N16" s="9">
        <f t="shared" si="2"/>
        <v>12</v>
      </c>
      <c r="O16" s="35">
        <v>6</v>
      </c>
      <c r="P16" s="8">
        <v>6</v>
      </c>
      <c r="Q16" s="82">
        <f t="shared" si="3"/>
        <v>0</v>
      </c>
      <c r="R16" s="8">
        <v>0</v>
      </c>
      <c r="S16" s="8">
        <v>0</v>
      </c>
      <c r="T16" s="82">
        <f t="shared" si="4"/>
        <v>0</v>
      </c>
      <c r="U16" s="8">
        <v>0</v>
      </c>
      <c r="V16" s="8">
        <v>0</v>
      </c>
      <c r="W16" s="16">
        <f t="shared" si="5"/>
        <v>0</v>
      </c>
      <c r="X16" s="11">
        <f t="shared" si="6"/>
        <v>6</v>
      </c>
      <c r="Y16" s="12">
        <f t="shared" si="7"/>
        <v>18</v>
      </c>
      <c r="Z16" s="4"/>
    </row>
    <row r="17" spans="1:29" s="1" customFormat="1" ht="33.950000000000003" customHeight="1" x14ac:dyDescent="0.2">
      <c r="A17" s="20">
        <v>5</v>
      </c>
      <c r="B17" s="18" t="s">
        <v>3</v>
      </c>
      <c r="C17" s="6"/>
      <c r="D17" s="6"/>
      <c r="E17" s="6"/>
      <c r="F17" s="9">
        <v>1</v>
      </c>
      <c r="G17" s="9">
        <v>1</v>
      </c>
      <c r="H17" s="85">
        <f t="shared" si="0"/>
        <v>0</v>
      </c>
      <c r="I17" s="9">
        <v>3</v>
      </c>
      <c r="J17" s="9">
        <v>2</v>
      </c>
      <c r="K17" s="85">
        <f t="shared" si="1"/>
        <v>1</v>
      </c>
      <c r="L17" s="85">
        <v>0</v>
      </c>
      <c r="M17" s="76">
        <v>11</v>
      </c>
      <c r="N17" s="9">
        <f t="shared" si="2"/>
        <v>14</v>
      </c>
      <c r="O17" s="35">
        <v>1</v>
      </c>
      <c r="P17" s="8">
        <v>1</v>
      </c>
      <c r="Q17" s="82">
        <f t="shared" si="3"/>
        <v>0</v>
      </c>
      <c r="R17" s="8">
        <v>0</v>
      </c>
      <c r="S17" s="8">
        <v>0</v>
      </c>
      <c r="T17" s="82">
        <f t="shared" si="4"/>
        <v>0</v>
      </c>
      <c r="U17" s="8">
        <v>0</v>
      </c>
      <c r="V17" s="8">
        <v>0</v>
      </c>
      <c r="W17" s="16">
        <f t="shared" si="5"/>
        <v>0</v>
      </c>
      <c r="X17" s="11">
        <f t="shared" si="6"/>
        <v>1</v>
      </c>
      <c r="Y17" s="12">
        <f t="shared" si="7"/>
        <v>15</v>
      </c>
      <c r="Z17" s="4"/>
    </row>
    <row r="18" spans="1:29" s="1" customFormat="1" ht="33.950000000000003" customHeight="1" x14ac:dyDescent="0.2">
      <c r="A18" s="20">
        <v>6</v>
      </c>
      <c r="B18" s="18" t="s">
        <v>6</v>
      </c>
      <c r="C18" s="6"/>
      <c r="D18" s="6"/>
      <c r="E18" s="6"/>
      <c r="F18" s="9">
        <v>1</v>
      </c>
      <c r="G18" s="9">
        <v>1</v>
      </c>
      <c r="H18" s="95">
        <f t="shared" si="0"/>
        <v>0</v>
      </c>
      <c r="I18" s="9">
        <v>3</v>
      </c>
      <c r="J18" s="9">
        <v>3</v>
      </c>
      <c r="K18" s="95">
        <f t="shared" si="1"/>
        <v>0</v>
      </c>
      <c r="L18" s="95">
        <v>1</v>
      </c>
      <c r="M18" s="76">
        <v>14</v>
      </c>
      <c r="N18" s="9">
        <f t="shared" si="2"/>
        <v>19</v>
      </c>
      <c r="O18" s="35">
        <v>14</v>
      </c>
      <c r="P18" s="8">
        <v>14</v>
      </c>
      <c r="Q18" s="94">
        <f t="shared" si="3"/>
        <v>0</v>
      </c>
      <c r="R18" s="8">
        <v>2</v>
      </c>
      <c r="S18" s="8">
        <v>2</v>
      </c>
      <c r="T18" s="94">
        <f t="shared" si="4"/>
        <v>0</v>
      </c>
      <c r="U18" s="8">
        <v>2</v>
      </c>
      <c r="V18" s="8">
        <v>2</v>
      </c>
      <c r="W18" s="16">
        <f t="shared" si="5"/>
        <v>0</v>
      </c>
      <c r="X18" s="11">
        <f t="shared" si="6"/>
        <v>18</v>
      </c>
      <c r="Y18" s="12">
        <f t="shared" si="7"/>
        <v>37</v>
      </c>
      <c r="Z18" s="4"/>
    </row>
    <row r="19" spans="1:29" s="54" customFormat="1" ht="33.950000000000003" customHeight="1" x14ac:dyDescent="0.2">
      <c r="A19" s="20">
        <v>7</v>
      </c>
      <c r="B19" s="18" t="s">
        <v>7</v>
      </c>
      <c r="C19" s="6"/>
      <c r="D19" s="6"/>
      <c r="E19" s="6"/>
      <c r="F19" s="9">
        <v>1</v>
      </c>
      <c r="G19" s="9">
        <v>1</v>
      </c>
      <c r="H19" s="95">
        <f t="shared" si="0"/>
        <v>0</v>
      </c>
      <c r="I19" s="9">
        <v>3</v>
      </c>
      <c r="J19" s="9">
        <v>2</v>
      </c>
      <c r="K19" s="95">
        <f t="shared" si="1"/>
        <v>1</v>
      </c>
      <c r="L19" s="95">
        <v>0</v>
      </c>
      <c r="M19" s="76">
        <v>14</v>
      </c>
      <c r="N19" s="9">
        <f t="shared" si="2"/>
        <v>17</v>
      </c>
      <c r="O19" s="35">
        <v>14</v>
      </c>
      <c r="P19" s="8">
        <v>14</v>
      </c>
      <c r="Q19" s="94">
        <f t="shared" si="3"/>
        <v>0</v>
      </c>
      <c r="R19" s="8">
        <v>0</v>
      </c>
      <c r="S19" s="8">
        <v>0</v>
      </c>
      <c r="T19" s="94">
        <f t="shared" si="4"/>
        <v>0</v>
      </c>
      <c r="U19" s="8">
        <v>2</v>
      </c>
      <c r="V19" s="8">
        <v>2</v>
      </c>
      <c r="W19" s="16">
        <f t="shared" si="5"/>
        <v>0</v>
      </c>
      <c r="X19" s="11">
        <f t="shared" si="6"/>
        <v>16</v>
      </c>
      <c r="Y19" s="12">
        <f t="shared" si="7"/>
        <v>33</v>
      </c>
      <c r="Z19" s="53"/>
    </row>
    <row r="20" spans="1:29" s="1" customFormat="1" ht="33.950000000000003" customHeight="1" x14ac:dyDescent="0.2">
      <c r="A20" s="20">
        <v>8</v>
      </c>
      <c r="B20" s="18" t="s">
        <v>8</v>
      </c>
      <c r="C20" s="6"/>
      <c r="D20" s="6"/>
      <c r="E20" s="6"/>
      <c r="F20" s="9">
        <v>1</v>
      </c>
      <c r="G20" s="9">
        <v>1</v>
      </c>
      <c r="H20" s="95">
        <f t="shared" si="0"/>
        <v>0</v>
      </c>
      <c r="I20" s="9">
        <v>3</v>
      </c>
      <c r="J20" s="9">
        <v>3</v>
      </c>
      <c r="K20" s="95">
        <f t="shared" si="1"/>
        <v>0</v>
      </c>
      <c r="L20" s="95">
        <v>1</v>
      </c>
      <c r="M20" s="76">
        <v>14</v>
      </c>
      <c r="N20" s="9">
        <f t="shared" si="2"/>
        <v>19</v>
      </c>
      <c r="O20" s="35">
        <v>13</v>
      </c>
      <c r="P20" s="8">
        <v>13</v>
      </c>
      <c r="Q20" s="94">
        <f t="shared" si="3"/>
        <v>0</v>
      </c>
      <c r="R20" s="8">
        <v>1</v>
      </c>
      <c r="S20" s="8">
        <v>1</v>
      </c>
      <c r="T20" s="94">
        <f t="shared" si="4"/>
        <v>0</v>
      </c>
      <c r="U20" s="8">
        <v>0</v>
      </c>
      <c r="V20" s="8">
        <v>0</v>
      </c>
      <c r="W20" s="16">
        <f t="shared" si="5"/>
        <v>0</v>
      </c>
      <c r="X20" s="11">
        <f t="shared" si="6"/>
        <v>14</v>
      </c>
      <c r="Y20" s="12">
        <f t="shared" si="7"/>
        <v>33</v>
      </c>
      <c r="Z20" s="4"/>
      <c r="AC20" s="40">
        <f>Y18+Y19+Y20+Y21</f>
        <v>138</v>
      </c>
    </row>
    <row r="21" spans="1:29" s="1" customFormat="1" ht="33.950000000000003" customHeight="1" x14ac:dyDescent="0.2">
      <c r="A21" s="20">
        <v>9</v>
      </c>
      <c r="B21" s="18" t="s">
        <v>5</v>
      </c>
      <c r="C21" s="6"/>
      <c r="D21" s="6"/>
      <c r="E21" s="6"/>
      <c r="F21" s="9">
        <v>1</v>
      </c>
      <c r="G21" s="9">
        <v>1</v>
      </c>
      <c r="H21" s="85">
        <f t="shared" si="0"/>
        <v>0</v>
      </c>
      <c r="I21" s="9">
        <v>3</v>
      </c>
      <c r="J21" s="9">
        <v>2</v>
      </c>
      <c r="K21" s="85">
        <f t="shared" si="1"/>
        <v>1</v>
      </c>
      <c r="L21" s="85">
        <v>1</v>
      </c>
      <c r="M21" s="76">
        <v>16</v>
      </c>
      <c r="N21" s="9">
        <f t="shared" si="2"/>
        <v>20</v>
      </c>
      <c r="O21" s="35">
        <v>9</v>
      </c>
      <c r="P21" s="8">
        <v>9</v>
      </c>
      <c r="Q21" s="82">
        <f t="shared" si="3"/>
        <v>0</v>
      </c>
      <c r="R21" s="8">
        <v>3</v>
      </c>
      <c r="S21" s="8">
        <v>3</v>
      </c>
      <c r="T21" s="82">
        <f t="shared" si="4"/>
        <v>0</v>
      </c>
      <c r="U21" s="8">
        <v>3</v>
      </c>
      <c r="V21" s="8">
        <v>3</v>
      </c>
      <c r="W21" s="16">
        <f t="shared" si="5"/>
        <v>0</v>
      </c>
      <c r="X21" s="11">
        <f t="shared" si="6"/>
        <v>15</v>
      </c>
      <c r="Y21" s="12">
        <f t="shared" si="7"/>
        <v>35</v>
      </c>
      <c r="Z21" s="4"/>
      <c r="AC21" s="40">
        <f>AC13+AC20</f>
        <v>285</v>
      </c>
    </row>
    <row r="22" spans="1:29" s="1" customFormat="1" ht="33.950000000000003" customHeight="1" x14ac:dyDescent="0.2">
      <c r="A22" s="20">
        <v>10</v>
      </c>
      <c r="B22" s="18" t="s">
        <v>9</v>
      </c>
      <c r="C22" s="6"/>
      <c r="D22" s="6"/>
      <c r="E22" s="6"/>
      <c r="F22" s="9">
        <v>1</v>
      </c>
      <c r="G22" s="9">
        <v>1</v>
      </c>
      <c r="H22" s="85">
        <f t="shared" si="0"/>
        <v>0</v>
      </c>
      <c r="I22" s="9">
        <v>3</v>
      </c>
      <c r="J22" s="9">
        <v>1</v>
      </c>
      <c r="K22" s="85">
        <f t="shared" si="1"/>
        <v>2</v>
      </c>
      <c r="L22" s="85">
        <v>1</v>
      </c>
      <c r="M22" s="76">
        <v>9</v>
      </c>
      <c r="N22" s="9">
        <f t="shared" si="2"/>
        <v>12</v>
      </c>
      <c r="O22" s="35">
        <v>3</v>
      </c>
      <c r="P22" s="8">
        <v>3</v>
      </c>
      <c r="Q22" s="82">
        <f t="shared" si="3"/>
        <v>0</v>
      </c>
      <c r="R22" s="8">
        <v>1</v>
      </c>
      <c r="S22" s="8">
        <v>1</v>
      </c>
      <c r="T22" s="82">
        <f t="shared" si="4"/>
        <v>0</v>
      </c>
      <c r="U22" s="8">
        <v>1</v>
      </c>
      <c r="V22" s="8">
        <v>1</v>
      </c>
      <c r="W22" s="16">
        <f t="shared" si="5"/>
        <v>0</v>
      </c>
      <c r="X22" s="11">
        <f t="shared" si="6"/>
        <v>5</v>
      </c>
      <c r="Y22" s="12">
        <f t="shared" si="7"/>
        <v>17</v>
      </c>
      <c r="Z22" s="4"/>
    </row>
    <row r="23" spans="1:29" s="1" customFormat="1" ht="33.950000000000003" customHeight="1" x14ac:dyDescent="0.2">
      <c r="A23" s="20">
        <v>11</v>
      </c>
      <c r="B23" s="18" t="s">
        <v>10</v>
      </c>
      <c r="C23" s="6"/>
      <c r="D23" s="6"/>
      <c r="E23" s="6"/>
      <c r="F23" s="9">
        <v>1</v>
      </c>
      <c r="G23" s="9">
        <v>1</v>
      </c>
      <c r="H23" s="85">
        <f t="shared" si="0"/>
        <v>0</v>
      </c>
      <c r="I23" s="9">
        <v>3</v>
      </c>
      <c r="J23" s="9">
        <v>3</v>
      </c>
      <c r="K23" s="85">
        <f t="shared" si="1"/>
        <v>0</v>
      </c>
      <c r="L23" s="85">
        <v>0</v>
      </c>
      <c r="M23" s="76">
        <v>12</v>
      </c>
      <c r="N23" s="9">
        <f t="shared" si="2"/>
        <v>16</v>
      </c>
      <c r="O23" s="35">
        <v>2</v>
      </c>
      <c r="P23" s="8">
        <v>2</v>
      </c>
      <c r="Q23" s="82">
        <f t="shared" si="3"/>
        <v>0</v>
      </c>
      <c r="R23" s="8">
        <v>3</v>
      </c>
      <c r="S23" s="8">
        <v>3</v>
      </c>
      <c r="T23" s="82">
        <f t="shared" si="4"/>
        <v>0</v>
      </c>
      <c r="U23" s="8">
        <v>2</v>
      </c>
      <c r="V23" s="8">
        <v>2</v>
      </c>
      <c r="W23" s="16">
        <f t="shared" si="5"/>
        <v>0</v>
      </c>
      <c r="X23" s="11">
        <f t="shared" si="6"/>
        <v>7</v>
      </c>
      <c r="Y23" s="12">
        <f t="shared" si="7"/>
        <v>23</v>
      </c>
      <c r="Z23" s="4"/>
    </row>
    <row r="24" spans="1:29" s="1" customFormat="1" ht="33.950000000000003" customHeight="1" x14ac:dyDescent="0.2">
      <c r="A24" s="20">
        <v>12</v>
      </c>
      <c r="B24" s="18" t="s">
        <v>11</v>
      </c>
      <c r="C24" s="6"/>
      <c r="D24" s="6"/>
      <c r="E24" s="6"/>
      <c r="F24" s="9">
        <v>1</v>
      </c>
      <c r="G24" s="9">
        <v>1</v>
      </c>
      <c r="H24" s="85">
        <f t="shared" si="0"/>
        <v>0</v>
      </c>
      <c r="I24" s="9">
        <v>3</v>
      </c>
      <c r="J24" s="9">
        <v>3</v>
      </c>
      <c r="K24" s="85">
        <f t="shared" si="1"/>
        <v>0</v>
      </c>
      <c r="L24" s="85">
        <v>0</v>
      </c>
      <c r="M24" s="76">
        <v>11</v>
      </c>
      <c r="N24" s="9">
        <f t="shared" si="2"/>
        <v>15</v>
      </c>
      <c r="O24" s="35">
        <v>4</v>
      </c>
      <c r="P24" s="8">
        <v>4</v>
      </c>
      <c r="Q24" s="82">
        <f t="shared" si="3"/>
        <v>0</v>
      </c>
      <c r="R24" s="8">
        <v>1</v>
      </c>
      <c r="S24" s="8">
        <v>1</v>
      </c>
      <c r="T24" s="82">
        <f t="shared" si="4"/>
        <v>0</v>
      </c>
      <c r="U24" s="8">
        <v>2</v>
      </c>
      <c r="V24" s="8">
        <v>2</v>
      </c>
      <c r="W24" s="16">
        <f t="shared" si="5"/>
        <v>0</v>
      </c>
      <c r="X24" s="11">
        <f t="shared" si="6"/>
        <v>7</v>
      </c>
      <c r="Y24" s="12">
        <f t="shared" si="7"/>
        <v>22</v>
      </c>
      <c r="Z24" s="4"/>
    </row>
    <row r="25" spans="1:29" s="1" customFormat="1" ht="33.950000000000003" customHeight="1" x14ac:dyDescent="0.2">
      <c r="A25" s="20">
        <v>13</v>
      </c>
      <c r="B25" s="18" t="s">
        <v>12</v>
      </c>
      <c r="C25" s="6"/>
      <c r="D25" s="6"/>
      <c r="E25" s="6"/>
      <c r="F25" s="9">
        <v>1</v>
      </c>
      <c r="G25" s="9">
        <v>1</v>
      </c>
      <c r="H25" s="85">
        <f t="shared" si="0"/>
        <v>0</v>
      </c>
      <c r="I25" s="9">
        <v>3</v>
      </c>
      <c r="J25" s="9">
        <v>3</v>
      </c>
      <c r="K25" s="85">
        <f t="shared" si="1"/>
        <v>0</v>
      </c>
      <c r="L25" s="85">
        <v>0</v>
      </c>
      <c r="M25" s="76">
        <v>19</v>
      </c>
      <c r="N25" s="9">
        <f t="shared" si="2"/>
        <v>23</v>
      </c>
      <c r="O25" s="35">
        <v>2</v>
      </c>
      <c r="P25" s="8">
        <v>2</v>
      </c>
      <c r="Q25" s="82">
        <f t="shared" si="3"/>
        <v>0</v>
      </c>
      <c r="R25" s="8">
        <v>1</v>
      </c>
      <c r="S25" s="8">
        <v>1</v>
      </c>
      <c r="T25" s="82">
        <f t="shared" si="4"/>
        <v>0</v>
      </c>
      <c r="U25" s="8">
        <v>5</v>
      </c>
      <c r="V25" s="8">
        <v>5</v>
      </c>
      <c r="W25" s="16">
        <f t="shared" si="5"/>
        <v>0</v>
      </c>
      <c r="X25" s="11">
        <f t="shared" si="6"/>
        <v>8</v>
      </c>
      <c r="Y25" s="12">
        <f t="shared" si="7"/>
        <v>31</v>
      </c>
      <c r="Z25" s="4"/>
    </row>
    <row r="26" spans="1:29" s="1" customFormat="1" ht="33.950000000000003" customHeight="1" x14ac:dyDescent="0.2">
      <c r="A26" s="20">
        <v>14</v>
      </c>
      <c r="B26" s="18" t="s">
        <v>13</v>
      </c>
      <c r="C26" s="6"/>
      <c r="D26" s="6"/>
      <c r="E26" s="6"/>
      <c r="F26" s="9">
        <v>1</v>
      </c>
      <c r="G26" s="9">
        <v>1</v>
      </c>
      <c r="H26" s="85">
        <f t="shared" si="0"/>
        <v>0</v>
      </c>
      <c r="I26" s="9">
        <v>3</v>
      </c>
      <c r="J26" s="9">
        <v>2</v>
      </c>
      <c r="K26" s="85">
        <f t="shared" si="1"/>
        <v>1</v>
      </c>
      <c r="L26" s="85">
        <v>2</v>
      </c>
      <c r="M26" s="76">
        <v>9</v>
      </c>
      <c r="N26" s="9">
        <f t="shared" si="2"/>
        <v>14</v>
      </c>
      <c r="O26" s="35">
        <v>2</v>
      </c>
      <c r="P26" s="8">
        <v>2</v>
      </c>
      <c r="Q26" s="82">
        <f t="shared" si="3"/>
        <v>0</v>
      </c>
      <c r="R26" s="8">
        <v>2</v>
      </c>
      <c r="S26" s="8">
        <v>2</v>
      </c>
      <c r="T26" s="82">
        <f t="shared" si="4"/>
        <v>0</v>
      </c>
      <c r="U26" s="8">
        <v>3</v>
      </c>
      <c r="V26" s="8">
        <v>3</v>
      </c>
      <c r="W26" s="16">
        <f t="shared" si="5"/>
        <v>0</v>
      </c>
      <c r="X26" s="11">
        <f t="shared" si="6"/>
        <v>7</v>
      </c>
      <c r="Y26" s="12">
        <f t="shared" si="7"/>
        <v>21</v>
      </c>
      <c r="Z26" s="4"/>
    </row>
    <row r="27" spans="1:29" s="1" customFormat="1" ht="33.950000000000003" customHeight="1" x14ac:dyDescent="0.2">
      <c r="A27" s="20">
        <v>15</v>
      </c>
      <c r="B27" s="18" t="s">
        <v>14</v>
      </c>
      <c r="C27" s="6"/>
      <c r="D27" s="6"/>
      <c r="E27" s="6"/>
      <c r="F27" s="9">
        <v>1</v>
      </c>
      <c r="G27" s="9">
        <v>1</v>
      </c>
      <c r="H27" s="85">
        <f t="shared" si="0"/>
        <v>0</v>
      </c>
      <c r="I27" s="9">
        <v>3</v>
      </c>
      <c r="J27" s="9">
        <v>3</v>
      </c>
      <c r="K27" s="85">
        <f t="shared" si="1"/>
        <v>0</v>
      </c>
      <c r="L27" s="85">
        <v>2</v>
      </c>
      <c r="M27" s="76">
        <v>16</v>
      </c>
      <c r="N27" s="9">
        <f t="shared" si="2"/>
        <v>22</v>
      </c>
      <c r="O27" s="35">
        <v>6</v>
      </c>
      <c r="P27" s="8">
        <v>6</v>
      </c>
      <c r="Q27" s="82">
        <f t="shared" si="3"/>
        <v>0</v>
      </c>
      <c r="R27" s="8">
        <v>0</v>
      </c>
      <c r="S27" s="8">
        <v>0</v>
      </c>
      <c r="T27" s="82">
        <f t="shared" si="4"/>
        <v>0</v>
      </c>
      <c r="U27" s="8">
        <v>3</v>
      </c>
      <c r="V27" s="8">
        <v>3</v>
      </c>
      <c r="W27" s="16">
        <f t="shared" si="5"/>
        <v>0</v>
      </c>
      <c r="X27" s="11">
        <f t="shared" si="6"/>
        <v>9</v>
      </c>
      <c r="Y27" s="12">
        <f t="shared" si="7"/>
        <v>31</v>
      </c>
      <c r="Z27" s="4"/>
    </row>
    <row r="28" spans="1:29" s="1" customFormat="1" ht="33.950000000000003" customHeight="1" x14ac:dyDescent="0.2">
      <c r="A28" s="20">
        <v>16</v>
      </c>
      <c r="B28" s="18" t="s">
        <v>15</v>
      </c>
      <c r="C28" s="6"/>
      <c r="D28" s="6"/>
      <c r="E28" s="6"/>
      <c r="F28" s="9">
        <v>1</v>
      </c>
      <c r="G28" s="9">
        <v>1</v>
      </c>
      <c r="H28" s="85">
        <f t="shared" si="0"/>
        <v>0</v>
      </c>
      <c r="I28" s="9">
        <v>3</v>
      </c>
      <c r="J28" s="9">
        <v>3</v>
      </c>
      <c r="K28" s="85">
        <f t="shared" si="1"/>
        <v>0</v>
      </c>
      <c r="L28" s="85">
        <v>1</v>
      </c>
      <c r="M28" s="76">
        <v>8</v>
      </c>
      <c r="N28" s="9">
        <f t="shared" si="2"/>
        <v>13</v>
      </c>
      <c r="O28" s="35">
        <v>8</v>
      </c>
      <c r="P28" s="8">
        <v>8</v>
      </c>
      <c r="Q28" s="82">
        <f t="shared" si="3"/>
        <v>0</v>
      </c>
      <c r="R28" s="8">
        <v>1</v>
      </c>
      <c r="S28" s="8">
        <v>1</v>
      </c>
      <c r="T28" s="82">
        <f t="shared" si="4"/>
        <v>0</v>
      </c>
      <c r="U28" s="8">
        <v>3</v>
      </c>
      <c r="V28" s="8">
        <v>3</v>
      </c>
      <c r="W28" s="16">
        <f t="shared" si="5"/>
        <v>0</v>
      </c>
      <c r="X28" s="11">
        <f t="shared" si="6"/>
        <v>12</v>
      </c>
      <c r="Y28" s="12">
        <f t="shared" si="7"/>
        <v>25</v>
      </c>
      <c r="Z28" s="4"/>
    </row>
    <row r="29" spans="1:29" s="1" customFormat="1" ht="33.950000000000003" customHeight="1" x14ac:dyDescent="0.2">
      <c r="A29" s="20">
        <v>17</v>
      </c>
      <c r="B29" s="18" t="s">
        <v>16</v>
      </c>
      <c r="C29" s="6"/>
      <c r="D29" s="6"/>
      <c r="E29" s="6"/>
      <c r="F29" s="9">
        <v>1</v>
      </c>
      <c r="G29" s="9">
        <v>0</v>
      </c>
      <c r="H29" s="85">
        <f t="shared" si="0"/>
        <v>1</v>
      </c>
      <c r="I29" s="9">
        <v>3</v>
      </c>
      <c r="J29" s="9">
        <v>2</v>
      </c>
      <c r="K29" s="85">
        <f t="shared" si="1"/>
        <v>1</v>
      </c>
      <c r="L29" s="85">
        <v>1</v>
      </c>
      <c r="M29" s="76">
        <v>11</v>
      </c>
      <c r="N29" s="9">
        <f t="shared" si="2"/>
        <v>14</v>
      </c>
      <c r="O29" s="35">
        <v>11</v>
      </c>
      <c r="P29" s="8">
        <v>11</v>
      </c>
      <c r="Q29" s="82">
        <f t="shared" si="3"/>
        <v>0</v>
      </c>
      <c r="R29" s="8">
        <v>0</v>
      </c>
      <c r="S29" s="8">
        <v>0</v>
      </c>
      <c r="T29" s="82">
        <f t="shared" si="4"/>
        <v>0</v>
      </c>
      <c r="U29" s="8">
        <v>5</v>
      </c>
      <c r="V29" s="8">
        <v>5</v>
      </c>
      <c r="W29" s="16">
        <f t="shared" si="5"/>
        <v>0</v>
      </c>
      <c r="X29" s="11">
        <f t="shared" si="6"/>
        <v>16</v>
      </c>
      <c r="Y29" s="12">
        <f t="shared" si="7"/>
        <v>30</v>
      </c>
      <c r="Z29" s="4"/>
    </row>
    <row r="30" spans="1:29" s="1" customFormat="1" ht="33.950000000000003" customHeight="1" x14ac:dyDescent="0.2">
      <c r="A30" s="20">
        <v>18</v>
      </c>
      <c r="B30" s="18" t="s">
        <v>17</v>
      </c>
      <c r="C30" s="6"/>
      <c r="D30" s="6"/>
      <c r="E30" s="6"/>
      <c r="F30" s="9">
        <v>1</v>
      </c>
      <c r="G30" s="9">
        <v>1</v>
      </c>
      <c r="H30" s="85">
        <f t="shared" si="0"/>
        <v>0</v>
      </c>
      <c r="I30" s="9">
        <v>3</v>
      </c>
      <c r="J30" s="9">
        <v>3</v>
      </c>
      <c r="K30" s="85">
        <f t="shared" si="1"/>
        <v>0</v>
      </c>
      <c r="L30" s="85">
        <v>2</v>
      </c>
      <c r="M30" s="76">
        <v>7</v>
      </c>
      <c r="N30" s="9">
        <f t="shared" si="2"/>
        <v>13</v>
      </c>
      <c r="O30" s="35">
        <v>3</v>
      </c>
      <c r="P30" s="8">
        <v>3</v>
      </c>
      <c r="Q30" s="82">
        <f t="shared" si="3"/>
        <v>0</v>
      </c>
      <c r="R30" s="8">
        <v>0</v>
      </c>
      <c r="S30" s="8">
        <v>0</v>
      </c>
      <c r="T30" s="82">
        <f t="shared" si="4"/>
        <v>0</v>
      </c>
      <c r="U30" s="8">
        <v>4</v>
      </c>
      <c r="V30" s="8">
        <v>4</v>
      </c>
      <c r="W30" s="16">
        <f t="shared" si="5"/>
        <v>0</v>
      </c>
      <c r="X30" s="11">
        <f t="shared" si="6"/>
        <v>7</v>
      </c>
      <c r="Y30" s="12">
        <f t="shared" si="7"/>
        <v>20</v>
      </c>
      <c r="Z30" s="4"/>
    </row>
    <row r="31" spans="1:29" s="1" customFormat="1" ht="33.950000000000003" customHeight="1" x14ac:dyDescent="0.2">
      <c r="A31" s="20">
        <v>19</v>
      </c>
      <c r="B31" s="18" t="s">
        <v>18</v>
      </c>
      <c r="C31" s="6"/>
      <c r="D31" s="6"/>
      <c r="E31" s="6"/>
      <c r="F31" s="9">
        <v>1</v>
      </c>
      <c r="G31" s="9">
        <v>1</v>
      </c>
      <c r="H31" s="85">
        <f t="shared" si="0"/>
        <v>0</v>
      </c>
      <c r="I31" s="9">
        <v>3</v>
      </c>
      <c r="J31" s="9">
        <v>2</v>
      </c>
      <c r="K31" s="85">
        <f t="shared" si="1"/>
        <v>1</v>
      </c>
      <c r="L31" s="85">
        <v>4</v>
      </c>
      <c r="M31" s="76">
        <v>6</v>
      </c>
      <c r="N31" s="9">
        <f t="shared" si="2"/>
        <v>13</v>
      </c>
      <c r="O31" s="35">
        <v>3</v>
      </c>
      <c r="P31" s="8">
        <v>3</v>
      </c>
      <c r="Q31" s="82">
        <f t="shared" si="3"/>
        <v>0</v>
      </c>
      <c r="R31" s="8">
        <v>0</v>
      </c>
      <c r="S31" s="8">
        <v>0</v>
      </c>
      <c r="T31" s="82">
        <f t="shared" si="4"/>
        <v>0</v>
      </c>
      <c r="U31" s="8">
        <v>4</v>
      </c>
      <c r="V31" s="8">
        <v>4</v>
      </c>
      <c r="W31" s="16">
        <v>0</v>
      </c>
      <c r="X31" s="11">
        <f t="shared" si="6"/>
        <v>7</v>
      </c>
      <c r="Y31" s="12">
        <f t="shared" si="7"/>
        <v>20</v>
      </c>
      <c r="Z31" s="4"/>
    </row>
    <row r="32" spans="1:29" s="1" customFormat="1" ht="33.950000000000003" customHeight="1" x14ac:dyDescent="0.2">
      <c r="A32" s="20">
        <v>20</v>
      </c>
      <c r="B32" s="18" t="s">
        <v>19</v>
      </c>
      <c r="C32" s="6"/>
      <c r="D32" s="6"/>
      <c r="E32" s="6"/>
      <c r="F32" s="9">
        <v>1</v>
      </c>
      <c r="G32" s="9">
        <v>1</v>
      </c>
      <c r="H32" s="85">
        <f t="shared" si="0"/>
        <v>0</v>
      </c>
      <c r="I32" s="9">
        <v>3</v>
      </c>
      <c r="J32" s="9">
        <v>2</v>
      </c>
      <c r="K32" s="85">
        <f t="shared" si="1"/>
        <v>1</v>
      </c>
      <c r="L32" s="85">
        <v>5</v>
      </c>
      <c r="M32" s="76">
        <v>6</v>
      </c>
      <c r="N32" s="9">
        <f t="shared" si="2"/>
        <v>14</v>
      </c>
      <c r="O32" s="35">
        <v>4</v>
      </c>
      <c r="P32" s="8">
        <v>4</v>
      </c>
      <c r="Q32" s="82">
        <f t="shared" si="3"/>
        <v>0</v>
      </c>
      <c r="R32" s="8">
        <v>0</v>
      </c>
      <c r="S32" s="8">
        <v>0</v>
      </c>
      <c r="T32" s="82">
        <f t="shared" si="4"/>
        <v>0</v>
      </c>
      <c r="U32" s="8">
        <v>5</v>
      </c>
      <c r="V32" s="8">
        <v>5</v>
      </c>
      <c r="W32" s="16">
        <f t="shared" si="5"/>
        <v>0</v>
      </c>
      <c r="X32" s="11">
        <f t="shared" si="6"/>
        <v>9</v>
      </c>
      <c r="Y32" s="12">
        <f t="shared" si="7"/>
        <v>23</v>
      </c>
      <c r="Z32" s="4"/>
    </row>
    <row r="33" spans="1:26" s="1" customFormat="1" ht="33.950000000000003" customHeight="1" x14ac:dyDescent="0.2">
      <c r="A33" s="20">
        <v>21</v>
      </c>
      <c r="B33" s="19" t="s">
        <v>20</v>
      </c>
      <c r="C33" s="7"/>
      <c r="D33" s="7"/>
      <c r="E33" s="7"/>
      <c r="F33" s="9">
        <v>1</v>
      </c>
      <c r="G33" s="9">
        <v>1</v>
      </c>
      <c r="H33" s="85">
        <f t="shared" si="0"/>
        <v>0</v>
      </c>
      <c r="I33" s="9">
        <v>3</v>
      </c>
      <c r="J33" s="10">
        <v>3</v>
      </c>
      <c r="K33" s="85">
        <f t="shared" si="1"/>
        <v>0</v>
      </c>
      <c r="L33" s="85">
        <v>0</v>
      </c>
      <c r="M33" s="76">
        <v>7</v>
      </c>
      <c r="N33" s="9">
        <f t="shared" si="2"/>
        <v>11</v>
      </c>
      <c r="O33" s="35">
        <v>4</v>
      </c>
      <c r="P33" s="8">
        <v>4</v>
      </c>
      <c r="Q33" s="82">
        <f t="shared" si="3"/>
        <v>0</v>
      </c>
      <c r="R33" s="8">
        <v>2</v>
      </c>
      <c r="S33" s="8">
        <v>2</v>
      </c>
      <c r="T33" s="82">
        <f t="shared" si="4"/>
        <v>0</v>
      </c>
      <c r="U33" s="8">
        <v>3</v>
      </c>
      <c r="V33" s="8">
        <v>3</v>
      </c>
      <c r="W33" s="16">
        <f t="shared" si="5"/>
        <v>0</v>
      </c>
      <c r="X33" s="11">
        <f t="shared" si="6"/>
        <v>9</v>
      </c>
      <c r="Y33" s="12">
        <f t="shared" si="7"/>
        <v>20</v>
      </c>
      <c r="Z33" s="4"/>
    </row>
    <row r="34" spans="1:26" s="1" customFormat="1" ht="33.950000000000003" customHeight="1" x14ac:dyDescent="0.2">
      <c r="A34" s="20">
        <v>22</v>
      </c>
      <c r="B34" s="18" t="s">
        <v>21</v>
      </c>
      <c r="C34" s="6"/>
      <c r="D34" s="6"/>
      <c r="E34" s="6"/>
      <c r="F34" s="9">
        <v>1</v>
      </c>
      <c r="G34" s="9">
        <v>1</v>
      </c>
      <c r="H34" s="85">
        <f t="shared" si="0"/>
        <v>0</v>
      </c>
      <c r="I34" s="9">
        <v>3</v>
      </c>
      <c r="J34" s="9">
        <v>3</v>
      </c>
      <c r="K34" s="85">
        <f t="shared" si="1"/>
        <v>0</v>
      </c>
      <c r="L34" s="85">
        <v>2</v>
      </c>
      <c r="M34" s="76">
        <v>11</v>
      </c>
      <c r="N34" s="9">
        <f t="shared" si="2"/>
        <v>17</v>
      </c>
      <c r="O34" s="35">
        <v>2</v>
      </c>
      <c r="P34" s="8">
        <v>2</v>
      </c>
      <c r="Q34" s="82">
        <f t="shared" si="3"/>
        <v>0</v>
      </c>
      <c r="R34" s="8">
        <v>0</v>
      </c>
      <c r="S34" s="8">
        <v>0</v>
      </c>
      <c r="T34" s="82">
        <f t="shared" si="4"/>
        <v>0</v>
      </c>
      <c r="U34" s="8">
        <v>3</v>
      </c>
      <c r="V34" s="8">
        <v>3</v>
      </c>
      <c r="W34" s="16">
        <f t="shared" si="5"/>
        <v>0</v>
      </c>
      <c r="X34" s="11">
        <f t="shared" si="6"/>
        <v>5</v>
      </c>
      <c r="Y34" s="12">
        <f t="shared" si="7"/>
        <v>22</v>
      </c>
      <c r="Z34" s="4"/>
    </row>
    <row r="35" spans="1:26" s="1" customFormat="1" ht="33.950000000000003" customHeight="1" x14ac:dyDescent="0.2">
      <c r="A35" s="20">
        <v>23</v>
      </c>
      <c r="B35" s="18" t="s">
        <v>22</v>
      </c>
      <c r="C35" s="6"/>
      <c r="D35" s="6"/>
      <c r="E35" s="6"/>
      <c r="F35" s="9">
        <v>1</v>
      </c>
      <c r="G35" s="9">
        <v>1</v>
      </c>
      <c r="H35" s="85">
        <f t="shared" si="0"/>
        <v>0</v>
      </c>
      <c r="I35" s="9">
        <v>3</v>
      </c>
      <c r="J35" s="9">
        <v>3</v>
      </c>
      <c r="K35" s="85">
        <f t="shared" si="1"/>
        <v>0</v>
      </c>
      <c r="L35" s="85">
        <v>1</v>
      </c>
      <c r="M35" s="76">
        <v>14</v>
      </c>
      <c r="N35" s="9">
        <f t="shared" si="2"/>
        <v>19</v>
      </c>
      <c r="O35" s="35">
        <v>1</v>
      </c>
      <c r="P35" s="8">
        <v>1</v>
      </c>
      <c r="Q35" s="82">
        <f t="shared" si="3"/>
        <v>0</v>
      </c>
      <c r="R35" s="8">
        <v>0</v>
      </c>
      <c r="S35" s="8">
        <v>0</v>
      </c>
      <c r="T35" s="82">
        <f t="shared" si="4"/>
        <v>0</v>
      </c>
      <c r="U35" s="8">
        <v>5</v>
      </c>
      <c r="V35" s="8">
        <v>5</v>
      </c>
      <c r="W35" s="16">
        <f t="shared" si="5"/>
        <v>0</v>
      </c>
      <c r="X35" s="11">
        <f t="shared" si="6"/>
        <v>6</v>
      </c>
      <c r="Y35" s="12">
        <f t="shared" si="7"/>
        <v>25</v>
      </c>
      <c r="Z35" s="4"/>
    </row>
    <row r="36" spans="1:26" s="1" customFormat="1" ht="33.950000000000003" customHeight="1" x14ac:dyDescent="0.2">
      <c r="A36" s="20">
        <v>24</v>
      </c>
      <c r="B36" s="18" t="s">
        <v>34</v>
      </c>
      <c r="C36" s="6"/>
      <c r="D36" s="6"/>
      <c r="E36" s="6"/>
      <c r="F36" s="9">
        <v>1</v>
      </c>
      <c r="G36" s="9">
        <v>1</v>
      </c>
      <c r="H36" s="85">
        <f t="shared" si="0"/>
        <v>0</v>
      </c>
      <c r="I36" s="9">
        <v>3</v>
      </c>
      <c r="J36" s="9">
        <v>2</v>
      </c>
      <c r="K36" s="85">
        <f t="shared" si="1"/>
        <v>1</v>
      </c>
      <c r="L36" s="85">
        <v>3</v>
      </c>
      <c r="M36" s="76">
        <v>4</v>
      </c>
      <c r="N36" s="9">
        <f t="shared" si="2"/>
        <v>10</v>
      </c>
      <c r="O36" s="35">
        <v>0</v>
      </c>
      <c r="P36" s="8">
        <v>0</v>
      </c>
      <c r="Q36" s="82">
        <f t="shared" si="3"/>
        <v>0</v>
      </c>
      <c r="R36" s="8">
        <v>1</v>
      </c>
      <c r="S36" s="8">
        <v>1</v>
      </c>
      <c r="T36" s="82">
        <f t="shared" si="4"/>
        <v>0</v>
      </c>
      <c r="U36" s="8">
        <v>3</v>
      </c>
      <c r="V36" s="8">
        <v>3</v>
      </c>
      <c r="W36" s="16">
        <f t="shared" si="5"/>
        <v>0</v>
      </c>
      <c r="X36" s="11">
        <f t="shared" si="6"/>
        <v>4</v>
      </c>
      <c r="Y36" s="12">
        <f t="shared" si="7"/>
        <v>14</v>
      </c>
      <c r="Z36" s="4"/>
    </row>
    <row r="37" spans="1:26" s="1" customFormat="1" ht="33.950000000000003" customHeight="1" x14ac:dyDescent="0.2">
      <c r="A37" s="20">
        <v>25</v>
      </c>
      <c r="B37" s="18" t="s">
        <v>35</v>
      </c>
      <c r="C37" s="6"/>
      <c r="D37" s="6"/>
      <c r="E37" s="6"/>
      <c r="F37" s="9">
        <v>1</v>
      </c>
      <c r="G37" s="9">
        <v>1</v>
      </c>
      <c r="H37" s="85">
        <f t="shared" si="0"/>
        <v>0</v>
      </c>
      <c r="I37" s="9">
        <v>3</v>
      </c>
      <c r="J37" s="9">
        <v>3</v>
      </c>
      <c r="K37" s="85">
        <f t="shared" si="1"/>
        <v>0</v>
      </c>
      <c r="L37" s="85">
        <v>1</v>
      </c>
      <c r="M37" s="76">
        <v>11</v>
      </c>
      <c r="N37" s="9">
        <f t="shared" si="2"/>
        <v>16</v>
      </c>
      <c r="O37" s="35">
        <v>0</v>
      </c>
      <c r="P37" s="8">
        <v>0</v>
      </c>
      <c r="Q37" s="82">
        <f t="shared" si="3"/>
        <v>0</v>
      </c>
      <c r="R37" s="8">
        <v>0</v>
      </c>
      <c r="S37" s="8">
        <v>0</v>
      </c>
      <c r="T37" s="82">
        <f t="shared" si="4"/>
        <v>0</v>
      </c>
      <c r="U37" s="8">
        <v>5</v>
      </c>
      <c r="V37" s="8">
        <v>5</v>
      </c>
      <c r="W37" s="16">
        <f t="shared" si="5"/>
        <v>0</v>
      </c>
      <c r="X37" s="11">
        <f t="shared" si="6"/>
        <v>5</v>
      </c>
      <c r="Y37" s="12">
        <f t="shared" si="7"/>
        <v>21</v>
      </c>
      <c r="Z37" s="4"/>
    </row>
    <row r="38" spans="1:26" s="1" customFormat="1" ht="33.950000000000003" customHeight="1" x14ac:dyDescent="0.2">
      <c r="A38" s="20">
        <v>26</v>
      </c>
      <c r="B38" s="18" t="s">
        <v>36</v>
      </c>
      <c r="C38" s="6"/>
      <c r="D38" s="6"/>
      <c r="E38" s="6"/>
      <c r="F38" s="9">
        <v>1</v>
      </c>
      <c r="G38" s="9">
        <v>1</v>
      </c>
      <c r="H38" s="85">
        <f>F38-G38</f>
        <v>0</v>
      </c>
      <c r="I38" s="9">
        <v>3</v>
      </c>
      <c r="J38" s="9">
        <v>3</v>
      </c>
      <c r="K38" s="85">
        <f>I38-J38</f>
        <v>0</v>
      </c>
      <c r="L38" s="85">
        <v>1</v>
      </c>
      <c r="M38" s="76">
        <v>6</v>
      </c>
      <c r="N38" s="9">
        <f t="shared" si="2"/>
        <v>11</v>
      </c>
      <c r="O38" s="35">
        <v>0</v>
      </c>
      <c r="P38" s="8">
        <v>0</v>
      </c>
      <c r="Q38" s="82">
        <f>O38-P38</f>
        <v>0</v>
      </c>
      <c r="R38" s="8">
        <v>0</v>
      </c>
      <c r="S38" s="8">
        <v>0</v>
      </c>
      <c r="T38" s="82">
        <f>R38-S38</f>
        <v>0</v>
      </c>
      <c r="U38" s="8">
        <v>2</v>
      </c>
      <c r="V38" s="8">
        <v>2</v>
      </c>
      <c r="W38" s="16">
        <f>U38-V38</f>
        <v>0</v>
      </c>
      <c r="X38" s="11">
        <f>P38+S38+V38</f>
        <v>2</v>
      </c>
      <c r="Y38" s="12">
        <f t="shared" si="7"/>
        <v>13</v>
      </c>
      <c r="Z38" s="4"/>
    </row>
    <row r="39" spans="1:26" s="1" customFormat="1" ht="33.950000000000003" customHeight="1" x14ac:dyDescent="0.2">
      <c r="A39" s="20">
        <v>27</v>
      </c>
      <c r="B39" s="18" t="s">
        <v>33</v>
      </c>
      <c r="C39" s="6"/>
      <c r="D39" s="6"/>
      <c r="E39" s="6"/>
      <c r="F39" s="9">
        <v>1</v>
      </c>
      <c r="G39" s="9">
        <v>1</v>
      </c>
      <c r="H39" s="85">
        <f t="shared" si="0"/>
        <v>0</v>
      </c>
      <c r="I39" s="9">
        <v>3</v>
      </c>
      <c r="J39" s="9">
        <v>3</v>
      </c>
      <c r="K39" s="85">
        <f t="shared" si="1"/>
        <v>0</v>
      </c>
      <c r="L39" s="85">
        <v>3</v>
      </c>
      <c r="M39" s="76">
        <v>5</v>
      </c>
      <c r="N39" s="9">
        <f t="shared" si="2"/>
        <v>12</v>
      </c>
      <c r="O39" s="35">
        <v>1</v>
      </c>
      <c r="P39" s="8">
        <v>1</v>
      </c>
      <c r="Q39" s="82">
        <f t="shared" si="3"/>
        <v>0</v>
      </c>
      <c r="R39" s="8">
        <v>0</v>
      </c>
      <c r="S39" s="8">
        <v>0</v>
      </c>
      <c r="T39" s="82">
        <f t="shared" si="4"/>
        <v>0</v>
      </c>
      <c r="U39" s="8">
        <v>3</v>
      </c>
      <c r="V39" s="8">
        <v>3</v>
      </c>
      <c r="W39" s="16">
        <f t="shared" si="5"/>
        <v>0</v>
      </c>
      <c r="X39" s="11">
        <f t="shared" si="6"/>
        <v>4</v>
      </c>
      <c r="Y39" s="12">
        <f t="shared" si="7"/>
        <v>16</v>
      </c>
      <c r="Z39" s="4"/>
    </row>
    <row r="40" spans="1:26" s="1" customFormat="1" ht="33.950000000000003" customHeight="1" x14ac:dyDescent="0.2">
      <c r="A40" s="20">
        <v>28</v>
      </c>
      <c r="B40" s="18" t="s">
        <v>23</v>
      </c>
      <c r="C40" s="6"/>
      <c r="D40" s="6"/>
      <c r="E40" s="6"/>
      <c r="F40" s="9">
        <v>1</v>
      </c>
      <c r="G40" s="9">
        <v>1</v>
      </c>
      <c r="H40" s="85">
        <f t="shared" si="0"/>
        <v>0</v>
      </c>
      <c r="I40" s="9">
        <v>3</v>
      </c>
      <c r="J40" s="9">
        <v>3</v>
      </c>
      <c r="K40" s="85">
        <f t="shared" si="1"/>
        <v>0</v>
      </c>
      <c r="L40" s="85">
        <v>5</v>
      </c>
      <c r="M40" s="76">
        <v>5</v>
      </c>
      <c r="N40" s="9">
        <f t="shared" si="2"/>
        <v>14</v>
      </c>
      <c r="O40" s="35">
        <v>3</v>
      </c>
      <c r="P40" s="8">
        <v>3</v>
      </c>
      <c r="Q40" s="82">
        <f t="shared" si="3"/>
        <v>0</v>
      </c>
      <c r="R40" s="8">
        <v>0</v>
      </c>
      <c r="S40" s="8">
        <v>0</v>
      </c>
      <c r="T40" s="82">
        <f t="shared" si="4"/>
        <v>0</v>
      </c>
      <c r="U40" s="8">
        <v>2</v>
      </c>
      <c r="V40" s="8">
        <v>2</v>
      </c>
      <c r="W40" s="16">
        <f t="shared" si="5"/>
        <v>0</v>
      </c>
      <c r="X40" s="11">
        <f t="shared" si="6"/>
        <v>5</v>
      </c>
      <c r="Y40" s="12">
        <f t="shared" si="7"/>
        <v>19</v>
      </c>
      <c r="Z40" s="4"/>
    </row>
    <row r="41" spans="1:26" s="1" customFormat="1" ht="33.950000000000003" customHeight="1" x14ac:dyDescent="0.2">
      <c r="A41" s="20">
        <v>29</v>
      </c>
      <c r="B41" s="18" t="s">
        <v>24</v>
      </c>
      <c r="C41" s="6"/>
      <c r="D41" s="6"/>
      <c r="E41" s="6"/>
      <c r="F41" s="9">
        <v>1</v>
      </c>
      <c r="G41" s="9">
        <v>1</v>
      </c>
      <c r="H41" s="85">
        <f t="shared" si="0"/>
        <v>0</v>
      </c>
      <c r="I41" s="9">
        <v>3</v>
      </c>
      <c r="J41" s="9">
        <v>3</v>
      </c>
      <c r="K41" s="85">
        <f t="shared" si="1"/>
        <v>0</v>
      </c>
      <c r="L41" s="85">
        <v>1</v>
      </c>
      <c r="M41" s="76">
        <v>6</v>
      </c>
      <c r="N41" s="9">
        <f t="shared" si="2"/>
        <v>11</v>
      </c>
      <c r="O41" s="35">
        <v>1</v>
      </c>
      <c r="P41" s="8">
        <v>1</v>
      </c>
      <c r="Q41" s="82">
        <f t="shared" si="3"/>
        <v>0</v>
      </c>
      <c r="R41" s="8">
        <v>0</v>
      </c>
      <c r="S41" s="8">
        <v>0</v>
      </c>
      <c r="T41" s="82">
        <f t="shared" si="4"/>
        <v>0</v>
      </c>
      <c r="U41" s="8">
        <v>4</v>
      </c>
      <c r="V41" s="8">
        <v>4</v>
      </c>
      <c r="W41" s="16">
        <f t="shared" si="5"/>
        <v>0</v>
      </c>
      <c r="X41" s="11">
        <f t="shared" si="6"/>
        <v>5</v>
      </c>
      <c r="Y41" s="12">
        <f t="shared" si="7"/>
        <v>16</v>
      </c>
      <c r="Z41" s="4"/>
    </row>
    <row r="42" spans="1:26" s="1" customFormat="1" ht="33.950000000000003" customHeight="1" x14ac:dyDescent="0.2">
      <c r="A42" s="20">
        <v>30</v>
      </c>
      <c r="B42" s="18" t="s">
        <v>25</v>
      </c>
      <c r="C42" s="6"/>
      <c r="D42" s="6"/>
      <c r="E42" s="6"/>
      <c r="F42" s="9">
        <v>1</v>
      </c>
      <c r="G42" s="9">
        <v>1</v>
      </c>
      <c r="H42" s="85">
        <f t="shared" si="0"/>
        <v>0</v>
      </c>
      <c r="I42" s="9">
        <v>3</v>
      </c>
      <c r="J42" s="9">
        <v>2</v>
      </c>
      <c r="K42" s="85">
        <f t="shared" si="1"/>
        <v>1</v>
      </c>
      <c r="L42" s="85">
        <v>3</v>
      </c>
      <c r="M42" s="76">
        <v>12</v>
      </c>
      <c r="N42" s="9">
        <f t="shared" si="2"/>
        <v>18</v>
      </c>
      <c r="O42" s="35">
        <v>1</v>
      </c>
      <c r="P42" s="8">
        <v>1</v>
      </c>
      <c r="Q42" s="82">
        <f t="shared" si="3"/>
        <v>0</v>
      </c>
      <c r="R42" s="8">
        <v>0</v>
      </c>
      <c r="S42" s="8">
        <v>0</v>
      </c>
      <c r="T42" s="82">
        <f t="shared" si="4"/>
        <v>0</v>
      </c>
      <c r="U42" s="8">
        <v>5</v>
      </c>
      <c r="V42" s="8">
        <v>5</v>
      </c>
      <c r="W42" s="16">
        <f t="shared" si="5"/>
        <v>0</v>
      </c>
      <c r="X42" s="11">
        <f t="shared" si="6"/>
        <v>6</v>
      </c>
      <c r="Y42" s="12">
        <f t="shared" si="7"/>
        <v>24</v>
      </c>
      <c r="Z42" s="4"/>
    </row>
    <row r="43" spans="1:26" s="1" customFormat="1" ht="33.950000000000003" customHeight="1" x14ac:dyDescent="0.2">
      <c r="A43" s="20">
        <v>31</v>
      </c>
      <c r="B43" s="18" t="s">
        <v>37</v>
      </c>
      <c r="C43" s="6"/>
      <c r="D43" s="6"/>
      <c r="E43" s="6"/>
      <c r="F43" s="9">
        <v>1</v>
      </c>
      <c r="G43" s="9">
        <v>1</v>
      </c>
      <c r="H43" s="85">
        <f t="shared" si="0"/>
        <v>0</v>
      </c>
      <c r="I43" s="9">
        <v>3</v>
      </c>
      <c r="J43" s="9">
        <v>3</v>
      </c>
      <c r="K43" s="85">
        <f t="shared" si="1"/>
        <v>0</v>
      </c>
      <c r="L43" s="85">
        <v>2</v>
      </c>
      <c r="M43" s="76">
        <v>6</v>
      </c>
      <c r="N43" s="9">
        <f t="shared" si="2"/>
        <v>12</v>
      </c>
      <c r="O43" s="35">
        <v>1</v>
      </c>
      <c r="P43" s="8">
        <v>1</v>
      </c>
      <c r="Q43" s="82">
        <f t="shared" si="3"/>
        <v>0</v>
      </c>
      <c r="R43" s="8">
        <v>1</v>
      </c>
      <c r="S43" s="8">
        <v>1</v>
      </c>
      <c r="T43" s="82">
        <f t="shared" si="4"/>
        <v>0</v>
      </c>
      <c r="U43" s="8">
        <v>3</v>
      </c>
      <c r="V43" s="8">
        <v>3</v>
      </c>
      <c r="W43" s="16">
        <f t="shared" si="5"/>
        <v>0</v>
      </c>
      <c r="X43" s="11">
        <f t="shared" si="6"/>
        <v>5</v>
      </c>
      <c r="Y43" s="12">
        <f t="shared" si="7"/>
        <v>17</v>
      </c>
      <c r="Z43" s="4"/>
    </row>
    <row r="44" spans="1:26" s="1" customFormat="1" ht="33.950000000000003" customHeight="1" x14ac:dyDescent="0.2">
      <c r="A44" s="20">
        <v>32</v>
      </c>
      <c r="B44" s="18" t="s">
        <v>38</v>
      </c>
      <c r="C44" s="6"/>
      <c r="D44" s="6"/>
      <c r="E44" s="6"/>
      <c r="F44" s="9">
        <v>1</v>
      </c>
      <c r="G44" s="9">
        <v>1</v>
      </c>
      <c r="H44" s="85">
        <f t="shared" si="0"/>
        <v>0</v>
      </c>
      <c r="I44" s="9">
        <v>3</v>
      </c>
      <c r="J44" s="9">
        <v>2</v>
      </c>
      <c r="K44" s="85">
        <f t="shared" si="1"/>
        <v>1</v>
      </c>
      <c r="L44" s="85">
        <v>3</v>
      </c>
      <c r="M44" s="76">
        <v>3</v>
      </c>
      <c r="N44" s="9">
        <f t="shared" si="2"/>
        <v>9</v>
      </c>
      <c r="O44" s="35">
        <v>0</v>
      </c>
      <c r="P44" s="8">
        <v>0</v>
      </c>
      <c r="Q44" s="82">
        <f t="shared" si="3"/>
        <v>0</v>
      </c>
      <c r="R44" s="8">
        <v>1</v>
      </c>
      <c r="S44" s="8">
        <v>1</v>
      </c>
      <c r="T44" s="82">
        <f t="shared" si="4"/>
        <v>0</v>
      </c>
      <c r="U44" s="8">
        <v>3</v>
      </c>
      <c r="V44" s="8">
        <v>3</v>
      </c>
      <c r="W44" s="16">
        <f t="shared" si="5"/>
        <v>0</v>
      </c>
      <c r="X44" s="11">
        <f t="shared" si="6"/>
        <v>4</v>
      </c>
      <c r="Y44" s="12">
        <f t="shared" si="7"/>
        <v>13</v>
      </c>
      <c r="Z44" s="4"/>
    </row>
    <row r="45" spans="1:26" s="1" customFormat="1" ht="33.950000000000003" customHeight="1" x14ac:dyDescent="0.2">
      <c r="A45" s="20">
        <v>33</v>
      </c>
      <c r="B45" s="18" t="s">
        <v>26</v>
      </c>
      <c r="C45" s="6"/>
      <c r="D45" s="6"/>
      <c r="E45" s="6"/>
      <c r="F45" s="9">
        <v>1</v>
      </c>
      <c r="G45" s="9">
        <v>1</v>
      </c>
      <c r="H45" s="85">
        <f t="shared" si="0"/>
        <v>0</v>
      </c>
      <c r="I45" s="9">
        <v>3</v>
      </c>
      <c r="J45" s="9">
        <v>3</v>
      </c>
      <c r="K45" s="85">
        <f t="shared" si="1"/>
        <v>0</v>
      </c>
      <c r="L45" s="85">
        <v>2</v>
      </c>
      <c r="M45" s="76">
        <v>5</v>
      </c>
      <c r="N45" s="9">
        <f t="shared" si="2"/>
        <v>11</v>
      </c>
      <c r="O45" s="35">
        <v>2</v>
      </c>
      <c r="P45" s="8">
        <v>2</v>
      </c>
      <c r="Q45" s="82">
        <f t="shared" si="3"/>
        <v>0</v>
      </c>
      <c r="R45" s="8">
        <v>0</v>
      </c>
      <c r="S45" s="8">
        <v>0</v>
      </c>
      <c r="T45" s="82">
        <f t="shared" si="4"/>
        <v>0</v>
      </c>
      <c r="U45" s="8">
        <v>6</v>
      </c>
      <c r="V45" s="8">
        <v>6</v>
      </c>
      <c r="W45" s="16">
        <f t="shared" si="5"/>
        <v>0</v>
      </c>
      <c r="X45" s="11">
        <f t="shared" si="6"/>
        <v>8</v>
      </c>
      <c r="Y45" s="12">
        <f t="shared" si="7"/>
        <v>19</v>
      </c>
      <c r="Z45" s="4"/>
    </row>
    <row r="46" spans="1:26" s="1" customFormat="1" ht="33.950000000000003" customHeight="1" x14ac:dyDescent="0.2">
      <c r="A46" s="20">
        <v>34</v>
      </c>
      <c r="B46" s="18" t="s">
        <v>27</v>
      </c>
      <c r="C46" s="6"/>
      <c r="D46" s="6"/>
      <c r="E46" s="6"/>
      <c r="F46" s="9">
        <v>1</v>
      </c>
      <c r="G46" s="9">
        <v>1</v>
      </c>
      <c r="H46" s="85">
        <f t="shared" si="0"/>
        <v>0</v>
      </c>
      <c r="I46" s="9">
        <v>3</v>
      </c>
      <c r="J46" s="9">
        <v>3</v>
      </c>
      <c r="K46" s="85">
        <f t="shared" si="1"/>
        <v>0</v>
      </c>
      <c r="L46" s="45">
        <v>1</v>
      </c>
      <c r="M46" s="46">
        <v>7</v>
      </c>
      <c r="N46" s="9">
        <f t="shared" si="2"/>
        <v>12</v>
      </c>
      <c r="O46" s="35">
        <v>1</v>
      </c>
      <c r="P46" s="8">
        <v>1</v>
      </c>
      <c r="Q46" s="82">
        <f t="shared" si="3"/>
        <v>0</v>
      </c>
      <c r="R46" s="8">
        <v>0</v>
      </c>
      <c r="S46" s="8">
        <v>0</v>
      </c>
      <c r="T46" s="82">
        <f t="shared" si="4"/>
        <v>0</v>
      </c>
      <c r="U46" s="8">
        <v>3</v>
      </c>
      <c r="V46" s="8">
        <v>3</v>
      </c>
      <c r="W46" s="16">
        <f t="shared" si="5"/>
        <v>0</v>
      </c>
      <c r="X46" s="11">
        <f t="shared" si="6"/>
        <v>4</v>
      </c>
      <c r="Y46" s="12">
        <f t="shared" si="7"/>
        <v>16</v>
      </c>
      <c r="Z46" s="4"/>
    </row>
    <row r="47" spans="1:26" s="1" customFormat="1" ht="33.950000000000003" customHeight="1" x14ac:dyDescent="0.2">
      <c r="A47" s="20">
        <v>35</v>
      </c>
      <c r="B47" s="18" t="s">
        <v>39</v>
      </c>
      <c r="C47" s="6"/>
      <c r="D47" s="6"/>
      <c r="E47" s="6"/>
      <c r="F47" s="9">
        <v>1</v>
      </c>
      <c r="G47" s="9">
        <v>1</v>
      </c>
      <c r="H47" s="85">
        <f t="shared" si="0"/>
        <v>0</v>
      </c>
      <c r="I47" s="9">
        <v>3</v>
      </c>
      <c r="J47" s="9">
        <v>3</v>
      </c>
      <c r="K47" s="85">
        <f t="shared" si="1"/>
        <v>0</v>
      </c>
      <c r="L47" s="85">
        <v>4</v>
      </c>
      <c r="M47" s="76">
        <v>4</v>
      </c>
      <c r="N47" s="9">
        <f t="shared" si="2"/>
        <v>12</v>
      </c>
      <c r="O47" s="35">
        <v>3</v>
      </c>
      <c r="P47" s="8">
        <v>3</v>
      </c>
      <c r="Q47" s="82">
        <f t="shared" si="3"/>
        <v>0</v>
      </c>
      <c r="R47" s="8">
        <v>0</v>
      </c>
      <c r="S47" s="8">
        <v>0</v>
      </c>
      <c r="T47" s="82">
        <f t="shared" si="4"/>
        <v>0</v>
      </c>
      <c r="U47" s="8">
        <v>4</v>
      </c>
      <c r="V47" s="8">
        <v>4</v>
      </c>
      <c r="W47" s="16">
        <f t="shared" si="5"/>
        <v>0</v>
      </c>
      <c r="X47" s="11">
        <f t="shared" si="6"/>
        <v>7</v>
      </c>
      <c r="Y47" s="12">
        <f t="shared" si="7"/>
        <v>19</v>
      </c>
      <c r="Z47" s="4"/>
    </row>
    <row r="48" spans="1:26" s="1" customFormat="1" ht="33.950000000000003" customHeight="1" x14ac:dyDescent="0.2">
      <c r="A48" s="20">
        <v>36</v>
      </c>
      <c r="B48" s="18" t="s">
        <v>42</v>
      </c>
      <c r="C48" s="6"/>
      <c r="D48" s="6"/>
      <c r="E48" s="6"/>
      <c r="F48" s="9">
        <v>1</v>
      </c>
      <c r="G48" s="9">
        <v>1</v>
      </c>
      <c r="H48" s="85">
        <f t="shared" si="0"/>
        <v>0</v>
      </c>
      <c r="I48" s="9">
        <v>3</v>
      </c>
      <c r="J48" s="9">
        <v>3</v>
      </c>
      <c r="K48" s="85">
        <f t="shared" si="1"/>
        <v>0</v>
      </c>
      <c r="L48" s="85">
        <v>1</v>
      </c>
      <c r="M48" s="76">
        <v>14</v>
      </c>
      <c r="N48" s="44">
        <f t="shared" si="2"/>
        <v>19</v>
      </c>
      <c r="O48" s="35">
        <v>0</v>
      </c>
      <c r="P48" s="8">
        <v>0</v>
      </c>
      <c r="Q48" s="82">
        <f t="shared" si="3"/>
        <v>0</v>
      </c>
      <c r="R48" s="8">
        <v>0</v>
      </c>
      <c r="S48" s="8">
        <v>0</v>
      </c>
      <c r="T48" s="82">
        <f t="shared" si="4"/>
        <v>0</v>
      </c>
      <c r="U48" s="8">
        <v>2</v>
      </c>
      <c r="V48" s="8">
        <v>2</v>
      </c>
      <c r="W48" s="16">
        <f t="shared" si="5"/>
        <v>0</v>
      </c>
      <c r="X48" s="11">
        <f t="shared" si="6"/>
        <v>2</v>
      </c>
      <c r="Y48" s="12">
        <f t="shared" si="7"/>
        <v>21</v>
      </c>
      <c r="Z48" s="4"/>
    </row>
    <row r="49" spans="1:26" s="1" customFormat="1" ht="33.950000000000003" customHeight="1" x14ac:dyDescent="0.2">
      <c r="A49" s="20">
        <v>37</v>
      </c>
      <c r="B49" s="18" t="s">
        <v>40</v>
      </c>
      <c r="C49" s="6"/>
      <c r="D49" s="6"/>
      <c r="E49" s="6"/>
      <c r="F49" s="9">
        <v>1</v>
      </c>
      <c r="G49" s="9">
        <v>1</v>
      </c>
      <c r="H49" s="85">
        <f t="shared" si="0"/>
        <v>0</v>
      </c>
      <c r="I49" s="9">
        <v>3</v>
      </c>
      <c r="J49" s="9">
        <v>3</v>
      </c>
      <c r="K49" s="85">
        <f t="shared" si="1"/>
        <v>0</v>
      </c>
      <c r="L49" s="85">
        <v>2</v>
      </c>
      <c r="M49" s="76">
        <v>8</v>
      </c>
      <c r="N49" s="44">
        <f t="shared" si="2"/>
        <v>14</v>
      </c>
      <c r="O49" s="35">
        <v>0</v>
      </c>
      <c r="P49" s="8">
        <v>0</v>
      </c>
      <c r="Q49" s="82">
        <f t="shared" si="3"/>
        <v>0</v>
      </c>
      <c r="R49" s="8">
        <v>1</v>
      </c>
      <c r="S49" s="8">
        <v>1</v>
      </c>
      <c r="T49" s="82">
        <f t="shared" si="4"/>
        <v>0</v>
      </c>
      <c r="U49" s="8">
        <v>2</v>
      </c>
      <c r="V49" s="8">
        <v>2</v>
      </c>
      <c r="W49" s="16">
        <f t="shared" si="5"/>
        <v>0</v>
      </c>
      <c r="X49" s="11">
        <f t="shared" si="6"/>
        <v>3</v>
      </c>
      <c r="Y49" s="12">
        <f t="shared" si="7"/>
        <v>17</v>
      </c>
      <c r="Z49" s="4"/>
    </row>
    <row r="50" spans="1:26" s="1" customFormat="1" ht="33.950000000000003" customHeight="1" x14ac:dyDescent="0.2">
      <c r="A50" s="20">
        <v>38</v>
      </c>
      <c r="B50" s="18" t="s">
        <v>41</v>
      </c>
      <c r="C50" s="6"/>
      <c r="D50" s="6"/>
      <c r="E50" s="6"/>
      <c r="F50" s="9">
        <v>1</v>
      </c>
      <c r="G50" s="9">
        <v>1</v>
      </c>
      <c r="H50" s="85">
        <f t="shared" si="0"/>
        <v>0</v>
      </c>
      <c r="I50" s="9">
        <v>3</v>
      </c>
      <c r="J50" s="9">
        <v>2</v>
      </c>
      <c r="K50" s="85">
        <f t="shared" si="1"/>
        <v>1</v>
      </c>
      <c r="L50" s="85">
        <v>1</v>
      </c>
      <c r="M50" s="76">
        <v>6</v>
      </c>
      <c r="N50" s="44">
        <f t="shared" si="2"/>
        <v>10</v>
      </c>
      <c r="O50" s="35">
        <v>0</v>
      </c>
      <c r="P50" s="8">
        <v>0</v>
      </c>
      <c r="Q50" s="82">
        <f t="shared" si="3"/>
        <v>0</v>
      </c>
      <c r="R50" s="8">
        <v>1</v>
      </c>
      <c r="S50" s="8">
        <v>1</v>
      </c>
      <c r="T50" s="82">
        <f t="shared" si="4"/>
        <v>0</v>
      </c>
      <c r="U50" s="8">
        <v>2</v>
      </c>
      <c r="V50" s="8">
        <v>2</v>
      </c>
      <c r="W50" s="16">
        <f t="shared" si="5"/>
        <v>0</v>
      </c>
      <c r="X50" s="11">
        <f t="shared" si="6"/>
        <v>3</v>
      </c>
      <c r="Y50" s="12">
        <f t="shared" si="7"/>
        <v>13</v>
      </c>
      <c r="Z50" s="4"/>
    </row>
    <row r="51" spans="1:26" s="1" customFormat="1" ht="33.950000000000003" customHeight="1" x14ac:dyDescent="0.2">
      <c r="A51" s="20">
        <v>39</v>
      </c>
      <c r="B51" s="18" t="s">
        <v>28</v>
      </c>
      <c r="C51" s="6"/>
      <c r="D51" s="6"/>
      <c r="E51" s="6"/>
      <c r="F51" s="9">
        <v>1</v>
      </c>
      <c r="G51" s="9">
        <v>1</v>
      </c>
      <c r="H51" s="85">
        <f t="shared" si="0"/>
        <v>0</v>
      </c>
      <c r="I51" s="9">
        <v>3</v>
      </c>
      <c r="J51" s="9">
        <v>2</v>
      </c>
      <c r="K51" s="85">
        <f t="shared" si="1"/>
        <v>1</v>
      </c>
      <c r="L51" s="85">
        <v>1</v>
      </c>
      <c r="M51" s="76">
        <v>17</v>
      </c>
      <c r="N51" s="44">
        <f t="shared" si="2"/>
        <v>21</v>
      </c>
      <c r="O51" s="35">
        <v>6</v>
      </c>
      <c r="P51" s="8">
        <v>6</v>
      </c>
      <c r="Q51" s="82">
        <f t="shared" si="3"/>
        <v>0</v>
      </c>
      <c r="R51" s="8">
        <v>0</v>
      </c>
      <c r="S51" s="8">
        <v>0</v>
      </c>
      <c r="T51" s="82">
        <f t="shared" si="4"/>
        <v>0</v>
      </c>
      <c r="U51" s="8">
        <v>0</v>
      </c>
      <c r="V51" s="8">
        <v>0</v>
      </c>
      <c r="W51" s="16">
        <f t="shared" si="5"/>
        <v>0</v>
      </c>
      <c r="X51" s="11">
        <f t="shared" si="6"/>
        <v>6</v>
      </c>
      <c r="Y51" s="12">
        <f t="shared" si="7"/>
        <v>27</v>
      </c>
      <c r="Z51" s="4"/>
    </row>
    <row r="52" spans="1:26" s="1" customFormat="1" ht="33.950000000000003" customHeight="1" x14ac:dyDescent="0.2">
      <c r="A52" s="20">
        <v>40</v>
      </c>
      <c r="B52" s="18" t="s">
        <v>29</v>
      </c>
      <c r="C52" s="6"/>
      <c r="D52" s="6"/>
      <c r="E52" s="6"/>
      <c r="F52" s="9">
        <v>1</v>
      </c>
      <c r="G52" s="9">
        <v>1</v>
      </c>
      <c r="H52" s="85">
        <f t="shared" si="0"/>
        <v>0</v>
      </c>
      <c r="I52" s="9">
        <v>3</v>
      </c>
      <c r="J52" s="9">
        <v>3</v>
      </c>
      <c r="K52" s="85">
        <f t="shared" si="1"/>
        <v>0</v>
      </c>
      <c r="L52" s="85">
        <v>1</v>
      </c>
      <c r="M52" s="76">
        <v>13</v>
      </c>
      <c r="N52" s="44">
        <f t="shared" si="2"/>
        <v>18</v>
      </c>
      <c r="O52" s="35">
        <v>3</v>
      </c>
      <c r="P52" s="8">
        <v>3</v>
      </c>
      <c r="Q52" s="82">
        <f t="shared" si="3"/>
        <v>0</v>
      </c>
      <c r="R52" s="8">
        <v>1</v>
      </c>
      <c r="S52" s="8">
        <v>1</v>
      </c>
      <c r="T52" s="82">
        <f t="shared" si="4"/>
        <v>0</v>
      </c>
      <c r="U52" s="8">
        <v>1</v>
      </c>
      <c r="V52" s="8">
        <v>1</v>
      </c>
      <c r="W52" s="16">
        <f t="shared" si="5"/>
        <v>0</v>
      </c>
      <c r="X52" s="11">
        <f t="shared" si="6"/>
        <v>5</v>
      </c>
      <c r="Y52" s="12">
        <f t="shared" si="7"/>
        <v>23</v>
      </c>
      <c r="Z52" s="53"/>
    </row>
    <row r="53" spans="1:26" s="1" customFormat="1" ht="33.950000000000003" customHeight="1" x14ac:dyDescent="0.2">
      <c r="A53" s="20">
        <v>41</v>
      </c>
      <c r="B53" s="18" t="s">
        <v>30</v>
      </c>
      <c r="C53" s="6"/>
      <c r="D53" s="6"/>
      <c r="E53" s="6"/>
      <c r="F53" s="9">
        <v>1</v>
      </c>
      <c r="G53" s="9">
        <v>1</v>
      </c>
      <c r="H53" s="85">
        <f t="shared" si="0"/>
        <v>0</v>
      </c>
      <c r="I53" s="9">
        <v>3</v>
      </c>
      <c r="J53" s="9">
        <v>3</v>
      </c>
      <c r="K53" s="85">
        <f t="shared" si="1"/>
        <v>0</v>
      </c>
      <c r="L53" s="85">
        <v>1</v>
      </c>
      <c r="M53" s="76">
        <v>8</v>
      </c>
      <c r="N53" s="44">
        <f t="shared" si="2"/>
        <v>13</v>
      </c>
      <c r="O53" s="35">
        <v>3</v>
      </c>
      <c r="P53" s="8">
        <v>3</v>
      </c>
      <c r="Q53" s="82">
        <f t="shared" si="3"/>
        <v>0</v>
      </c>
      <c r="R53" s="8">
        <v>1</v>
      </c>
      <c r="S53" s="8">
        <v>1</v>
      </c>
      <c r="T53" s="82">
        <f t="shared" si="4"/>
        <v>0</v>
      </c>
      <c r="U53" s="8">
        <v>4</v>
      </c>
      <c r="V53" s="8">
        <v>4</v>
      </c>
      <c r="W53" s="16">
        <f t="shared" si="5"/>
        <v>0</v>
      </c>
      <c r="X53" s="11">
        <f t="shared" si="6"/>
        <v>8</v>
      </c>
      <c r="Y53" s="12">
        <f t="shared" si="7"/>
        <v>21</v>
      </c>
      <c r="Z53" s="4"/>
    </row>
    <row r="54" spans="1:26" s="1" customFormat="1" ht="33.950000000000003" customHeight="1" thickBot="1" x14ac:dyDescent="0.25">
      <c r="A54" s="21">
        <v>42</v>
      </c>
      <c r="B54" s="88" t="s">
        <v>31</v>
      </c>
      <c r="C54" s="89"/>
      <c r="D54" s="89"/>
      <c r="E54" s="89"/>
      <c r="F54" s="90">
        <v>1</v>
      </c>
      <c r="G54" s="9">
        <v>1</v>
      </c>
      <c r="H54" s="83">
        <f t="shared" si="0"/>
        <v>0</v>
      </c>
      <c r="I54" s="90">
        <v>3</v>
      </c>
      <c r="J54" s="90">
        <v>2</v>
      </c>
      <c r="K54" s="83">
        <f t="shared" si="1"/>
        <v>1</v>
      </c>
      <c r="L54" s="83">
        <v>4</v>
      </c>
      <c r="M54" s="91">
        <v>5</v>
      </c>
      <c r="N54" s="44">
        <f t="shared" si="2"/>
        <v>12</v>
      </c>
      <c r="O54" s="36">
        <v>1</v>
      </c>
      <c r="P54" s="15">
        <v>1</v>
      </c>
      <c r="Q54" s="39">
        <f t="shared" si="3"/>
        <v>0</v>
      </c>
      <c r="R54" s="15">
        <v>1</v>
      </c>
      <c r="S54" s="15">
        <v>1</v>
      </c>
      <c r="T54" s="39">
        <f t="shared" si="4"/>
        <v>0</v>
      </c>
      <c r="U54" s="15">
        <v>2</v>
      </c>
      <c r="V54" s="15">
        <v>2</v>
      </c>
      <c r="W54" s="22">
        <f t="shared" si="5"/>
        <v>0</v>
      </c>
      <c r="X54" s="23">
        <f t="shared" si="6"/>
        <v>4</v>
      </c>
      <c r="Y54" s="24">
        <f t="shared" si="7"/>
        <v>16</v>
      </c>
      <c r="Z54" s="4"/>
    </row>
    <row r="55" spans="1:26" ht="24" customHeight="1" thickTop="1" thickBot="1" x14ac:dyDescent="0.25">
      <c r="A55" s="25"/>
      <c r="B55" s="26" t="s">
        <v>2</v>
      </c>
      <c r="C55" s="26">
        <v>1</v>
      </c>
      <c r="D55" s="26">
        <v>0</v>
      </c>
      <c r="E55" s="26">
        <f>C55-D55</f>
        <v>1</v>
      </c>
      <c r="F55" s="26">
        <f t="shared" ref="F55:Y55" si="8">SUM(F13:F54)</f>
        <v>42</v>
      </c>
      <c r="G55" s="26">
        <f t="shared" si="8"/>
        <v>41</v>
      </c>
      <c r="H55" s="26">
        <f t="shared" si="8"/>
        <v>1</v>
      </c>
      <c r="I55" s="26">
        <f t="shared" si="8"/>
        <v>120</v>
      </c>
      <c r="J55" s="26">
        <f t="shared" si="8"/>
        <v>105</v>
      </c>
      <c r="K55" s="26">
        <f t="shared" si="8"/>
        <v>15</v>
      </c>
      <c r="L55" s="26">
        <f>SUM(L13:L54)</f>
        <v>71</v>
      </c>
      <c r="M55" s="28">
        <f t="shared" si="8"/>
        <v>418</v>
      </c>
      <c r="N55" s="38">
        <f t="shared" si="8"/>
        <v>635</v>
      </c>
      <c r="O55" s="37">
        <f t="shared" si="8"/>
        <v>180</v>
      </c>
      <c r="P55" s="26">
        <f t="shared" si="8"/>
        <v>180</v>
      </c>
      <c r="Q55" s="26">
        <f t="shared" si="8"/>
        <v>0</v>
      </c>
      <c r="R55" s="26">
        <f t="shared" si="8"/>
        <v>34</v>
      </c>
      <c r="S55" s="26">
        <f t="shared" si="8"/>
        <v>34</v>
      </c>
      <c r="T55" s="26">
        <f t="shared" si="8"/>
        <v>0</v>
      </c>
      <c r="U55" s="26">
        <f t="shared" si="8"/>
        <v>111</v>
      </c>
      <c r="V55" s="26">
        <f t="shared" si="8"/>
        <v>111</v>
      </c>
      <c r="W55" s="92">
        <f t="shared" si="8"/>
        <v>0</v>
      </c>
      <c r="X55" s="26">
        <f t="shared" si="8"/>
        <v>325</v>
      </c>
      <c r="Y55" s="30">
        <f t="shared" si="8"/>
        <v>960</v>
      </c>
      <c r="Z55" s="4"/>
    </row>
    <row r="56" spans="1:26" ht="13.5" thickTop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93"/>
      <c r="N56" s="1"/>
      <c r="O56" s="1"/>
      <c r="P56" s="1"/>
      <c r="Q56" s="1"/>
      <c r="R56" s="1"/>
      <c r="S56" s="1"/>
      <c r="T56" s="1"/>
      <c r="U56" s="1"/>
      <c r="V56" s="1"/>
      <c r="W56" s="1"/>
      <c r="X56" s="86"/>
      <c r="Y56" s="86"/>
    </row>
    <row r="58" spans="1:26" x14ac:dyDescent="0.2">
      <c r="B58" s="17" t="s">
        <v>61</v>
      </c>
      <c r="C58" s="31">
        <f>E55+H55+K55</f>
        <v>17</v>
      </c>
    </row>
    <row r="59" spans="1:26" x14ac:dyDescent="0.2">
      <c r="B59">
        <v>1</v>
      </c>
      <c r="C59" s="63" t="s">
        <v>63</v>
      </c>
    </row>
    <row r="60" spans="1:26" x14ac:dyDescent="0.2">
      <c r="B60">
        <v>2</v>
      </c>
      <c r="C60" s="63" t="s">
        <v>88</v>
      </c>
    </row>
    <row r="61" spans="1:26" x14ac:dyDescent="0.2">
      <c r="B61">
        <v>3</v>
      </c>
      <c r="C61" s="63" t="s">
        <v>71</v>
      </c>
    </row>
    <row r="62" spans="1:26" x14ac:dyDescent="0.2">
      <c r="B62">
        <v>4</v>
      </c>
      <c r="C62" s="63" t="s">
        <v>72</v>
      </c>
    </row>
    <row r="63" spans="1:26" x14ac:dyDescent="0.2">
      <c r="B63">
        <v>5</v>
      </c>
      <c r="C63" s="63" t="s">
        <v>73</v>
      </c>
    </row>
    <row r="64" spans="1:26" x14ac:dyDescent="0.2">
      <c r="B64">
        <v>6</v>
      </c>
      <c r="C64" s="63" t="s">
        <v>74</v>
      </c>
    </row>
    <row r="65" spans="2:11" x14ac:dyDescent="0.2">
      <c r="B65">
        <v>7</v>
      </c>
      <c r="C65" s="63" t="s">
        <v>64</v>
      </c>
    </row>
    <row r="66" spans="2:11" x14ac:dyDescent="0.2">
      <c r="B66">
        <v>8</v>
      </c>
      <c r="C66" s="63" t="s">
        <v>75</v>
      </c>
    </row>
    <row r="67" spans="2:11" x14ac:dyDescent="0.2">
      <c r="B67">
        <v>9</v>
      </c>
      <c r="C67" s="63" t="s">
        <v>76</v>
      </c>
    </row>
    <row r="68" spans="2:11" x14ac:dyDescent="0.2">
      <c r="B68">
        <v>10</v>
      </c>
      <c r="C68" s="63" t="s">
        <v>77</v>
      </c>
    </row>
    <row r="69" spans="2:11" x14ac:dyDescent="0.2">
      <c r="B69">
        <v>11</v>
      </c>
      <c r="C69" s="63" t="s">
        <v>78</v>
      </c>
    </row>
    <row r="70" spans="2:11" x14ac:dyDescent="0.2">
      <c r="B70">
        <v>12</v>
      </c>
      <c r="C70" s="63" t="s">
        <v>79</v>
      </c>
    </row>
    <row r="71" spans="2:11" x14ac:dyDescent="0.2">
      <c r="B71">
        <v>13</v>
      </c>
      <c r="C71" s="63" t="s">
        <v>80</v>
      </c>
    </row>
    <row r="72" spans="2:11" x14ac:dyDescent="0.2">
      <c r="B72">
        <v>14</v>
      </c>
      <c r="C72" s="63" t="s">
        <v>81</v>
      </c>
    </row>
    <row r="73" spans="2:11" x14ac:dyDescent="0.2">
      <c r="B73">
        <v>15</v>
      </c>
      <c r="C73" s="63" t="s">
        <v>82</v>
      </c>
    </row>
    <row r="74" spans="2:11" x14ac:dyDescent="0.2">
      <c r="B74">
        <v>16</v>
      </c>
      <c r="C74" s="63" t="s">
        <v>83</v>
      </c>
    </row>
    <row r="75" spans="2:11" x14ac:dyDescent="0.2">
      <c r="B75">
        <v>17</v>
      </c>
      <c r="C75" s="63" t="s">
        <v>84</v>
      </c>
    </row>
    <row r="76" spans="2:11" x14ac:dyDescent="0.2">
      <c r="C76" s="1"/>
    </row>
    <row r="77" spans="2:11" x14ac:dyDescent="0.2">
      <c r="C77" s="1"/>
    </row>
    <row r="78" spans="2:11" x14ac:dyDescent="0.2">
      <c r="C78" s="1"/>
    </row>
    <row r="80" spans="2:11" x14ac:dyDescent="0.2">
      <c r="B80" t="s">
        <v>65</v>
      </c>
      <c r="C80">
        <f>C55+F55+I55</f>
        <v>163</v>
      </c>
      <c r="J80" t="s">
        <v>66</v>
      </c>
      <c r="K80">
        <f>L55+M55</f>
        <v>489</v>
      </c>
    </row>
    <row r="81" spans="3:3" x14ac:dyDescent="0.2">
      <c r="C81">
        <f>D55+G55+J55</f>
        <v>146</v>
      </c>
    </row>
    <row r="82" spans="3:3" x14ac:dyDescent="0.2">
      <c r="C82">
        <f>C80-C81</f>
        <v>17</v>
      </c>
    </row>
  </sheetData>
  <mergeCells count="23">
    <mergeCell ref="B7:X7"/>
    <mergeCell ref="A9:A12"/>
    <mergeCell ref="B9:B12"/>
    <mergeCell ref="C9:N9"/>
    <mergeCell ref="O9:X9"/>
    <mergeCell ref="R10:W10"/>
    <mergeCell ref="X10:X12"/>
    <mergeCell ref="C11:E11"/>
    <mergeCell ref="F11:H11"/>
    <mergeCell ref="I11:K11"/>
    <mergeCell ref="R11:T11"/>
    <mergeCell ref="U11:W11"/>
    <mergeCell ref="Y9:Y12"/>
    <mergeCell ref="C10:K10"/>
    <mergeCell ref="L10:M11"/>
    <mergeCell ref="N10:N12"/>
    <mergeCell ref="O10:Q11"/>
    <mergeCell ref="B6:X6"/>
    <mergeCell ref="A1:Y1"/>
    <mergeCell ref="A2:Y2"/>
    <mergeCell ref="A3:Y3"/>
    <mergeCell ref="A4:X4"/>
    <mergeCell ref="A5:X5"/>
  </mergeCells>
  <printOptions verticalCentered="1"/>
  <pageMargins left="0" right="0.31496062992125984" top="0.74803149606299213" bottom="0.74803149606299213" header="0.31496062992125984" footer="0.31496062992125984"/>
  <pageSetup paperSize="5" scale="65" fitToHeight="0" orientation="landscape" horizontalDpi="300" verticalDpi="300" r:id="rId1"/>
  <headerFooter alignWithMargins="0"/>
  <colBreaks count="1" manualBreakCount="1">
    <brk id="25" max="25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1"/>
  <sheetViews>
    <sheetView topLeftCell="A51" zoomScale="90" zoomScaleNormal="90" zoomScaleSheetLayoutView="90" workbookViewId="0">
      <selection activeCell="L49" sqref="L49"/>
    </sheetView>
  </sheetViews>
  <sheetFormatPr defaultRowHeight="12.75" x14ac:dyDescent="0.2"/>
  <cols>
    <col min="1" max="1" width="5.42578125" customWidth="1"/>
    <col min="2" max="2" width="26.42578125" customWidth="1"/>
    <col min="3" max="3" width="9.140625" customWidth="1"/>
    <col min="4" max="4" width="8.28515625" customWidth="1"/>
    <col min="5" max="5" width="9.140625" customWidth="1"/>
    <col min="6" max="6" width="9.7109375" customWidth="1"/>
    <col min="7" max="7" width="8.140625" customWidth="1"/>
    <col min="8" max="8" width="9.28515625" customWidth="1"/>
    <col min="9" max="9" width="9.5703125" customWidth="1"/>
    <col min="10" max="10" width="8.28515625" customWidth="1"/>
    <col min="11" max="11" width="10.28515625" customWidth="1"/>
    <col min="12" max="12" width="6.85546875" customWidth="1"/>
    <col min="13" max="13" width="6.5703125" style="13" customWidth="1"/>
    <col min="14" max="14" width="9.5703125" customWidth="1"/>
    <col min="15" max="15" width="10.28515625" customWidth="1"/>
    <col min="16" max="16" width="9" customWidth="1"/>
    <col min="17" max="17" width="9.42578125" customWidth="1"/>
    <col min="18" max="18" width="9.7109375" customWidth="1"/>
    <col min="19" max="19" width="8.5703125" customWidth="1"/>
    <col min="20" max="20" width="9.28515625" customWidth="1"/>
    <col min="21" max="21" width="9.85546875" customWidth="1"/>
    <col min="22" max="22" width="8.5703125" customWidth="1"/>
    <col min="23" max="23" width="9.5703125" customWidth="1"/>
    <col min="24" max="24" width="8.7109375" style="75" customWidth="1"/>
    <col min="25" max="25" width="15.42578125" style="75" customWidth="1"/>
    <col min="26" max="26" width="21.140625" style="3" customWidth="1"/>
    <col min="27" max="27" width="1.7109375" customWidth="1"/>
  </cols>
  <sheetData>
    <row r="1" spans="1:29" ht="15.75" customHeight="1" x14ac:dyDescent="0.2">
      <c r="A1" s="133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71"/>
    </row>
    <row r="2" spans="1:29" ht="15.75" customHeight="1" x14ac:dyDescent="0.2">
      <c r="A2" s="134" t="s">
        <v>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71"/>
    </row>
    <row r="3" spans="1:29" ht="15.75" customHeight="1" x14ac:dyDescent="0.2">
      <c r="A3" s="133" t="s">
        <v>87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71"/>
    </row>
    <row r="4" spans="1:29" ht="15.7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71"/>
      <c r="Z4" s="71"/>
    </row>
    <row r="5" spans="1:29" ht="10.5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71"/>
      <c r="Z5"/>
    </row>
    <row r="6" spans="1:29" hidden="1" x14ac:dyDescent="0.2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2"/>
      <c r="Z6"/>
    </row>
    <row r="7" spans="1:29" hidden="1" x14ac:dyDescent="0.2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"/>
      <c r="Z7"/>
    </row>
    <row r="8" spans="1:29" hidden="1" x14ac:dyDescent="0.2">
      <c r="Y8" s="3"/>
      <c r="Z8"/>
    </row>
    <row r="9" spans="1:29" s="1" customFormat="1" ht="39.950000000000003" customHeight="1" x14ac:dyDescent="0.2">
      <c r="A9" s="119" t="s">
        <v>43</v>
      </c>
      <c r="B9" s="122" t="s">
        <v>45</v>
      </c>
      <c r="C9" s="114" t="s">
        <v>54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  <c r="O9" s="125" t="s">
        <v>57</v>
      </c>
      <c r="P9" s="125"/>
      <c r="Q9" s="125"/>
      <c r="R9" s="125"/>
      <c r="S9" s="125"/>
      <c r="T9" s="125"/>
      <c r="U9" s="125"/>
      <c r="V9" s="125"/>
      <c r="W9" s="125"/>
      <c r="X9" s="126"/>
      <c r="Y9" s="111" t="s">
        <v>56</v>
      </c>
      <c r="Z9" s="4"/>
    </row>
    <row r="10" spans="1:29" s="1" customFormat="1" ht="39.950000000000003" customHeight="1" x14ac:dyDescent="0.2">
      <c r="A10" s="120"/>
      <c r="B10" s="123"/>
      <c r="C10" s="114" t="s">
        <v>46</v>
      </c>
      <c r="D10" s="115"/>
      <c r="E10" s="115"/>
      <c r="F10" s="115"/>
      <c r="G10" s="115"/>
      <c r="H10" s="115"/>
      <c r="I10" s="115"/>
      <c r="J10" s="115"/>
      <c r="K10" s="115"/>
      <c r="L10" s="127" t="s">
        <v>50</v>
      </c>
      <c r="M10" s="128"/>
      <c r="N10" s="122" t="s">
        <v>2</v>
      </c>
      <c r="O10" s="131" t="s">
        <v>69</v>
      </c>
      <c r="P10" s="131"/>
      <c r="Q10" s="131"/>
      <c r="R10" s="110" t="s">
        <v>55</v>
      </c>
      <c r="S10" s="110"/>
      <c r="T10" s="110"/>
      <c r="U10" s="110"/>
      <c r="V10" s="110"/>
      <c r="W10" s="110"/>
      <c r="X10" s="111" t="s">
        <v>2</v>
      </c>
      <c r="Y10" s="112"/>
      <c r="Z10" s="4"/>
    </row>
    <row r="11" spans="1:29" s="1" customFormat="1" ht="39.950000000000003" customHeight="1" x14ac:dyDescent="0.2">
      <c r="A11" s="120"/>
      <c r="B11" s="123"/>
      <c r="C11" s="114" t="s">
        <v>47</v>
      </c>
      <c r="D11" s="115"/>
      <c r="E11" s="116"/>
      <c r="F11" s="114" t="s">
        <v>48</v>
      </c>
      <c r="G11" s="115"/>
      <c r="H11" s="116"/>
      <c r="I11" s="114" t="s">
        <v>49</v>
      </c>
      <c r="J11" s="115"/>
      <c r="K11" s="115"/>
      <c r="L11" s="129"/>
      <c r="M11" s="130"/>
      <c r="N11" s="123"/>
      <c r="O11" s="132"/>
      <c r="P11" s="132"/>
      <c r="Q11" s="132"/>
      <c r="R11" s="110" t="s">
        <v>58</v>
      </c>
      <c r="S11" s="110"/>
      <c r="T11" s="110"/>
      <c r="U11" s="117" t="s">
        <v>70</v>
      </c>
      <c r="V11" s="117"/>
      <c r="W11" s="117"/>
      <c r="X11" s="112"/>
      <c r="Y11" s="112"/>
      <c r="Z11" s="4"/>
    </row>
    <row r="12" spans="1:29" s="1" customFormat="1" ht="39.950000000000003" customHeight="1" x14ac:dyDescent="0.2">
      <c r="A12" s="121"/>
      <c r="B12" s="124"/>
      <c r="C12" s="74" t="s">
        <v>51</v>
      </c>
      <c r="D12" s="5" t="s">
        <v>52</v>
      </c>
      <c r="E12" s="5" t="s">
        <v>53</v>
      </c>
      <c r="F12" s="72" t="s">
        <v>51</v>
      </c>
      <c r="G12" s="5" t="s">
        <v>52</v>
      </c>
      <c r="H12" s="5" t="s">
        <v>53</v>
      </c>
      <c r="I12" s="72" t="s">
        <v>51</v>
      </c>
      <c r="J12" s="5" t="s">
        <v>52</v>
      </c>
      <c r="K12" s="5" t="s">
        <v>53</v>
      </c>
      <c r="L12" s="73" t="s">
        <v>62</v>
      </c>
      <c r="M12" s="14" t="s">
        <v>54</v>
      </c>
      <c r="N12" s="124"/>
      <c r="O12" s="62" t="s">
        <v>86</v>
      </c>
      <c r="P12" s="73" t="s">
        <v>52</v>
      </c>
      <c r="Q12" s="5" t="s">
        <v>53</v>
      </c>
      <c r="R12" s="73" t="s">
        <v>86</v>
      </c>
      <c r="S12" s="73" t="s">
        <v>52</v>
      </c>
      <c r="T12" s="5" t="s">
        <v>53</v>
      </c>
      <c r="U12" s="73" t="s">
        <v>86</v>
      </c>
      <c r="V12" s="73" t="s">
        <v>52</v>
      </c>
      <c r="W12" s="5" t="s">
        <v>53</v>
      </c>
      <c r="X12" s="113"/>
      <c r="Y12" s="113"/>
      <c r="Z12" s="4"/>
    </row>
    <row r="13" spans="1:29" s="1" customFormat="1" ht="33.950000000000003" customHeight="1" x14ac:dyDescent="0.2">
      <c r="A13" s="20">
        <v>1</v>
      </c>
      <c r="B13" s="18" t="s">
        <v>44</v>
      </c>
      <c r="C13" s="9">
        <v>1</v>
      </c>
      <c r="D13" s="9">
        <v>0</v>
      </c>
      <c r="E13" s="74">
        <v>1</v>
      </c>
      <c r="F13" s="9">
        <v>1</v>
      </c>
      <c r="G13" s="9">
        <v>1</v>
      </c>
      <c r="H13" s="74">
        <f>F13-G13</f>
        <v>0</v>
      </c>
      <c r="I13" s="9">
        <v>3</v>
      </c>
      <c r="J13" s="9">
        <v>3</v>
      </c>
      <c r="K13" s="74">
        <f>I13-J13</f>
        <v>0</v>
      </c>
      <c r="L13" s="78">
        <v>4</v>
      </c>
      <c r="M13" s="76">
        <v>29</v>
      </c>
      <c r="N13" s="9">
        <f>D13+G13+J13+L13+M13</f>
        <v>37</v>
      </c>
      <c r="O13" s="35">
        <v>28</v>
      </c>
      <c r="P13" s="8">
        <v>28</v>
      </c>
      <c r="Q13" s="72">
        <v>0</v>
      </c>
      <c r="R13" s="8">
        <v>0</v>
      </c>
      <c r="S13" s="8">
        <v>0</v>
      </c>
      <c r="T13" s="72">
        <v>0</v>
      </c>
      <c r="U13" s="8">
        <v>0</v>
      </c>
      <c r="V13" s="8">
        <v>0</v>
      </c>
      <c r="W13" s="16">
        <f>U13-V13</f>
        <v>0</v>
      </c>
      <c r="X13" s="11">
        <f>P13+S13+V13</f>
        <v>28</v>
      </c>
      <c r="Y13" s="12">
        <f>N13+X13</f>
        <v>65</v>
      </c>
      <c r="Z13" s="4"/>
      <c r="AC13" s="40">
        <f>Y13+Y14+Y15+Y16+Y17</f>
        <v>141</v>
      </c>
    </row>
    <row r="14" spans="1:29" s="1" customFormat="1" ht="33.950000000000003" customHeight="1" x14ac:dyDescent="0.2">
      <c r="A14" s="20">
        <v>2</v>
      </c>
      <c r="B14" s="18" t="s">
        <v>4</v>
      </c>
      <c r="C14" s="6"/>
      <c r="D14" s="6"/>
      <c r="E14" s="6"/>
      <c r="F14" s="9">
        <v>1</v>
      </c>
      <c r="G14" s="9">
        <v>1</v>
      </c>
      <c r="H14" s="74">
        <f t="shared" ref="H14:H54" si="0">F14-G14</f>
        <v>0</v>
      </c>
      <c r="I14" s="9">
        <v>3</v>
      </c>
      <c r="J14" s="9">
        <v>3</v>
      </c>
      <c r="K14" s="74">
        <f t="shared" ref="K14:K54" si="1">I14-J14</f>
        <v>0</v>
      </c>
      <c r="L14" s="74">
        <v>0</v>
      </c>
      <c r="M14" s="76">
        <v>10</v>
      </c>
      <c r="N14" s="9">
        <f t="shared" ref="N14:N54" si="2">D14+G14+J14+L14+M14</f>
        <v>14</v>
      </c>
      <c r="O14" s="35">
        <v>3</v>
      </c>
      <c r="P14" s="8">
        <v>3</v>
      </c>
      <c r="Q14" s="72">
        <f t="shared" ref="Q14:Q54" si="3">O14-P14</f>
        <v>0</v>
      </c>
      <c r="R14" s="8">
        <v>8</v>
      </c>
      <c r="S14" s="8">
        <v>8</v>
      </c>
      <c r="T14" s="72">
        <f t="shared" ref="T14:T54" si="4">R14-S14</f>
        <v>0</v>
      </c>
      <c r="U14" s="8">
        <v>0</v>
      </c>
      <c r="V14" s="8">
        <v>0</v>
      </c>
      <c r="W14" s="16">
        <f t="shared" ref="W14:W54" si="5">U14-V14</f>
        <v>0</v>
      </c>
      <c r="X14" s="11">
        <f t="shared" ref="X14:X54" si="6">P14+S14+V14</f>
        <v>11</v>
      </c>
      <c r="Y14" s="12">
        <f t="shared" ref="Y14:Y54" si="7">N14+X14</f>
        <v>25</v>
      </c>
      <c r="Z14" s="4"/>
    </row>
    <row r="15" spans="1:29" s="1" customFormat="1" ht="33.950000000000003" customHeight="1" x14ac:dyDescent="0.2">
      <c r="A15" s="20">
        <v>3</v>
      </c>
      <c r="B15" s="18" t="s">
        <v>0</v>
      </c>
      <c r="C15" s="6"/>
      <c r="D15" s="6"/>
      <c r="E15" s="6"/>
      <c r="F15" s="9">
        <v>1</v>
      </c>
      <c r="G15" s="9">
        <v>1</v>
      </c>
      <c r="H15" s="74">
        <f t="shared" si="0"/>
        <v>0</v>
      </c>
      <c r="I15" s="9">
        <v>0</v>
      </c>
      <c r="J15" s="9">
        <v>0</v>
      </c>
      <c r="K15" s="74">
        <f t="shared" si="1"/>
        <v>0</v>
      </c>
      <c r="L15" s="74">
        <v>3</v>
      </c>
      <c r="M15" s="76">
        <v>5</v>
      </c>
      <c r="N15" s="9">
        <f t="shared" si="2"/>
        <v>9</v>
      </c>
      <c r="O15" s="35">
        <v>11</v>
      </c>
      <c r="P15" s="8">
        <v>11</v>
      </c>
      <c r="Q15" s="72">
        <f t="shared" si="3"/>
        <v>0</v>
      </c>
      <c r="R15" s="8">
        <v>1</v>
      </c>
      <c r="S15" s="8">
        <v>1</v>
      </c>
      <c r="T15" s="72">
        <f t="shared" si="4"/>
        <v>0</v>
      </c>
      <c r="U15" s="8">
        <v>0</v>
      </c>
      <c r="V15" s="8">
        <v>0</v>
      </c>
      <c r="W15" s="16">
        <f t="shared" si="5"/>
        <v>0</v>
      </c>
      <c r="X15" s="11">
        <f t="shared" si="6"/>
        <v>12</v>
      </c>
      <c r="Y15" s="12">
        <f t="shared" si="7"/>
        <v>21</v>
      </c>
      <c r="Z15" s="4"/>
    </row>
    <row r="16" spans="1:29" s="1" customFormat="1" ht="33.950000000000003" customHeight="1" x14ac:dyDescent="0.2">
      <c r="A16" s="20">
        <v>4</v>
      </c>
      <c r="B16" s="18" t="s">
        <v>32</v>
      </c>
      <c r="C16" s="6"/>
      <c r="D16" s="6"/>
      <c r="E16" s="6"/>
      <c r="F16" s="9">
        <v>1</v>
      </c>
      <c r="G16" s="9">
        <v>1</v>
      </c>
      <c r="H16" s="74">
        <f t="shared" si="0"/>
        <v>0</v>
      </c>
      <c r="I16" s="9">
        <v>0</v>
      </c>
      <c r="J16" s="9">
        <v>0</v>
      </c>
      <c r="K16" s="74">
        <f t="shared" si="1"/>
        <v>0</v>
      </c>
      <c r="L16" s="74">
        <v>0</v>
      </c>
      <c r="M16" s="76">
        <v>8</v>
      </c>
      <c r="N16" s="9">
        <f t="shared" si="2"/>
        <v>9</v>
      </c>
      <c r="O16" s="35">
        <v>6</v>
      </c>
      <c r="P16" s="8">
        <v>6</v>
      </c>
      <c r="Q16" s="72">
        <f t="shared" si="3"/>
        <v>0</v>
      </c>
      <c r="R16" s="8">
        <v>0</v>
      </c>
      <c r="S16" s="8">
        <v>0</v>
      </c>
      <c r="T16" s="72">
        <f t="shared" si="4"/>
        <v>0</v>
      </c>
      <c r="U16" s="8">
        <v>0</v>
      </c>
      <c r="V16" s="8">
        <v>0</v>
      </c>
      <c r="W16" s="16">
        <f t="shared" si="5"/>
        <v>0</v>
      </c>
      <c r="X16" s="11">
        <f t="shared" si="6"/>
        <v>6</v>
      </c>
      <c r="Y16" s="12">
        <f t="shared" si="7"/>
        <v>15</v>
      </c>
      <c r="Z16" s="4"/>
    </row>
    <row r="17" spans="1:29" s="1" customFormat="1" ht="33.950000000000003" customHeight="1" x14ac:dyDescent="0.2">
      <c r="A17" s="20">
        <v>5</v>
      </c>
      <c r="B17" s="18" t="s">
        <v>3</v>
      </c>
      <c r="C17" s="6"/>
      <c r="D17" s="6"/>
      <c r="E17" s="6"/>
      <c r="F17" s="9">
        <v>1</v>
      </c>
      <c r="G17" s="9">
        <v>1</v>
      </c>
      <c r="H17" s="74">
        <f t="shared" si="0"/>
        <v>0</v>
      </c>
      <c r="I17" s="9">
        <v>3</v>
      </c>
      <c r="J17" s="9">
        <v>2</v>
      </c>
      <c r="K17" s="74">
        <f t="shared" si="1"/>
        <v>1</v>
      </c>
      <c r="L17" s="74">
        <v>0</v>
      </c>
      <c r="M17" s="76">
        <v>11</v>
      </c>
      <c r="N17" s="9">
        <f t="shared" si="2"/>
        <v>14</v>
      </c>
      <c r="O17" s="35">
        <v>1</v>
      </c>
      <c r="P17" s="8">
        <v>1</v>
      </c>
      <c r="Q17" s="72">
        <f t="shared" si="3"/>
        <v>0</v>
      </c>
      <c r="R17" s="8">
        <v>0</v>
      </c>
      <c r="S17" s="8">
        <v>0</v>
      </c>
      <c r="T17" s="72">
        <f t="shared" si="4"/>
        <v>0</v>
      </c>
      <c r="U17" s="8">
        <v>0</v>
      </c>
      <c r="V17" s="8">
        <v>0</v>
      </c>
      <c r="W17" s="16">
        <f t="shared" si="5"/>
        <v>0</v>
      </c>
      <c r="X17" s="11">
        <f t="shared" si="6"/>
        <v>1</v>
      </c>
      <c r="Y17" s="12">
        <f t="shared" si="7"/>
        <v>15</v>
      </c>
      <c r="Z17" s="4"/>
    </row>
    <row r="18" spans="1:29" s="1" customFormat="1" ht="33.950000000000003" customHeight="1" x14ac:dyDescent="0.2">
      <c r="A18" s="20">
        <v>6</v>
      </c>
      <c r="B18" s="18" t="s">
        <v>6</v>
      </c>
      <c r="C18" s="6"/>
      <c r="D18" s="6"/>
      <c r="E18" s="6"/>
      <c r="F18" s="9">
        <v>1</v>
      </c>
      <c r="G18" s="9">
        <v>1</v>
      </c>
      <c r="H18" s="74">
        <f t="shared" si="0"/>
        <v>0</v>
      </c>
      <c r="I18" s="9">
        <v>3</v>
      </c>
      <c r="J18" s="9">
        <v>3</v>
      </c>
      <c r="K18" s="74">
        <f t="shared" si="1"/>
        <v>0</v>
      </c>
      <c r="L18" s="74">
        <v>1</v>
      </c>
      <c r="M18" s="76">
        <v>14</v>
      </c>
      <c r="N18" s="9">
        <f t="shared" si="2"/>
        <v>19</v>
      </c>
      <c r="O18" s="35">
        <v>14</v>
      </c>
      <c r="P18" s="8">
        <v>14</v>
      </c>
      <c r="Q18" s="72">
        <f t="shared" si="3"/>
        <v>0</v>
      </c>
      <c r="R18" s="8">
        <v>2</v>
      </c>
      <c r="S18" s="8">
        <v>2</v>
      </c>
      <c r="T18" s="72">
        <f t="shared" si="4"/>
        <v>0</v>
      </c>
      <c r="U18" s="8">
        <v>2</v>
      </c>
      <c r="V18" s="8">
        <v>2</v>
      </c>
      <c r="W18" s="16">
        <f t="shared" si="5"/>
        <v>0</v>
      </c>
      <c r="X18" s="11">
        <f t="shared" si="6"/>
        <v>18</v>
      </c>
      <c r="Y18" s="12">
        <f t="shared" si="7"/>
        <v>37</v>
      </c>
      <c r="Z18" s="4"/>
    </row>
    <row r="19" spans="1:29" s="54" customFormat="1" ht="33.950000000000003" customHeight="1" x14ac:dyDescent="0.2">
      <c r="A19" s="20">
        <v>7</v>
      </c>
      <c r="B19" s="18" t="s">
        <v>7</v>
      </c>
      <c r="C19" s="6"/>
      <c r="D19" s="6"/>
      <c r="E19" s="6"/>
      <c r="F19" s="9">
        <v>1</v>
      </c>
      <c r="G19" s="9">
        <v>1</v>
      </c>
      <c r="H19" s="74">
        <f t="shared" si="0"/>
        <v>0</v>
      </c>
      <c r="I19" s="9">
        <v>3</v>
      </c>
      <c r="J19" s="9">
        <v>2</v>
      </c>
      <c r="K19" s="74">
        <f t="shared" si="1"/>
        <v>1</v>
      </c>
      <c r="L19" s="74">
        <v>0</v>
      </c>
      <c r="M19" s="76">
        <v>14</v>
      </c>
      <c r="N19" s="9">
        <f t="shared" si="2"/>
        <v>17</v>
      </c>
      <c r="O19" s="35">
        <v>14</v>
      </c>
      <c r="P19" s="8">
        <v>14</v>
      </c>
      <c r="Q19" s="72">
        <f t="shared" si="3"/>
        <v>0</v>
      </c>
      <c r="R19" s="8">
        <v>0</v>
      </c>
      <c r="S19" s="8">
        <v>0</v>
      </c>
      <c r="T19" s="72">
        <f t="shared" si="4"/>
        <v>0</v>
      </c>
      <c r="U19" s="8">
        <v>2</v>
      </c>
      <c r="V19" s="8">
        <v>2</v>
      </c>
      <c r="W19" s="16">
        <f t="shared" si="5"/>
        <v>0</v>
      </c>
      <c r="X19" s="11">
        <f t="shared" si="6"/>
        <v>16</v>
      </c>
      <c r="Y19" s="12">
        <f t="shared" si="7"/>
        <v>33</v>
      </c>
      <c r="Z19" s="53"/>
    </row>
    <row r="20" spans="1:29" s="1" customFormat="1" ht="33.950000000000003" customHeight="1" x14ac:dyDescent="0.2">
      <c r="A20" s="20">
        <v>8</v>
      </c>
      <c r="B20" s="18" t="s">
        <v>8</v>
      </c>
      <c r="C20" s="6"/>
      <c r="D20" s="6"/>
      <c r="E20" s="6"/>
      <c r="F20" s="9">
        <v>1</v>
      </c>
      <c r="G20" s="9">
        <v>1</v>
      </c>
      <c r="H20" s="74">
        <f t="shared" si="0"/>
        <v>0</v>
      </c>
      <c r="I20" s="9">
        <v>3</v>
      </c>
      <c r="J20" s="9">
        <v>3</v>
      </c>
      <c r="K20" s="74">
        <f t="shared" si="1"/>
        <v>0</v>
      </c>
      <c r="L20" s="74">
        <v>1</v>
      </c>
      <c r="M20" s="76">
        <v>14</v>
      </c>
      <c r="N20" s="9">
        <f t="shared" si="2"/>
        <v>19</v>
      </c>
      <c r="O20" s="35">
        <v>13</v>
      </c>
      <c r="P20" s="8">
        <v>13</v>
      </c>
      <c r="Q20" s="72">
        <f t="shared" si="3"/>
        <v>0</v>
      </c>
      <c r="R20" s="8">
        <v>1</v>
      </c>
      <c r="S20" s="8">
        <v>1</v>
      </c>
      <c r="T20" s="72">
        <f t="shared" si="4"/>
        <v>0</v>
      </c>
      <c r="U20" s="8">
        <v>0</v>
      </c>
      <c r="V20" s="8">
        <v>0</v>
      </c>
      <c r="W20" s="16">
        <f t="shared" si="5"/>
        <v>0</v>
      </c>
      <c r="X20" s="11">
        <f t="shared" si="6"/>
        <v>14</v>
      </c>
      <c r="Y20" s="12">
        <f t="shared" si="7"/>
        <v>33</v>
      </c>
      <c r="Z20" s="4"/>
      <c r="AC20" s="40">
        <f>Y18+Y19+Y20+Y21</f>
        <v>138</v>
      </c>
    </row>
    <row r="21" spans="1:29" s="1" customFormat="1" ht="33.950000000000003" customHeight="1" x14ac:dyDescent="0.2">
      <c r="A21" s="20">
        <v>9</v>
      </c>
      <c r="B21" s="18" t="s">
        <v>5</v>
      </c>
      <c r="C21" s="6"/>
      <c r="D21" s="6"/>
      <c r="E21" s="6"/>
      <c r="F21" s="9">
        <v>1</v>
      </c>
      <c r="G21" s="9">
        <v>1</v>
      </c>
      <c r="H21" s="74">
        <f t="shared" si="0"/>
        <v>0</v>
      </c>
      <c r="I21" s="9">
        <v>3</v>
      </c>
      <c r="J21" s="9">
        <v>2</v>
      </c>
      <c r="K21" s="74">
        <f t="shared" si="1"/>
        <v>1</v>
      </c>
      <c r="L21" s="74">
        <v>1</v>
      </c>
      <c r="M21" s="76">
        <v>16</v>
      </c>
      <c r="N21" s="9">
        <f t="shared" si="2"/>
        <v>20</v>
      </c>
      <c r="O21" s="35">
        <v>9</v>
      </c>
      <c r="P21" s="8">
        <v>9</v>
      </c>
      <c r="Q21" s="72">
        <f t="shared" si="3"/>
        <v>0</v>
      </c>
      <c r="R21" s="8">
        <v>3</v>
      </c>
      <c r="S21" s="8">
        <v>3</v>
      </c>
      <c r="T21" s="72">
        <f t="shared" si="4"/>
        <v>0</v>
      </c>
      <c r="U21" s="8">
        <v>3</v>
      </c>
      <c r="V21" s="8">
        <v>3</v>
      </c>
      <c r="W21" s="16">
        <f t="shared" si="5"/>
        <v>0</v>
      </c>
      <c r="X21" s="11">
        <f t="shared" si="6"/>
        <v>15</v>
      </c>
      <c r="Y21" s="12">
        <f t="shared" si="7"/>
        <v>35</v>
      </c>
      <c r="Z21" s="4"/>
      <c r="AC21" s="40">
        <f>AC13+AC20</f>
        <v>279</v>
      </c>
    </row>
    <row r="22" spans="1:29" s="1" customFormat="1" ht="33.950000000000003" customHeight="1" x14ac:dyDescent="0.2">
      <c r="A22" s="20">
        <v>10</v>
      </c>
      <c r="B22" s="18" t="s">
        <v>9</v>
      </c>
      <c r="C22" s="6"/>
      <c r="D22" s="6"/>
      <c r="E22" s="6"/>
      <c r="F22" s="9">
        <v>1</v>
      </c>
      <c r="G22" s="9">
        <v>1</v>
      </c>
      <c r="H22" s="74">
        <f t="shared" si="0"/>
        <v>0</v>
      </c>
      <c r="I22" s="9">
        <v>3</v>
      </c>
      <c r="J22" s="9">
        <v>1</v>
      </c>
      <c r="K22" s="74">
        <f t="shared" si="1"/>
        <v>2</v>
      </c>
      <c r="L22" s="74">
        <v>1</v>
      </c>
      <c r="M22" s="76">
        <v>9</v>
      </c>
      <c r="N22" s="9">
        <f t="shared" si="2"/>
        <v>12</v>
      </c>
      <c r="O22" s="35">
        <v>3</v>
      </c>
      <c r="P22" s="8">
        <v>3</v>
      </c>
      <c r="Q22" s="72">
        <f t="shared" si="3"/>
        <v>0</v>
      </c>
      <c r="R22" s="8">
        <v>1</v>
      </c>
      <c r="S22" s="8">
        <v>1</v>
      </c>
      <c r="T22" s="72">
        <f t="shared" si="4"/>
        <v>0</v>
      </c>
      <c r="U22" s="8">
        <v>1</v>
      </c>
      <c r="V22" s="8">
        <v>1</v>
      </c>
      <c r="W22" s="16">
        <f t="shared" si="5"/>
        <v>0</v>
      </c>
      <c r="X22" s="11">
        <f t="shared" si="6"/>
        <v>5</v>
      </c>
      <c r="Y22" s="12">
        <f t="shared" si="7"/>
        <v>17</v>
      </c>
      <c r="Z22" s="4"/>
    </row>
    <row r="23" spans="1:29" s="1" customFormat="1" ht="33.950000000000003" customHeight="1" x14ac:dyDescent="0.2">
      <c r="A23" s="20">
        <v>11</v>
      </c>
      <c r="B23" s="18" t="s">
        <v>10</v>
      </c>
      <c r="C23" s="6"/>
      <c r="D23" s="6"/>
      <c r="E23" s="6"/>
      <c r="F23" s="9">
        <v>1</v>
      </c>
      <c r="G23" s="9">
        <v>1</v>
      </c>
      <c r="H23" s="74">
        <f t="shared" si="0"/>
        <v>0</v>
      </c>
      <c r="I23" s="9">
        <v>3</v>
      </c>
      <c r="J23" s="9">
        <v>3</v>
      </c>
      <c r="K23" s="74">
        <f t="shared" si="1"/>
        <v>0</v>
      </c>
      <c r="L23" s="74">
        <v>0</v>
      </c>
      <c r="M23" s="76">
        <v>12</v>
      </c>
      <c r="N23" s="9">
        <f t="shared" si="2"/>
        <v>16</v>
      </c>
      <c r="O23" s="35">
        <v>2</v>
      </c>
      <c r="P23" s="8">
        <v>2</v>
      </c>
      <c r="Q23" s="72">
        <f t="shared" si="3"/>
        <v>0</v>
      </c>
      <c r="R23" s="8">
        <v>3</v>
      </c>
      <c r="S23" s="8">
        <v>3</v>
      </c>
      <c r="T23" s="72">
        <f t="shared" si="4"/>
        <v>0</v>
      </c>
      <c r="U23" s="8">
        <v>2</v>
      </c>
      <c r="V23" s="8">
        <v>2</v>
      </c>
      <c r="W23" s="16">
        <f t="shared" si="5"/>
        <v>0</v>
      </c>
      <c r="X23" s="11">
        <f t="shared" si="6"/>
        <v>7</v>
      </c>
      <c r="Y23" s="12">
        <f t="shared" si="7"/>
        <v>23</v>
      </c>
      <c r="Z23" s="4"/>
    </row>
    <row r="24" spans="1:29" s="1" customFormat="1" ht="33.950000000000003" customHeight="1" x14ac:dyDescent="0.2">
      <c r="A24" s="20">
        <v>12</v>
      </c>
      <c r="B24" s="18" t="s">
        <v>11</v>
      </c>
      <c r="C24" s="6"/>
      <c r="D24" s="6"/>
      <c r="E24" s="6"/>
      <c r="F24" s="9">
        <v>1</v>
      </c>
      <c r="G24" s="9">
        <v>1</v>
      </c>
      <c r="H24" s="74">
        <f t="shared" si="0"/>
        <v>0</v>
      </c>
      <c r="I24" s="9">
        <v>3</v>
      </c>
      <c r="J24" s="9">
        <v>3</v>
      </c>
      <c r="K24" s="74">
        <f t="shared" si="1"/>
        <v>0</v>
      </c>
      <c r="L24" s="74">
        <v>0</v>
      </c>
      <c r="M24" s="76">
        <v>12</v>
      </c>
      <c r="N24" s="9">
        <f t="shared" si="2"/>
        <v>16</v>
      </c>
      <c r="O24" s="35">
        <v>4</v>
      </c>
      <c r="P24" s="8">
        <v>4</v>
      </c>
      <c r="Q24" s="72">
        <f t="shared" si="3"/>
        <v>0</v>
      </c>
      <c r="R24" s="8">
        <v>1</v>
      </c>
      <c r="S24" s="8">
        <v>1</v>
      </c>
      <c r="T24" s="72">
        <f t="shared" si="4"/>
        <v>0</v>
      </c>
      <c r="U24" s="8">
        <v>2</v>
      </c>
      <c r="V24" s="8">
        <v>2</v>
      </c>
      <c r="W24" s="16">
        <f t="shared" si="5"/>
        <v>0</v>
      </c>
      <c r="X24" s="11">
        <f t="shared" si="6"/>
        <v>7</v>
      </c>
      <c r="Y24" s="12">
        <f t="shared" si="7"/>
        <v>23</v>
      </c>
      <c r="Z24" s="4"/>
    </row>
    <row r="25" spans="1:29" s="1" customFormat="1" ht="33.950000000000003" customHeight="1" x14ac:dyDescent="0.2">
      <c r="A25" s="20">
        <v>13</v>
      </c>
      <c r="B25" s="18" t="s">
        <v>12</v>
      </c>
      <c r="C25" s="6"/>
      <c r="D25" s="6"/>
      <c r="E25" s="6"/>
      <c r="F25" s="9">
        <v>1</v>
      </c>
      <c r="G25" s="9">
        <v>1</v>
      </c>
      <c r="H25" s="74">
        <f t="shared" si="0"/>
        <v>0</v>
      </c>
      <c r="I25" s="9">
        <v>3</v>
      </c>
      <c r="J25" s="9">
        <v>3</v>
      </c>
      <c r="K25" s="74">
        <f t="shared" si="1"/>
        <v>0</v>
      </c>
      <c r="L25" s="74">
        <v>0</v>
      </c>
      <c r="M25" s="76">
        <v>19</v>
      </c>
      <c r="N25" s="9">
        <f t="shared" si="2"/>
        <v>23</v>
      </c>
      <c r="O25" s="35">
        <v>2</v>
      </c>
      <c r="P25" s="8">
        <v>2</v>
      </c>
      <c r="Q25" s="72">
        <f t="shared" si="3"/>
        <v>0</v>
      </c>
      <c r="R25" s="8">
        <v>1</v>
      </c>
      <c r="S25" s="8">
        <v>1</v>
      </c>
      <c r="T25" s="72">
        <f t="shared" si="4"/>
        <v>0</v>
      </c>
      <c r="U25" s="8">
        <v>5</v>
      </c>
      <c r="V25" s="8">
        <v>5</v>
      </c>
      <c r="W25" s="16">
        <f t="shared" si="5"/>
        <v>0</v>
      </c>
      <c r="X25" s="11">
        <f t="shared" si="6"/>
        <v>8</v>
      </c>
      <c r="Y25" s="12">
        <f t="shared" si="7"/>
        <v>31</v>
      </c>
      <c r="Z25" s="4"/>
    </row>
    <row r="26" spans="1:29" s="1" customFormat="1" ht="33.950000000000003" customHeight="1" x14ac:dyDescent="0.2">
      <c r="A26" s="20">
        <v>14</v>
      </c>
      <c r="B26" s="18" t="s">
        <v>13</v>
      </c>
      <c r="C26" s="6"/>
      <c r="D26" s="6"/>
      <c r="E26" s="6"/>
      <c r="F26" s="9">
        <v>1</v>
      </c>
      <c r="G26" s="9">
        <v>1</v>
      </c>
      <c r="H26" s="74">
        <f t="shared" si="0"/>
        <v>0</v>
      </c>
      <c r="I26" s="9">
        <v>3</v>
      </c>
      <c r="J26" s="9">
        <v>2</v>
      </c>
      <c r="K26" s="74">
        <f t="shared" si="1"/>
        <v>1</v>
      </c>
      <c r="L26" s="74">
        <v>2</v>
      </c>
      <c r="M26" s="76">
        <v>9</v>
      </c>
      <c r="N26" s="9">
        <f t="shared" si="2"/>
        <v>14</v>
      </c>
      <c r="O26" s="35">
        <v>2</v>
      </c>
      <c r="P26" s="8">
        <v>2</v>
      </c>
      <c r="Q26" s="72">
        <f t="shared" si="3"/>
        <v>0</v>
      </c>
      <c r="R26" s="8">
        <v>2</v>
      </c>
      <c r="S26" s="8">
        <v>2</v>
      </c>
      <c r="T26" s="72">
        <f t="shared" si="4"/>
        <v>0</v>
      </c>
      <c r="U26" s="8">
        <v>3</v>
      </c>
      <c r="V26" s="8">
        <v>3</v>
      </c>
      <c r="W26" s="16">
        <f t="shared" si="5"/>
        <v>0</v>
      </c>
      <c r="X26" s="11">
        <f t="shared" si="6"/>
        <v>7</v>
      </c>
      <c r="Y26" s="12">
        <f t="shared" si="7"/>
        <v>21</v>
      </c>
      <c r="Z26" s="4"/>
    </row>
    <row r="27" spans="1:29" s="1" customFormat="1" ht="33.950000000000003" customHeight="1" x14ac:dyDescent="0.2">
      <c r="A27" s="20">
        <v>15</v>
      </c>
      <c r="B27" s="18" t="s">
        <v>14</v>
      </c>
      <c r="C27" s="6"/>
      <c r="D27" s="6"/>
      <c r="E27" s="6"/>
      <c r="F27" s="9">
        <v>1</v>
      </c>
      <c r="G27" s="9">
        <v>1</v>
      </c>
      <c r="H27" s="74">
        <f t="shared" si="0"/>
        <v>0</v>
      </c>
      <c r="I27" s="9">
        <v>3</v>
      </c>
      <c r="J27" s="9">
        <v>3</v>
      </c>
      <c r="K27" s="74">
        <f t="shared" si="1"/>
        <v>0</v>
      </c>
      <c r="L27" s="74">
        <v>2</v>
      </c>
      <c r="M27" s="76">
        <v>17</v>
      </c>
      <c r="N27" s="9">
        <f t="shared" si="2"/>
        <v>23</v>
      </c>
      <c r="O27" s="35">
        <v>6</v>
      </c>
      <c r="P27" s="8">
        <v>6</v>
      </c>
      <c r="Q27" s="72">
        <f t="shared" si="3"/>
        <v>0</v>
      </c>
      <c r="R27" s="8">
        <v>0</v>
      </c>
      <c r="S27" s="8">
        <v>0</v>
      </c>
      <c r="T27" s="72">
        <f t="shared" si="4"/>
        <v>0</v>
      </c>
      <c r="U27" s="8">
        <v>3</v>
      </c>
      <c r="V27" s="8">
        <v>3</v>
      </c>
      <c r="W27" s="16">
        <f t="shared" si="5"/>
        <v>0</v>
      </c>
      <c r="X27" s="11">
        <f t="shared" si="6"/>
        <v>9</v>
      </c>
      <c r="Y27" s="12">
        <f t="shared" si="7"/>
        <v>32</v>
      </c>
      <c r="Z27" s="4"/>
    </row>
    <row r="28" spans="1:29" s="1" customFormat="1" ht="33.950000000000003" customHeight="1" x14ac:dyDescent="0.2">
      <c r="A28" s="20">
        <v>16</v>
      </c>
      <c r="B28" s="18" t="s">
        <v>15</v>
      </c>
      <c r="C28" s="6"/>
      <c r="D28" s="6"/>
      <c r="E28" s="6"/>
      <c r="F28" s="9">
        <v>1</v>
      </c>
      <c r="G28" s="9">
        <v>1</v>
      </c>
      <c r="H28" s="74">
        <f t="shared" si="0"/>
        <v>0</v>
      </c>
      <c r="I28" s="9">
        <v>3</v>
      </c>
      <c r="J28" s="9">
        <v>3</v>
      </c>
      <c r="K28" s="74">
        <f t="shared" si="1"/>
        <v>0</v>
      </c>
      <c r="L28" s="74">
        <v>1</v>
      </c>
      <c r="M28" s="76">
        <v>8</v>
      </c>
      <c r="N28" s="9">
        <f t="shared" si="2"/>
        <v>13</v>
      </c>
      <c r="O28" s="35">
        <v>8</v>
      </c>
      <c r="P28" s="8">
        <v>8</v>
      </c>
      <c r="Q28" s="72">
        <f t="shared" si="3"/>
        <v>0</v>
      </c>
      <c r="R28" s="8">
        <v>1</v>
      </c>
      <c r="S28" s="8">
        <v>1</v>
      </c>
      <c r="T28" s="72">
        <f t="shared" si="4"/>
        <v>0</v>
      </c>
      <c r="U28" s="8">
        <v>3</v>
      </c>
      <c r="V28" s="8">
        <v>3</v>
      </c>
      <c r="W28" s="16">
        <f t="shared" si="5"/>
        <v>0</v>
      </c>
      <c r="X28" s="11">
        <f t="shared" si="6"/>
        <v>12</v>
      </c>
      <c r="Y28" s="12">
        <f t="shared" si="7"/>
        <v>25</v>
      </c>
      <c r="Z28" s="4"/>
    </row>
    <row r="29" spans="1:29" s="1" customFormat="1" ht="33.950000000000003" customHeight="1" x14ac:dyDescent="0.2">
      <c r="A29" s="20">
        <v>17</v>
      </c>
      <c r="B29" s="18" t="s">
        <v>16</v>
      </c>
      <c r="C29" s="6"/>
      <c r="D29" s="6"/>
      <c r="E29" s="6"/>
      <c r="F29" s="9">
        <v>1</v>
      </c>
      <c r="G29" s="9">
        <v>1</v>
      </c>
      <c r="H29" s="74">
        <f t="shared" si="0"/>
        <v>0</v>
      </c>
      <c r="I29" s="9">
        <v>3</v>
      </c>
      <c r="J29" s="9">
        <v>2</v>
      </c>
      <c r="K29" s="74">
        <f t="shared" si="1"/>
        <v>1</v>
      </c>
      <c r="L29" s="74">
        <v>1</v>
      </c>
      <c r="M29" s="76">
        <v>11</v>
      </c>
      <c r="N29" s="9">
        <f t="shared" si="2"/>
        <v>15</v>
      </c>
      <c r="O29" s="35">
        <v>11</v>
      </c>
      <c r="P29" s="8">
        <v>11</v>
      </c>
      <c r="Q29" s="72">
        <f t="shared" si="3"/>
        <v>0</v>
      </c>
      <c r="R29" s="8">
        <v>0</v>
      </c>
      <c r="S29" s="8">
        <v>0</v>
      </c>
      <c r="T29" s="72">
        <f t="shared" si="4"/>
        <v>0</v>
      </c>
      <c r="U29" s="8">
        <v>5</v>
      </c>
      <c r="V29" s="8">
        <v>5</v>
      </c>
      <c r="W29" s="16">
        <f t="shared" si="5"/>
        <v>0</v>
      </c>
      <c r="X29" s="11">
        <f t="shared" si="6"/>
        <v>16</v>
      </c>
      <c r="Y29" s="12">
        <f t="shared" si="7"/>
        <v>31</v>
      </c>
      <c r="Z29" s="4"/>
    </row>
    <row r="30" spans="1:29" s="1" customFormat="1" ht="33.950000000000003" customHeight="1" x14ac:dyDescent="0.2">
      <c r="A30" s="20">
        <v>18</v>
      </c>
      <c r="B30" s="18" t="s">
        <v>17</v>
      </c>
      <c r="C30" s="6"/>
      <c r="D30" s="6"/>
      <c r="E30" s="6"/>
      <c r="F30" s="9">
        <v>1</v>
      </c>
      <c r="G30" s="9">
        <v>1</v>
      </c>
      <c r="H30" s="74">
        <f t="shared" si="0"/>
        <v>0</v>
      </c>
      <c r="I30" s="9">
        <v>3</v>
      </c>
      <c r="J30" s="9">
        <v>3</v>
      </c>
      <c r="K30" s="74">
        <f t="shared" si="1"/>
        <v>0</v>
      </c>
      <c r="L30" s="74">
        <v>2</v>
      </c>
      <c r="M30" s="76">
        <v>7</v>
      </c>
      <c r="N30" s="9">
        <f t="shared" si="2"/>
        <v>13</v>
      </c>
      <c r="O30" s="35">
        <v>3</v>
      </c>
      <c r="P30" s="8">
        <v>3</v>
      </c>
      <c r="Q30" s="72">
        <f t="shared" si="3"/>
        <v>0</v>
      </c>
      <c r="R30" s="8">
        <v>0</v>
      </c>
      <c r="S30" s="8">
        <v>0</v>
      </c>
      <c r="T30" s="72">
        <f t="shared" si="4"/>
        <v>0</v>
      </c>
      <c r="U30" s="8">
        <v>4</v>
      </c>
      <c r="V30" s="8">
        <v>4</v>
      </c>
      <c r="W30" s="16">
        <f t="shared" si="5"/>
        <v>0</v>
      </c>
      <c r="X30" s="11">
        <f t="shared" si="6"/>
        <v>7</v>
      </c>
      <c r="Y30" s="12">
        <f t="shared" si="7"/>
        <v>20</v>
      </c>
      <c r="Z30" s="4"/>
    </row>
    <row r="31" spans="1:29" s="1" customFormat="1" ht="33.950000000000003" customHeight="1" x14ac:dyDescent="0.2">
      <c r="A31" s="20">
        <v>19</v>
      </c>
      <c r="B31" s="18" t="s">
        <v>18</v>
      </c>
      <c r="C31" s="6"/>
      <c r="D31" s="6"/>
      <c r="E31" s="6"/>
      <c r="F31" s="9">
        <v>1</v>
      </c>
      <c r="G31" s="9">
        <v>1</v>
      </c>
      <c r="H31" s="74">
        <f t="shared" si="0"/>
        <v>0</v>
      </c>
      <c r="I31" s="9">
        <v>3</v>
      </c>
      <c r="J31" s="9">
        <v>2</v>
      </c>
      <c r="K31" s="74">
        <f t="shared" si="1"/>
        <v>1</v>
      </c>
      <c r="L31" s="74">
        <v>4</v>
      </c>
      <c r="M31" s="76">
        <v>6</v>
      </c>
      <c r="N31" s="9">
        <f t="shared" si="2"/>
        <v>13</v>
      </c>
      <c r="O31" s="35">
        <v>3</v>
      </c>
      <c r="P31" s="8">
        <v>3</v>
      </c>
      <c r="Q31" s="72">
        <f t="shared" si="3"/>
        <v>0</v>
      </c>
      <c r="R31" s="8">
        <v>0</v>
      </c>
      <c r="S31" s="8">
        <v>0</v>
      </c>
      <c r="T31" s="72">
        <f t="shared" si="4"/>
        <v>0</v>
      </c>
      <c r="U31" s="8">
        <v>4</v>
      </c>
      <c r="V31" s="8">
        <v>4</v>
      </c>
      <c r="W31" s="16">
        <v>0</v>
      </c>
      <c r="X31" s="11">
        <f t="shared" si="6"/>
        <v>7</v>
      </c>
      <c r="Y31" s="12">
        <f t="shared" si="7"/>
        <v>20</v>
      </c>
      <c r="Z31" s="4"/>
    </row>
    <row r="32" spans="1:29" s="1" customFormat="1" ht="33.950000000000003" customHeight="1" x14ac:dyDescent="0.2">
      <c r="A32" s="20">
        <v>20</v>
      </c>
      <c r="B32" s="18" t="s">
        <v>19</v>
      </c>
      <c r="C32" s="6"/>
      <c r="D32" s="6"/>
      <c r="E32" s="6"/>
      <c r="F32" s="9">
        <v>1</v>
      </c>
      <c r="G32" s="9">
        <v>1</v>
      </c>
      <c r="H32" s="74">
        <f t="shared" si="0"/>
        <v>0</v>
      </c>
      <c r="I32" s="9">
        <v>3</v>
      </c>
      <c r="J32" s="9">
        <v>2</v>
      </c>
      <c r="K32" s="74">
        <f t="shared" si="1"/>
        <v>1</v>
      </c>
      <c r="L32" s="74">
        <v>5</v>
      </c>
      <c r="M32" s="76">
        <v>6</v>
      </c>
      <c r="N32" s="9">
        <f t="shared" si="2"/>
        <v>14</v>
      </c>
      <c r="O32" s="35">
        <v>4</v>
      </c>
      <c r="P32" s="8">
        <v>4</v>
      </c>
      <c r="Q32" s="72">
        <f t="shared" si="3"/>
        <v>0</v>
      </c>
      <c r="R32" s="8">
        <v>0</v>
      </c>
      <c r="S32" s="8">
        <v>0</v>
      </c>
      <c r="T32" s="72">
        <f t="shared" si="4"/>
        <v>0</v>
      </c>
      <c r="U32" s="8">
        <v>5</v>
      </c>
      <c r="V32" s="8">
        <v>5</v>
      </c>
      <c r="W32" s="16">
        <f t="shared" si="5"/>
        <v>0</v>
      </c>
      <c r="X32" s="11">
        <f t="shared" si="6"/>
        <v>9</v>
      </c>
      <c r="Y32" s="12">
        <f t="shared" si="7"/>
        <v>23</v>
      </c>
      <c r="Z32" s="4"/>
    </row>
    <row r="33" spans="1:26" s="1" customFormat="1" ht="33.950000000000003" customHeight="1" x14ac:dyDescent="0.2">
      <c r="A33" s="20">
        <v>21</v>
      </c>
      <c r="B33" s="19" t="s">
        <v>20</v>
      </c>
      <c r="C33" s="7"/>
      <c r="D33" s="7"/>
      <c r="E33" s="7"/>
      <c r="F33" s="9">
        <v>1</v>
      </c>
      <c r="G33" s="9">
        <v>1</v>
      </c>
      <c r="H33" s="74">
        <f t="shared" si="0"/>
        <v>0</v>
      </c>
      <c r="I33" s="9">
        <v>3</v>
      </c>
      <c r="J33" s="10">
        <v>3</v>
      </c>
      <c r="K33" s="74">
        <f t="shared" si="1"/>
        <v>0</v>
      </c>
      <c r="L33" s="74">
        <v>0</v>
      </c>
      <c r="M33" s="76">
        <v>7</v>
      </c>
      <c r="N33" s="9">
        <f t="shared" si="2"/>
        <v>11</v>
      </c>
      <c r="O33" s="35">
        <v>4</v>
      </c>
      <c r="P33" s="8">
        <v>4</v>
      </c>
      <c r="Q33" s="72">
        <f t="shared" si="3"/>
        <v>0</v>
      </c>
      <c r="R33" s="8">
        <v>2</v>
      </c>
      <c r="S33" s="8">
        <v>2</v>
      </c>
      <c r="T33" s="72">
        <f t="shared" si="4"/>
        <v>0</v>
      </c>
      <c r="U33" s="8">
        <v>3</v>
      </c>
      <c r="V33" s="8">
        <v>3</v>
      </c>
      <c r="W33" s="16">
        <f t="shared" si="5"/>
        <v>0</v>
      </c>
      <c r="X33" s="11">
        <f t="shared" si="6"/>
        <v>9</v>
      </c>
      <c r="Y33" s="12">
        <f t="shared" si="7"/>
        <v>20</v>
      </c>
      <c r="Z33" s="4"/>
    </row>
    <row r="34" spans="1:26" s="1" customFormat="1" ht="33.950000000000003" customHeight="1" x14ac:dyDescent="0.2">
      <c r="A34" s="20">
        <v>22</v>
      </c>
      <c r="B34" s="18" t="s">
        <v>21</v>
      </c>
      <c r="C34" s="6"/>
      <c r="D34" s="6"/>
      <c r="E34" s="6"/>
      <c r="F34" s="9">
        <v>1</v>
      </c>
      <c r="G34" s="9">
        <v>1</v>
      </c>
      <c r="H34" s="74">
        <f t="shared" si="0"/>
        <v>0</v>
      </c>
      <c r="I34" s="9">
        <v>3</v>
      </c>
      <c r="J34" s="9">
        <v>3</v>
      </c>
      <c r="K34" s="74">
        <f t="shared" si="1"/>
        <v>0</v>
      </c>
      <c r="L34" s="74">
        <v>2</v>
      </c>
      <c r="M34" s="76">
        <v>11</v>
      </c>
      <c r="N34" s="9">
        <f t="shared" si="2"/>
        <v>17</v>
      </c>
      <c r="O34" s="35">
        <v>2</v>
      </c>
      <c r="P34" s="8">
        <v>2</v>
      </c>
      <c r="Q34" s="72">
        <f t="shared" si="3"/>
        <v>0</v>
      </c>
      <c r="R34" s="8">
        <v>0</v>
      </c>
      <c r="S34" s="8">
        <v>0</v>
      </c>
      <c r="T34" s="72">
        <f t="shared" si="4"/>
        <v>0</v>
      </c>
      <c r="U34" s="8">
        <v>3</v>
      </c>
      <c r="V34" s="8">
        <v>3</v>
      </c>
      <c r="W34" s="16">
        <f t="shared" si="5"/>
        <v>0</v>
      </c>
      <c r="X34" s="11">
        <f t="shared" si="6"/>
        <v>5</v>
      </c>
      <c r="Y34" s="12">
        <f t="shared" si="7"/>
        <v>22</v>
      </c>
      <c r="Z34" s="4"/>
    </row>
    <row r="35" spans="1:26" s="1" customFormat="1" ht="33.950000000000003" customHeight="1" x14ac:dyDescent="0.2">
      <c r="A35" s="20">
        <v>23</v>
      </c>
      <c r="B35" s="18" t="s">
        <v>22</v>
      </c>
      <c r="C35" s="6"/>
      <c r="D35" s="6"/>
      <c r="E35" s="6"/>
      <c r="F35" s="9">
        <v>1</v>
      </c>
      <c r="G35" s="9">
        <v>1</v>
      </c>
      <c r="H35" s="74">
        <f t="shared" si="0"/>
        <v>0</v>
      </c>
      <c r="I35" s="9">
        <v>3</v>
      </c>
      <c r="J35" s="9">
        <v>3</v>
      </c>
      <c r="K35" s="74">
        <f t="shared" si="1"/>
        <v>0</v>
      </c>
      <c r="L35" s="74">
        <v>1</v>
      </c>
      <c r="M35" s="76">
        <v>15</v>
      </c>
      <c r="N35" s="9">
        <f t="shared" si="2"/>
        <v>20</v>
      </c>
      <c r="O35" s="35">
        <v>1</v>
      </c>
      <c r="P35" s="8">
        <v>1</v>
      </c>
      <c r="Q35" s="72">
        <f t="shared" si="3"/>
        <v>0</v>
      </c>
      <c r="R35" s="8">
        <v>0</v>
      </c>
      <c r="S35" s="8">
        <v>0</v>
      </c>
      <c r="T35" s="72">
        <f t="shared" si="4"/>
        <v>0</v>
      </c>
      <c r="U35" s="8">
        <v>5</v>
      </c>
      <c r="V35" s="8">
        <v>5</v>
      </c>
      <c r="W35" s="16">
        <f t="shared" si="5"/>
        <v>0</v>
      </c>
      <c r="X35" s="11">
        <f t="shared" si="6"/>
        <v>6</v>
      </c>
      <c r="Y35" s="12">
        <f t="shared" si="7"/>
        <v>26</v>
      </c>
      <c r="Z35" s="4"/>
    </row>
    <row r="36" spans="1:26" s="1" customFormat="1" ht="33.950000000000003" customHeight="1" x14ac:dyDescent="0.2">
      <c r="A36" s="20">
        <v>24</v>
      </c>
      <c r="B36" s="18" t="s">
        <v>34</v>
      </c>
      <c r="C36" s="6"/>
      <c r="D36" s="6"/>
      <c r="E36" s="6"/>
      <c r="F36" s="9">
        <v>1</v>
      </c>
      <c r="G36" s="9">
        <v>1</v>
      </c>
      <c r="H36" s="74">
        <f t="shared" si="0"/>
        <v>0</v>
      </c>
      <c r="I36" s="9">
        <v>3</v>
      </c>
      <c r="J36" s="9">
        <v>2</v>
      </c>
      <c r="K36" s="74">
        <f t="shared" si="1"/>
        <v>1</v>
      </c>
      <c r="L36" s="74">
        <v>3</v>
      </c>
      <c r="M36" s="76">
        <v>4</v>
      </c>
      <c r="N36" s="9">
        <f t="shared" si="2"/>
        <v>10</v>
      </c>
      <c r="O36" s="35">
        <v>0</v>
      </c>
      <c r="P36" s="8">
        <v>0</v>
      </c>
      <c r="Q36" s="72">
        <f t="shared" si="3"/>
        <v>0</v>
      </c>
      <c r="R36" s="8">
        <v>1</v>
      </c>
      <c r="S36" s="8">
        <v>1</v>
      </c>
      <c r="T36" s="72">
        <f t="shared" si="4"/>
        <v>0</v>
      </c>
      <c r="U36" s="8">
        <v>3</v>
      </c>
      <c r="V36" s="8">
        <v>3</v>
      </c>
      <c r="W36" s="16">
        <f t="shared" si="5"/>
        <v>0</v>
      </c>
      <c r="X36" s="11">
        <f t="shared" si="6"/>
        <v>4</v>
      </c>
      <c r="Y36" s="12">
        <f t="shared" si="7"/>
        <v>14</v>
      </c>
      <c r="Z36" s="4"/>
    </row>
    <row r="37" spans="1:26" s="1" customFormat="1" ht="33.950000000000003" customHeight="1" x14ac:dyDescent="0.2">
      <c r="A37" s="20">
        <v>25</v>
      </c>
      <c r="B37" s="18" t="s">
        <v>35</v>
      </c>
      <c r="C37" s="6"/>
      <c r="D37" s="6"/>
      <c r="E37" s="6"/>
      <c r="F37" s="9">
        <v>1</v>
      </c>
      <c r="G37" s="9">
        <v>1</v>
      </c>
      <c r="H37" s="74">
        <f t="shared" si="0"/>
        <v>0</v>
      </c>
      <c r="I37" s="9">
        <v>3</v>
      </c>
      <c r="J37" s="9">
        <v>3</v>
      </c>
      <c r="K37" s="74">
        <f t="shared" si="1"/>
        <v>0</v>
      </c>
      <c r="L37" s="74">
        <v>1</v>
      </c>
      <c r="M37" s="76">
        <v>11</v>
      </c>
      <c r="N37" s="9">
        <f t="shared" si="2"/>
        <v>16</v>
      </c>
      <c r="O37" s="35">
        <v>0</v>
      </c>
      <c r="P37" s="8">
        <v>0</v>
      </c>
      <c r="Q37" s="72">
        <f t="shared" si="3"/>
        <v>0</v>
      </c>
      <c r="R37" s="8">
        <v>0</v>
      </c>
      <c r="S37" s="8">
        <v>0</v>
      </c>
      <c r="T37" s="72">
        <f t="shared" si="4"/>
        <v>0</v>
      </c>
      <c r="U37" s="8">
        <v>5</v>
      </c>
      <c r="V37" s="8">
        <v>5</v>
      </c>
      <c r="W37" s="16">
        <f t="shared" si="5"/>
        <v>0</v>
      </c>
      <c r="X37" s="11">
        <f t="shared" si="6"/>
        <v>5</v>
      </c>
      <c r="Y37" s="12">
        <f t="shared" si="7"/>
        <v>21</v>
      </c>
      <c r="Z37" s="4"/>
    </row>
    <row r="38" spans="1:26" s="1" customFormat="1" ht="33.950000000000003" customHeight="1" x14ac:dyDescent="0.2">
      <c r="A38" s="20">
        <v>26</v>
      </c>
      <c r="B38" s="18" t="s">
        <v>36</v>
      </c>
      <c r="C38" s="6"/>
      <c r="D38" s="6"/>
      <c r="E38" s="6"/>
      <c r="F38" s="9">
        <v>1</v>
      </c>
      <c r="G38" s="9">
        <v>1</v>
      </c>
      <c r="H38" s="74">
        <f>F38-G38</f>
        <v>0</v>
      </c>
      <c r="I38" s="9">
        <v>3</v>
      </c>
      <c r="J38" s="9">
        <v>3</v>
      </c>
      <c r="K38" s="74">
        <f>I38-J38</f>
        <v>0</v>
      </c>
      <c r="L38" s="74">
        <v>1</v>
      </c>
      <c r="M38" s="76">
        <v>6</v>
      </c>
      <c r="N38" s="9">
        <f t="shared" si="2"/>
        <v>11</v>
      </c>
      <c r="O38" s="35">
        <v>0</v>
      </c>
      <c r="P38" s="8">
        <v>0</v>
      </c>
      <c r="Q38" s="72">
        <f>O38-P38</f>
        <v>0</v>
      </c>
      <c r="R38" s="8">
        <v>0</v>
      </c>
      <c r="S38" s="8">
        <v>0</v>
      </c>
      <c r="T38" s="72">
        <f>R38-S38</f>
        <v>0</v>
      </c>
      <c r="U38" s="8">
        <v>2</v>
      </c>
      <c r="V38" s="8">
        <v>2</v>
      </c>
      <c r="W38" s="16">
        <f>U38-V38</f>
        <v>0</v>
      </c>
      <c r="X38" s="11">
        <f>P38+S38+V38</f>
        <v>2</v>
      </c>
      <c r="Y38" s="12">
        <f t="shared" si="7"/>
        <v>13</v>
      </c>
      <c r="Z38" s="4"/>
    </row>
    <row r="39" spans="1:26" s="1" customFormat="1" ht="33.950000000000003" customHeight="1" x14ac:dyDescent="0.2">
      <c r="A39" s="20">
        <v>27</v>
      </c>
      <c r="B39" s="18" t="s">
        <v>33</v>
      </c>
      <c r="C39" s="6"/>
      <c r="D39" s="6"/>
      <c r="E39" s="6"/>
      <c r="F39" s="9">
        <v>1</v>
      </c>
      <c r="G39" s="9">
        <v>1</v>
      </c>
      <c r="H39" s="74">
        <f t="shared" si="0"/>
        <v>0</v>
      </c>
      <c r="I39" s="9">
        <v>3</v>
      </c>
      <c r="J39" s="9">
        <v>3</v>
      </c>
      <c r="K39" s="74">
        <f t="shared" si="1"/>
        <v>0</v>
      </c>
      <c r="L39" s="74">
        <v>3</v>
      </c>
      <c r="M39" s="76">
        <v>5</v>
      </c>
      <c r="N39" s="9">
        <f t="shared" si="2"/>
        <v>12</v>
      </c>
      <c r="O39" s="35">
        <v>1</v>
      </c>
      <c r="P39" s="8">
        <v>1</v>
      </c>
      <c r="Q39" s="72">
        <f t="shared" si="3"/>
        <v>0</v>
      </c>
      <c r="R39" s="8">
        <v>0</v>
      </c>
      <c r="S39" s="8">
        <v>0</v>
      </c>
      <c r="T39" s="72">
        <f t="shared" si="4"/>
        <v>0</v>
      </c>
      <c r="U39" s="8">
        <v>3</v>
      </c>
      <c r="V39" s="8">
        <v>3</v>
      </c>
      <c r="W39" s="16">
        <f t="shared" si="5"/>
        <v>0</v>
      </c>
      <c r="X39" s="11">
        <f t="shared" si="6"/>
        <v>4</v>
      </c>
      <c r="Y39" s="12">
        <f t="shared" si="7"/>
        <v>16</v>
      </c>
      <c r="Z39" s="4"/>
    </row>
    <row r="40" spans="1:26" s="1" customFormat="1" ht="33.950000000000003" customHeight="1" x14ac:dyDescent="0.2">
      <c r="A40" s="20">
        <v>28</v>
      </c>
      <c r="B40" s="18" t="s">
        <v>23</v>
      </c>
      <c r="C40" s="6"/>
      <c r="D40" s="6"/>
      <c r="E40" s="6"/>
      <c r="F40" s="9">
        <v>1</v>
      </c>
      <c r="G40" s="9">
        <v>1</v>
      </c>
      <c r="H40" s="74">
        <f t="shared" si="0"/>
        <v>0</v>
      </c>
      <c r="I40" s="9">
        <v>3</v>
      </c>
      <c r="J40" s="9">
        <v>3</v>
      </c>
      <c r="K40" s="74">
        <f t="shared" si="1"/>
        <v>0</v>
      </c>
      <c r="L40" s="74">
        <v>5</v>
      </c>
      <c r="M40" s="76">
        <v>5</v>
      </c>
      <c r="N40" s="9">
        <f t="shared" si="2"/>
        <v>14</v>
      </c>
      <c r="O40" s="35">
        <v>3</v>
      </c>
      <c r="P40" s="8">
        <v>3</v>
      </c>
      <c r="Q40" s="72">
        <f t="shared" si="3"/>
        <v>0</v>
      </c>
      <c r="R40" s="8">
        <v>0</v>
      </c>
      <c r="S40" s="8">
        <v>0</v>
      </c>
      <c r="T40" s="72">
        <f t="shared" si="4"/>
        <v>0</v>
      </c>
      <c r="U40" s="8">
        <v>2</v>
      </c>
      <c r="V40" s="8">
        <v>2</v>
      </c>
      <c r="W40" s="16">
        <f t="shared" si="5"/>
        <v>0</v>
      </c>
      <c r="X40" s="11">
        <f t="shared" si="6"/>
        <v>5</v>
      </c>
      <c r="Y40" s="12">
        <f t="shared" si="7"/>
        <v>19</v>
      </c>
      <c r="Z40" s="4"/>
    </row>
    <row r="41" spans="1:26" s="1" customFormat="1" ht="33.950000000000003" customHeight="1" x14ac:dyDescent="0.2">
      <c r="A41" s="20">
        <v>29</v>
      </c>
      <c r="B41" s="18" t="s">
        <v>24</v>
      </c>
      <c r="C41" s="6"/>
      <c r="D41" s="6"/>
      <c r="E41" s="6"/>
      <c r="F41" s="9">
        <v>1</v>
      </c>
      <c r="G41" s="9">
        <v>1</v>
      </c>
      <c r="H41" s="74">
        <f t="shared" si="0"/>
        <v>0</v>
      </c>
      <c r="I41" s="9">
        <v>3</v>
      </c>
      <c r="J41" s="9">
        <v>3</v>
      </c>
      <c r="K41" s="74">
        <f t="shared" si="1"/>
        <v>0</v>
      </c>
      <c r="L41" s="74">
        <v>1</v>
      </c>
      <c r="M41" s="76">
        <v>6</v>
      </c>
      <c r="N41" s="9">
        <f t="shared" si="2"/>
        <v>11</v>
      </c>
      <c r="O41" s="35">
        <v>1</v>
      </c>
      <c r="P41" s="8">
        <v>1</v>
      </c>
      <c r="Q41" s="72">
        <f t="shared" si="3"/>
        <v>0</v>
      </c>
      <c r="R41" s="8">
        <v>0</v>
      </c>
      <c r="S41" s="8">
        <v>0</v>
      </c>
      <c r="T41" s="72">
        <f t="shared" si="4"/>
        <v>0</v>
      </c>
      <c r="U41" s="8">
        <v>4</v>
      </c>
      <c r="V41" s="8">
        <v>4</v>
      </c>
      <c r="W41" s="16">
        <f t="shared" si="5"/>
        <v>0</v>
      </c>
      <c r="X41" s="11">
        <f t="shared" si="6"/>
        <v>5</v>
      </c>
      <c r="Y41" s="12">
        <f t="shared" si="7"/>
        <v>16</v>
      </c>
      <c r="Z41" s="4"/>
    </row>
    <row r="42" spans="1:26" s="1" customFormat="1" ht="33.950000000000003" customHeight="1" x14ac:dyDescent="0.2">
      <c r="A42" s="20">
        <v>30</v>
      </c>
      <c r="B42" s="18" t="s">
        <v>25</v>
      </c>
      <c r="C42" s="6"/>
      <c r="D42" s="6"/>
      <c r="E42" s="6"/>
      <c r="F42" s="9">
        <v>1</v>
      </c>
      <c r="G42" s="9">
        <v>1</v>
      </c>
      <c r="H42" s="74">
        <f t="shared" si="0"/>
        <v>0</v>
      </c>
      <c r="I42" s="9">
        <v>3</v>
      </c>
      <c r="J42" s="9">
        <v>2</v>
      </c>
      <c r="K42" s="74">
        <f t="shared" si="1"/>
        <v>1</v>
      </c>
      <c r="L42" s="74">
        <v>3</v>
      </c>
      <c r="M42" s="76">
        <v>12</v>
      </c>
      <c r="N42" s="9">
        <f t="shared" si="2"/>
        <v>18</v>
      </c>
      <c r="O42" s="35">
        <v>1</v>
      </c>
      <c r="P42" s="8">
        <v>1</v>
      </c>
      <c r="Q42" s="72">
        <f t="shared" si="3"/>
        <v>0</v>
      </c>
      <c r="R42" s="8">
        <v>0</v>
      </c>
      <c r="S42" s="8">
        <v>0</v>
      </c>
      <c r="T42" s="72">
        <f t="shared" si="4"/>
        <v>0</v>
      </c>
      <c r="U42" s="8">
        <v>5</v>
      </c>
      <c r="V42" s="8">
        <v>5</v>
      </c>
      <c r="W42" s="16">
        <f t="shared" si="5"/>
        <v>0</v>
      </c>
      <c r="X42" s="11">
        <f t="shared" si="6"/>
        <v>6</v>
      </c>
      <c r="Y42" s="12">
        <f t="shared" si="7"/>
        <v>24</v>
      </c>
      <c r="Z42" s="4"/>
    </row>
    <row r="43" spans="1:26" s="1" customFormat="1" ht="33.950000000000003" customHeight="1" x14ac:dyDescent="0.2">
      <c r="A43" s="20">
        <v>31</v>
      </c>
      <c r="B43" s="18" t="s">
        <v>37</v>
      </c>
      <c r="C43" s="6"/>
      <c r="D43" s="6"/>
      <c r="E43" s="6"/>
      <c r="F43" s="9">
        <v>1</v>
      </c>
      <c r="G43" s="9">
        <v>1</v>
      </c>
      <c r="H43" s="74">
        <f t="shared" si="0"/>
        <v>0</v>
      </c>
      <c r="I43" s="9">
        <v>3</v>
      </c>
      <c r="J43" s="9">
        <v>3</v>
      </c>
      <c r="K43" s="74">
        <f t="shared" si="1"/>
        <v>0</v>
      </c>
      <c r="L43" s="74">
        <v>2</v>
      </c>
      <c r="M43" s="76">
        <v>6</v>
      </c>
      <c r="N43" s="9">
        <f t="shared" si="2"/>
        <v>12</v>
      </c>
      <c r="O43" s="35">
        <v>1</v>
      </c>
      <c r="P43" s="8">
        <v>1</v>
      </c>
      <c r="Q43" s="72">
        <f t="shared" si="3"/>
        <v>0</v>
      </c>
      <c r="R43" s="8">
        <v>1</v>
      </c>
      <c r="S43" s="8">
        <v>1</v>
      </c>
      <c r="T43" s="72">
        <f t="shared" si="4"/>
        <v>0</v>
      </c>
      <c r="U43" s="8">
        <v>3</v>
      </c>
      <c r="V43" s="8">
        <v>3</v>
      </c>
      <c r="W43" s="16">
        <f t="shared" si="5"/>
        <v>0</v>
      </c>
      <c r="X43" s="11">
        <f t="shared" si="6"/>
        <v>5</v>
      </c>
      <c r="Y43" s="12">
        <f t="shared" si="7"/>
        <v>17</v>
      </c>
      <c r="Z43" s="4"/>
    </row>
    <row r="44" spans="1:26" s="1" customFormat="1" ht="33.950000000000003" customHeight="1" x14ac:dyDescent="0.2">
      <c r="A44" s="20">
        <v>32</v>
      </c>
      <c r="B44" s="18" t="s">
        <v>38</v>
      </c>
      <c r="C44" s="6"/>
      <c r="D44" s="6"/>
      <c r="E44" s="6"/>
      <c r="F44" s="9">
        <v>1</v>
      </c>
      <c r="G44" s="9">
        <v>1</v>
      </c>
      <c r="H44" s="74">
        <f t="shared" si="0"/>
        <v>0</v>
      </c>
      <c r="I44" s="9">
        <v>3</v>
      </c>
      <c r="J44" s="9">
        <v>2</v>
      </c>
      <c r="K44" s="74">
        <f t="shared" si="1"/>
        <v>1</v>
      </c>
      <c r="L44" s="74">
        <v>3</v>
      </c>
      <c r="M44" s="76">
        <v>3</v>
      </c>
      <c r="N44" s="9">
        <f t="shared" si="2"/>
        <v>9</v>
      </c>
      <c r="O44" s="35">
        <v>0</v>
      </c>
      <c r="P44" s="8">
        <v>0</v>
      </c>
      <c r="Q44" s="72">
        <f t="shared" si="3"/>
        <v>0</v>
      </c>
      <c r="R44" s="8">
        <v>1</v>
      </c>
      <c r="S44" s="8">
        <v>1</v>
      </c>
      <c r="T44" s="72">
        <f t="shared" si="4"/>
        <v>0</v>
      </c>
      <c r="U44" s="8">
        <v>3</v>
      </c>
      <c r="V44" s="8">
        <v>3</v>
      </c>
      <c r="W44" s="16">
        <f t="shared" si="5"/>
        <v>0</v>
      </c>
      <c r="X44" s="11">
        <f t="shared" si="6"/>
        <v>4</v>
      </c>
      <c r="Y44" s="12">
        <f t="shared" si="7"/>
        <v>13</v>
      </c>
      <c r="Z44" s="4"/>
    </row>
    <row r="45" spans="1:26" s="1" customFormat="1" ht="33.950000000000003" customHeight="1" x14ac:dyDescent="0.2">
      <c r="A45" s="20">
        <v>33</v>
      </c>
      <c r="B45" s="18" t="s">
        <v>26</v>
      </c>
      <c r="C45" s="6"/>
      <c r="D45" s="6"/>
      <c r="E45" s="6"/>
      <c r="F45" s="9">
        <v>1</v>
      </c>
      <c r="G45" s="9">
        <v>1</v>
      </c>
      <c r="H45" s="74">
        <f t="shared" si="0"/>
        <v>0</v>
      </c>
      <c r="I45" s="9">
        <v>3</v>
      </c>
      <c r="J45" s="9">
        <v>3</v>
      </c>
      <c r="K45" s="74">
        <f t="shared" si="1"/>
        <v>0</v>
      </c>
      <c r="L45" s="74">
        <v>2</v>
      </c>
      <c r="M45" s="76">
        <v>5</v>
      </c>
      <c r="N45" s="9">
        <f t="shared" si="2"/>
        <v>11</v>
      </c>
      <c r="O45" s="35">
        <v>2</v>
      </c>
      <c r="P45" s="8">
        <v>2</v>
      </c>
      <c r="Q45" s="72">
        <f t="shared" si="3"/>
        <v>0</v>
      </c>
      <c r="R45" s="8">
        <v>0</v>
      </c>
      <c r="S45" s="8">
        <v>0</v>
      </c>
      <c r="T45" s="72">
        <f t="shared" si="4"/>
        <v>0</v>
      </c>
      <c r="U45" s="8">
        <v>6</v>
      </c>
      <c r="V45" s="8">
        <v>6</v>
      </c>
      <c r="W45" s="16">
        <f t="shared" si="5"/>
        <v>0</v>
      </c>
      <c r="X45" s="11">
        <f t="shared" si="6"/>
        <v>8</v>
      </c>
      <c r="Y45" s="12">
        <f t="shared" si="7"/>
        <v>19</v>
      </c>
      <c r="Z45" s="4"/>
    </row>
    <row r="46" spans="1:26" s="1" customFormat="1" ht="33.950000000000003" customHeight="1" x14ac:dyDescent="0.2">
      <c r="A46" s="20">
        <v>34</v>
      </c>
      <c r="B46" s="18" t="s">
        <v>27</v>
      </c>
      <c r="C46" s="6"/>
      <c r="D46" s="6"/>
      <c r="E46" s="6"/>
      <c r="F46" s="9">
        <v>1</v>
      </c>
      <c r="G46" s="9">
        <v>1</v>
      </c>
      <c r="H46" s="74">
        <f t="shared" si="0"/>
        <v>0</v>
      </c>
      <c r="I46" s="9">
        <v>3</v>
      </c>
      <c r="J46" s="9">
        <v>3</v>
      </c>
      <c r="K46" s="74">
        <f t="shared" si="1"/>
        <v>0</v>
      </c>
      <c r="L46" s="45">
        <v>1</v>
      </c>
      <c r="M46" s="46">
        <v>7</v>
      </c>
      <c r="N46" s="9">
        <f t="shared" si="2"/>
        <v>12</v>
      </c>
      <c r="O46" s="35">
        <v>1</v>
      </c>
      <c r="P46" s="8">
        <v>1</v>
      </c>
      <c r="Q46" s="72">
        <f t="shared" si="3"/>
        <v>0</v>
      </c>
      <c r="R46" s="8">
        <v>0</v>
      </c>
      <c r="S46" s="8">
        <v>0</v>
      </c>
      <c r="T46" s="72">
        <f t="shared" si="4"/>
        <v>0</v>
      </c>
      <c r="U46" s="8">
        <v>3</v>
      </c>
      <c r="V46" s="8">
        <v>3</v>
      </c>
      <c r="W46" s="16">
        <f t="shared" si="5"/>
        <v>0</v>
      </c>
      <c r="X46" s="11">
        <f t="shared" si="6"/>
        <v>4</v>
      </c>
      <c r="Y46" s="12">
        <f t="shared" si="7"/>
        <v>16</v>
      </c>
      <c r="Z46" s="4"/>
    </row>
    <row r="47" spans="1:26" s="1" customFormat="1" ht="33.950000000000003" customHeight="1" x14ac:dyDescent="0.2">
      <c r="A47" s="20">
        <v>35</v>
      </c>
      <c r="B47" s="18" t="s">
        <v>39</v>
      </c>
      <c r="C47" s="6"/>
      <c r="D47" s="6"/>
      <c r="E47" s="6"/>
      <c r="F47" s="9">
        <v>1</v>
      </c>
      <c r="G47" s="9">
        <v>1</v>
      </c>
      <c r="H47" s="78">
        <f t="shared" si="0"/>
        <v>0</v>
      </c>
      <c r="I47" s="9">
        <v>3</v>
      </c>
      <c r="J47" s="9">
        <v>3</v>
      </c>
      <c r="K47" s="78">
        <f t="shared" si="1"/>
        <v>0</v>
      </c>
      <c r="L47" s="78">
        <v>4</v>
      </c>
      <c r="M47" s="76">
        <v>4</v>
      </c>
      <c r="N47" s="9">
        <f t="shared" si="2"/>
        <v>12</v>
      </c>
      <c r="O47" s="35">
        <v>3</v>
      </c>
      <c r="P47" s="8">
        <v>3</v>
      </c>
      <c r="Q47" s="77">
        <f t="shared" si="3"/>
        <v>0</v>
      </c>
      <c r="R47" s="8">
        <v>0</v>
      </c>
      <c r="S47" s="8">
        <v>0</v>
      </c>
      <c r="T47" s="77">
        <f t="shared" si="4"/>
        <v>0</v>
      </c>
      <c r="U47" s="8">
        <v>4</v>
      </c>
      <c r="V47" s="8">
        <v>4</v>
      </c>
      <c r="W47" s="16">
        <f t="shared" si="5"/>
        <v>0</v>
      </c>
      <c r="X47" s="11">
        <f t="shared" si="6"/>
        <v>7</v>
      </c>
      <c r="Y47" s="12">
        <f t="shared" si="7"/>
        <v>19</v>
      </c>
      <c r="Z47" s="4"/>
    </row>
    <row r="48" spans="1:26" s="1" customFormat="1" ht="33.950000000000003" customHeight="1" x14ac:dyDescent="0.2">
      <c r="A48" s="20">
        <v>36</v>
      </c>
      <c r="B48" s="18" t="s">
        <v>42</v>
      </c>
      <c r="C48" s="6"/>
      <c r="D48" s="6"/>
      <c r="E48" s="6"/>
      <c r="F48" s="9">
        <v>1</v>
      </c>
      <c r="G48" s="9">
        <v>1</v>
      </c>
      <c r="H48" s="78">
        <f t="shared" si="0"/>
        <v>0</v>
      </c>
      <c r="I48" s="9">
        <v>3</v>
      </c>
      <c r="J48" s="9">
        <v>3</v>
      </c>
      <c r="K48" s="78">
        <f t="shared" si="1"/>
        <v>0</v>
      </c>
      <c r="L48" s="78">
        <v>1</v>
      </c>
      <c r="M48" s="76">
        <v>13</v>
      </c>
      <c r="N48" s="9">
        <f t="shared" si="2"/>
        <v>18</v>
      </c>
      <c r="O48" s="35">
        <v>0</v>
      </c>
      <c r="P48" s="8">
        <v>0</v>
      </c>
      <c r="Q48" s="77">
        <f t="shared" si="3"/>
        <v>0</v>
      </c>
      <c r="R48" s="8">
        <v>0</v>
      </c>
      <c r="S48" s="8">
        <v>0</v>
      </c>
      <c r="T48" s="77">
        <f t="shared" si="4"/>
        <v>0</v>
      </c>
      <c r="U48" s="8">
        <v>2</v>
      </c>
      <c r="V48" s="8">
        <v>2</v>
      </c>
      <c r="W48" s="16">
        <f t="shared" si="5"/>
        <v>0</v>
      </c>
      <c r="X48" s="11">
        <f t="shared" si="6"/>
        <v>2</v>
      </c>
      <c r="Y48" s="12">
        <f t="shared" si="7"/>
        <v>20</v>
      </c>
      <c r="Z48" s="4"/>
    </row>
    <row r="49" spans="1:26" s="1" customFormat="1" ht="33.950000000000003" customHeight="1" x14ac:dyDescent="0.2">
      <c r="A49" s="20">
        <v>37</v>
      </c>
      <c r="B49" s="18" t="s">
        <v>40</v>
      </c>
      <c r="C49" s="6"/>
      <c r="D49" s="6"/>
      <c r="E49" s="6"/>
      <c r="F49" s="9">
        <v>1</v>
      </c>
      <c r="G49" s="9">
        <v>1</v>
      </c>
      <c r="H49" s="78">
        <f t="shared" si="0"/>
        <v>0</v>
      </c>
      <c r="I49" s="9">
        <v>3</v>
      </c>
      <c r="J49" s="9">
        <v>3</v>
      </c>
      <c r="K49" s="78">
        <f t="shared" si="1"/>
        <v>0</v>
      </c>
      <c r="L49" s="78">
        <v>2</v>
      </c>
      <c r="M49" s="76">
        <v>8</v>
      </c>
      <c r="N49" s="9">
        <f t="shared" si="2"/>
        <v>14</v>
      </c>
      <c r="O49" s="35">
        <v>0</v>
      </c>
      <c r="P49" s="8">
        <v>0</v>
      </c>
      <c r="Q49" s="77">
        <f t="shared" si="3"/>
        <v>0</v>
      </c>
      <c r="R49" s="8">
        <v>1</v>
      </c>
      <c r="S49" s="8">
        <v>1</v>
      </c>
      <c r="T49" s="77">
        <f t="shared" si="4"/>
        <v>0</v>
      </c>
      <c r="U49" s="8">
        <v>2</v>
      </c>
      <c r="V49" s="8">
        <v>2</v>
      </c>
      <c r="W49" s="16">
        <f t="shared" si="5"/>
        <v>0</v>
      </c>
      <c r="X49" s="11">
        <f t="shared" si="6"/>
        <v>3</v>
      </c>
      <c r="Y49" s="12">
        <f t="shared" si="7"/>
        <v>17</v>
      </c>
      <c r="Z49" s="4"/>
    </row>
    <row r="50" spans="1:26" s="1" customFormat="1" ht="33.950000000000003" customHeight="1" x14ac:dyDescent="0.2">
      <c r="A50" s="20">
        <v>38</v>
      </c>
      <c r="B50" s="18" t="s">
        <v>41</v>
      </c>
      <c r="C50" s="6"/>
      <c r="D50" s="6"/>
      <c r="E50" s="6"/>
      <c r="F50" s="9">
        <v>1</v>
      </c>
      <c r="G50" s="9">
        <v>1</v>
      </c>
      <c r="H50" s="78">
        <f t="shared" si="0"/>
        <v>0</v>
      </c>
      <c r="I50" s="9">
        <v>3</v>
      </c>
      <c r="J50" s="9">
        <v>2</v>
      </c>
      <c r="K50" s="78">
        <f t="shared" si="1"/>
        <v>1</v>
      </c>
      <c r="L50" s="78">
        <v>1</v>
      </c>
      <c r="M50" s="76">
        <v>6</v>
      </c>
      <c r="N50" s="9">
        <f t="shared" si="2"/>
        <v>10</v>
      </c>
      <c r="O50" s="35">
        <v>0</v>
      </c>
      <c r="P50" s="8">
        <v>0</v>
      </c>
      <c r="Q50" s="77">
        <f t="shared" si="3"/>
        <v>0</v>
      </c>
      <c r="R50" s="8">
        <v>1</v>
      </c>
      <c r="S50" s="8">
        <v>1</v>
      </c>
      <c r="T50" s="77">
        <f t="shared" si="4"/>
        <v>0</v>
      </c>
      <c r="U50" s="8">
        <v>2</v>
      </c>
      <c r="V50" s="8">
        <v>2</v>
      </c>
      <c r="W50" s="16">
        <f t="shared" si="5"/>
        <v>0</v>
      </c>
      <c r="X50" s="11">
        <f t="shared" si="6"/>
        <v>3</v>
      </c>
      <c r="Y50" s="12">
        <f t="shared" si="7"/>
        <v>13</v>
      </c>
      <c r="Z50" s="4"/>
    </row>
    <row r="51" spans="1:26" s="1" customFormat="1" ht="33.950000000000003" customHeight="1" x14ac:dyDescent="0.2">
      <c r="A51" s="20">
        <v>39</v>
      </c>
      <c r="B51" s="18" t="s">
        <v>28</v>
      </c>
      <c r="C51" s="6"/>
      <c r="D51" s="6"/>
      <c r="E51" s="6"/>
      <c r="F51" s="9">
        <v>1</v>
      </c>
      <c r="G51" s="9">
        <v>1</v>
      </c>
      <c r="H51" s="78">
        <f t="shared" si="0"/>
        <v>0</v>
      </c>
      <c r="I51" s="9">
        <v>3</v>
      </c>
      <c r="J51" s="9">
        <v>2</v>
      </c>
      <c r="K51" s="78">
        <f t="shared" si="1"/>
        <v>1</v>
      </c>
      <c r="L51" s="78">
        <v>1</v>
      </c>
      <c r="M51" s="76">
        <v>17</v>
      </c>
      <c r="N51" s="9">
        <f t="shared" si="2"/>
        <v>21</v>
      </c>
      <c r="O51" s="35">
        <v>6</v>
      </c>
      <c r="P51" s="8">
        <v>6</v>
      </c>
      <c r="Q51" s="77">
        <f t="shared" si="3"/>
        <v>0</v>
      </c>
      <c r="R51" s="8">
        <v>0</v>
      </c>
      <c r="S51" s="8">
        <v>0</v>
      </c>
      <c r="T51" s="77">
        <f t="shared" si="4"/>
        <v>0</v>
      </c>
      <c r="U51" s="8">
        <v>0</v>
      </c>
      <c r="V51" s="8">
        <v>0</v>
      </c>
      <c r="W51" s="16">
        <f t="shared" si="5"/>
        <v>0</v>
      </c>
      <c r="X51" s="11">
        <f t="shared" si="6"/>
        <v>6</v>
      </c>
      <c r="Y51" s="12">
        <f t="shared" si="7"/>
        <v>27</v>
      </c>
      <c r="Z51" s="4"/>
    </row>
    <row r="52" spans="1:26" s="1" customFormat="1" ht="33.950000000000003" customHeight="1" x14ac:dyDescent="0.2">
      <c r="A52" s="20">
        <v>40</v>
      </c>
      <c r="B52" s="18" t="s">
        <v>29</v>
      </c>
      <c r="C52" s="6"/>
      <c r="D52" s="6"/>
      <c r="E52" s="6"/>
      <c r="F52" s="9">
        <v>1</v>
      </c>
      <c r="G52" s="9">
        <v>1</v>
      </c>
      <c r="H52" s="78">
        <f t="shared" si="0"/>
        <v>0</v>
      </c>
      <c r="I52" s="9">
        <v>3</v>
      </c>
      <c r="J52" s="9">
        <v>3</v>
      </c>
      <c r="K52" s="78">
        <f t="shared" si="1"/>
        <v>0</v>
      </c>
      <c r="L52" s="78">
        <v>1</v>
      </c>
      <c r="M52" s="76">
        <v>13</v>
      </c>
      <c r="N52" s="9">
        <f t="shared" si="2"/>
        <v>18</v>
      </c>
      <c r="O52" s="35">
        <v>3</v>
      </c>
      <c r="P52" s="8">
        <v>3</v>
      </c>
      <c r="Q52" s="77">
        <f t="shared" si="3"/>
        <v>0</v>
      </c>
      <c r="R52" s="8">
        <v>1</v>
      </c>
      <c r="S52" s="8">
        <v>1</v>
      </c>
      <c r="T52" s="77">
        <f t="shared" si="4"/>
        <v>0</v>
      </c>
      <c r="U52" s="8">
        <v>1</v>
      </c>
      <c r="V52" s="8">
        <v>1</v>
      </c>
      <c r="W52" s="16">
        <f t="shared" si="5"/>
        <v>0</v>
      </c>
      <c r="X52" s="11">
        <f t="shared" si="6"/>
        <v>5</v>
      </c>
      <c r="Y52" s="12">
        <f t="shared" si="7"/>
        <v>23</v>
      </c>
      <c r="Z52" s="53"/>
    </row>
    <row r="53" spans="1:26" s="1" customFormat="1" ht="33.950000000000003" customHeight="1" x14ac:dyDescent="0.2">
      <c r="A53" s="20">
        <v>41</v>
      </c>
      <c r="B53" s="18" t="s">
        <v>30</v>
      </c>
      <c r="C53" s="6"/>
      <c r="D53" s="6"/>
      <c r="E53" s="6"/>
      <c r="F53" s="9">
        <v>1</v>
      </c>
      <c r="G53" s="9">
        <v>1</v>
      </c>
      <c r="H53" s="78">
        <f t="shared" si="0"/>
        <v>0</v>
      </c>
      <c r="I53" s="9">
        <v>3</v>
      </c>
      <c r="J53" s="9">
        <v>3</v>
      </c>
      <c r="K53" s="78">
        <f t="shared" si="1"/>
        <v>0</v>
      </c>
      <c r="L53" s="78">
        <v>1</v>
      </c>
      <c r="M53" s="76">
        <v>8</v>
      </c>
      <c r="N53" s="9">
        <f t="shared" si="2"/>
        <v>13</v>
      </c>
      <c r="O53" s="35">
        <v>3</v>
      </c>
      <c r="P53" s="8">
        <v>3</v>
      </c>
      <c r="Q53" s="77">
        <f t="shared" si="3"/>
        <v>0</v>
      </c>
      <c r="R53" s="8">
        <v>1</v>
      </c>
      <c r="S53" s="8">
        <v>1</v>
      </c>
      <c r="T53" s="77">
        <f t="shared" si="4"/>
        <v>0</v>
      </c>
      <c r="U53" s="8">
        <v>4</v>
      </c>
      <c r="V53" s="8">
        <v>4</v>
      </c>
      <c r="W53" s="16">
        <f t="shared" si="5"/>
        <v>0</v>
      </c>
      <c r="X53" s="11">
        <f t="shared" si="6"/>
        <v>8</v>
      </c>
      <c r="Y53" s="12">
        <f t="shared" si="7"/>
        <v>21</v>
      </c>
      <c r="Z53" s="4"/>
    </row>
    <row r="54" spans="1:26" s="1" customFormat="1" ht="33.950000000000003" customHeight="1" thickBot="1" x14ac:dyDescent="0.25">
      <c r="A54" s="21">
        <v>42</v>
      </c>
      <c r="B54" s="88" t="s">
        <v>31</v>
      </c>
      <c r="C54" s="89"/>
      <c r="D54" s="89"/>
      <c r="E54" s="89"/>
      <c r="F54" s="90">
        <v>1</v>
      </c>
      <c r="G54" s="9">
        <v>1</v>
      </c>
      <c r="H54" s="79">
        <f t="shared" si="0"/>
        <v>0</v>
      </c>
      <c r="I54" s="90">
        <v>3</v>
      </c>
      <c r="J54" s="90">
        <v>2</v>
      </c>
      <c r="K54" s="79">
        <f t="shared" si="1"/>
        <v>1</v>
      </c>
      <c r="L54" s="79">
        <v>4</v>
      </c>
      <c r="M54" s="91">
        <v>4</v>
      </c>
      <c r="N54" s="9">
        <f t="shared" si="2"/>
        <v>11</v>
      </c>
      <c r="O54" s="36">
        <v>1</v>
      </c>
      <c r="P54" s="15">
        <v>1</v>
      </c>
      <c r="Q54" s="39">
        <f t="shared" si="3"/>
        <v>0</v>
      </c>
      <c r="R54" s="15">
        <v>1</v>
      </c>
      <c r="S54" s="15">
        <v>1</v>
      </c>
      <c r="T54" s="39">
        <f t="shared" si="4"/>
        <v>0</v>
      </c>
      <c r="U54" s="15">
        <v>2</v>
      </c>
      <c r="V54" s="15">
        <v>2</v>
      </c>
      <c r="W54" s="22">
        <f t="shared" si="5"/>
        <v>0</v>
      </c>
      <c r="X54" s="23">
        <f t="shared" si="6"/>
        <v>4</v>
      </c>
      <c r="Y54" s="24">
        <f t="shared" si="7"/>
        <v>15</v>
      </c>
      <c r="Z54" s="4"/>
    </row>
    <row r="55" spans="1:26" ht="24" customHeight="1" thickTop="1" thickBot="1" x14ac:dyDescent="0.25">
      <c r="A55" s="25"/>
      <c r="B55" s="26" t="s">
        <v>2</v>
      </c>
      <c r="C55" s="26">
        <v>1</v>
      </c>
      <c r="D55" s="26">
        <v>0</v>
      </c>
      <c r="E55" s="26">
        <f>C55-D55</f>
        <v>1</v>
      </c>
      <c r="F55" s="26">
        <f t="shared" ref="F55:Y55" si="8">SUM(F13:F54)</f>
        <v>42</v>
      </c>
      <c r="G55" s="26">
        <f t="shared" si="8"/>
        <v>42</v>
      </c>
      <c r="H55" s="26">
        <f t="shared" si="8"/>
        <v>0</v>
      </c>
      <c r="I55" s="26">
        <f t="shared" si="8"/>
        <v>120</v>
      </c>
      <c r="J55" s="26">
        <f t="shared" si="8"/>
        <v>105</v>
      </c>
      <c r="K55" s="26">
        <f t="shared" si="8"/>
        <v>15</v>
      </c>
      <c r="L55" s="26">
        <f>SUM(L13:L54)</f>
        <v>71</v>
      </c>
      <c r="M55" s="28">
        <f t="shared" si="8"/>
        <v>413</v>
      </c>
      <c r="N55" s="38">
        <f t="shared" si="8"/>
        <v>631</v>
      </c>
      <c r="O55" s="37">
        <f t="shared" si="8"/>
        <v>180</v>
      </c>
      <c r="P55" s="26">
        <f t="shared" si="8"/>
        <v>180</v>
      </c>
      <c r="Q55" s="26">
        <f t="shared" si="8"/>
        <v>0</v>
      </c>
      <c r="R55" s="26">
        <f t="shared" si="8"/>
        <v>34</v>
      </c>
      <c r="S55" s="26">
        <f t="shared" si="8"/>
        <v>34</v>
      </c>
      <c r="T55" s="26">
        <f t="shared" si="8"/>
        <v>0</v>
      </c>
      <c r="U55" s="26">
        <f t="shared" si="8"/>
        <v>111</v>
      </c>
      <c r="V55" s="26">
        <f t="shared" si="8"/>
        <v>111</v>
      </c>
      <c r="W55" s="92">
        <f t="shared" si="8"/>
        <v>0</v>
      </c>
      <c r="X55" s="26">
        <f t="shared" si="8"/>
        <v>325</v>
      </c>
      <c r="Y55" s="30">
        <f t="shared" si="8"/>
        <v>956</v>
      </c>
      <c r="Z55" s="4"/>
    </row>
    <row r="56" spans="1:26" ht="13.5" thickTop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93"/>
      <c r="N56" s="1"/>
      <c r="O56" s="1"/>
      <c r="P56" s="1"/>
      <c r="Q56" s="1"/>
      <c r="R56" s="1"/>
      <c r="S56" s="1"/>
      <c r="T56" s="1"/>
      <c r="U56" s="1"/>
      <c r="V56" s="1"/>
      <c r="W56" s="1"/>
      <c r="X56" s="80"/>
      <c r="Y56" s="80"/>
    </row>
    <row r="58" spans="1:26" x14ac:dyDescent="0.2">
      <c r="B58" s="17" t="s">
        <v>61</v>
      </c>
      <c r="C58" s="31">
        <f>E55+H55+K55</f>
        <v>16</v>
      </c>
    </row>
    <row r="59" spans="1:26" x14ac:dyDescent="0.2">
      <c r="B59">
        <v>1</v>
      </c>
      <c r="C59" s="63" t="s">
        <v>63</v>
      </c>
    </row>
    <row r="60" spans="1:26" x14ac:dyDescent="0.2">
      <c r="B60">
        <v>2</v>
      </c>
      <c r="C60" s="63" t="s">
        <v>71</v>
      </c>
    </row>
    <row r="61" spans="1:26" x14ac:dyDescent="0.2">
      <c r="B61">
        <v>3</v>
      </c>
      <c r="C61" s="63" t="s">
        <v>72</v>
      </c>
    </row>
    <row r="62" spans="1:26" x14ac:dyDescent="0.2">
      <c r="B62">
        <v>4</v>
      </c>
      <c r="C62" s="63" t="s">
        <v>73</v>
      </c>
    </row>
    <row r="63" spans="1:26" x14ac:dyDescent="0.2">
      <c r="B63">
        <v>5</v>
      </c>
      <c r="C63" s="63" t="s">
        <v>74</v>
      </c>
    </row>
    <row r="64" spans="1:26" x14ac:dyDescent="0.2">
      <c r="B64">
        <v>6</v>
      </c>
      <c r="C64" s="63" t="s">
        <v>64</v>
      </c>
    </row>
    <row r="65" spans="2:11" x14ac:dyDescent="0.2">
      <c r="B65">
        <v>7</v>
      </c>
      <c r="C65" s="63" t="s">
        <v>75</v>
      </c>
    </row>
    <row r="66" spans="2:11" x14ac:dyDescent="0.2">
      <c r="B66">
        <v>8</v>
      </c>
      <c r="C66" s="63" t="s">
        <v>76</v>
      </c>
    </row>
    <row r="67" spans="2:11" x14ac:dyDescent="0.2">
      <c r="B67">
        <v>9</v>
      </c>
      <c r="C67" s="63" t="s">
        <v>77</v>
      </c>
    </row>
    <row r="68" spans="2:11" x14ac:dyDescent="0.2">
      <c r="B68">
        <v>10</v>
      </c>
      <c r="C68" s="63" t="s">
        <v>78</v>
      </c>
    </row>
    <row r="69" spans="2:11" x14ac:dyDescent="0.2">
      <c r="B69">
        <v>11</v>
      </c>
      <c r="C69" s="63" t="s">
        <v>79</v>
      </c>
    </row>
    <row r="70" spans="2:11" x14ac:dyDescent="0.2">
      <c r="B70">
        <v>12</v>
      </c>
      <c r="C70" s="63" t="s">
        <v>80</v>
      </c>
    </row>
    <row r="71" spans="2:11" x14ac:dyDescent="0.2">
      <c r="B71">
        <v>13</v>
      </c>
      <c r="C71" s="63" t="s">
        <v>81</v>
      </c>
    </row>
    <row r="72" spans="2:11" x14ac:dyDescent="0.2">
      <c r="B72">
        <v>14</v>
      </c>
      <c r="C72" s="63" t="s">
        <v>82</v>
      </c>
    </row>
    <row r="73" spans="2:11" x14ac:dyDescent="0.2">
      <c r="B73">
        <v>15</v>
      </c>
      <c r="C73" s="63" t="s">
        <v>83</v>
      </c>
    </row>
    <row r="74" spans="2:11" x14ac:dyDescent="0.2">
      <c r="B74">
        <v>16</v>
      </c>
      <c r="C74" s="63" t="s">
        <v>84</v>
      </c>
    </row>
    <row r="75" spans="2:11" x14ac:dyDescent="0.2">
      <c r="C75" s="1"/>
    </row>
    <row r="76" spans="2:11" x14ac:dyDescent="0.2">
      <c r="C76" s="1"/>
    </row>
    <row r="77" spans="2:11" x14ac:dyDescent="0.2">
      <c r="C77" s="1"/>
    </row>
    <row r="79" spans="2:11" x14ac:dyDescent="0.2">
      <c r="B79" t="s">
        <v>65</v>
      </c>
      <c r="C79">
        <f>C55+F55+I55</f>
        <v>163</v>
      </c>
      <c r="J79" t="s">
        <v>66</v>
      </c>
      <c r="K79">
        <f>L55+M55</f>
        <v>484</v>
      </c>
    </row>
    <row r="80" spans="2:11" x14ac:dyDescent="0.2">
      <c r="C80">
        <f>D55+G55+J55</f>
        <v>147</v>
      </c>
    </row>
    <row r="81" spans="3:3" x14ac:dyDescent="0.2">
      <c r="C81">
        <f>C79-C80</f>
        <v>16</v>
      </c>
    </row>
  </sheetData>
  <mergeCells count="23">
    <mergeCell ref="B6:X6"/>
    <mergeCell ref="A1:Y1"/>
    <mergeCell ref="A2:Y2"/>
    <mergeCell ref="A3:Y3"/>
    <mergeCell ref="A4:X4"/>
    <mergeCell ref="A5:X5"/>
    <mergeCell ref="Y9:Y12"/>
    <mergeCell ref="C10:K10"/>
    <mergeCell ref="L10:M11"/>
    <mergeCell ref="N10:N12"/>
    <mergeCell ref="O10:Q11"/>
    <mergeCell ref="B7:X7"/>
    <mergeCell ref="A9:A12"/>
    <mergeCell ref="B9:B12"/>
    <mergeCell ref="C9:N9"/>
    <mergeCell ref="O9:X9"/>
    <mergeCell ref="R10:W10"/>
    <mergeCell ref="X10:X12"/>
    <mergeCell ref="C11:E11"/>
    <mergeCell ref="F11:H11"/>
    <mergeCell ref="I11:K11"/>
    <mergeCell ref="R11:T11"/>
    <mergeCell ref="U11:W11"/>
  </mergeCells>
  <printOptions verticalCentered="1"/>
  <pageMargins left="0" right="0.31496062992125984" top="0.74803149606299213" bottom="0.74803149606299213" header="0.31496062992125984" footer="0.31496062992125984"/>
  <pageSetup paperSize="5" scale="65" fitToHeight="0" orientation="landscape" horizontalDpi="300" verticalDpi="300" r:id="rId1"/>
  <headerFooter alignWithMargins="0"/>
  <colBreaks count="1" manualBreakCount="1">
    <brk id="25" max="25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1"/>
  <sheetViews>
    <sheetView topLeftCell="A51" zoomScale="90" zoomScaleNormal="90" zoomScaleSheetLayoutView="90" workbookViewId="0">
      <selection activeCell="AC38" sqref="AC38"/>
    </sheetView>
  </sheetViews>
  <sheetFormatPr defaultRowHeight="12.75" x14ac:dyDescent="0.2"/>
  <cols>
    <col min="1" max="1" width="5.42578125" customWidth="1"/>
    <col min="2" max="2" width="26.42578125" customWidth="1"/>
    <col min="3" max="3" width="9.140625" customWidth="1"/>
    <col min="4" max="4" width="8.28515625" customWidth="1"/>
    <col min="5" max="5" width="9.140625" customWidth="1"/>
    <col min="6" max="6" width="9.7109375" customWidth="1"/>
    <col min="7" max="7" width="8.140625" customWidth="1"/>
    <col min="8" max="8" width="9.28515625" customWidth="1"/>
    <col min="9" max="9" width="9.5703125" customWidth="1"/>
    <col min="10" max="10" width="8.28515625" customWidth="1"/>
    <col min="11" max="11" width="10.28515625" customWidth="1"/>
    <col min="12" max="12" width="6.85546875" customWidth="1"/>
    <col min="13" max="13" width="6.5703125" style="13" customWidth="1"/>
    <col min="14" max="14" width="9.5703125" customWidth="1"/>
    <col min="15" max="15" width="10.28515625" customWidth="1"/>
    <col min="16" max="16" width="9" customWidth="1"/>
    <col min="17" max="17" width="9.42578125" customWidth="1"/>
    <col min="18" max="18" width="9.7109375" customWidth="1"/>
    <col min="19" max="19" width="8.5703125" customWidth="1"/>
    <col min="20" max="20" width="9.28515625" customWidth="1"/>
    <col min="21" max="21" width="9.85546875" customWidth="1"/>
    <col min="22" max="22" width="8.5703125" customWidth="1"/>
    <col min="23" max="23" width="9.5703125" customWidth="1"/>
    <col min="24" max="24" width="8.7109375" style="60" customWidth="1"/>
    <col min="25" max="25" width="15.42578125" style="60" customWidth="1"/>
    <col min="26" max="26" width="21.140625" style="3" customWidth="1"/>
    <col min="27" max="27" width="1.7109375" customWidth="1"/>
  </cols>
  <sheetData>
    <row r="1" spans="1:29" ht="15.75" customHeight="1" x14ac:dyDescent="0.2">
      <c r="A1" s="133" t="s">
        <v>59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58"/>
    </row>
    <row r="2" spans="1:29" ht="15.75" customHeight="1" x14ac:dyDescent="0.2">
      <c r="A2" s="134" t="s">
        <v>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58"/>
    </row>
    <row r="3" spans="1:29" ht="15.75" customHeight="1" x14ac:dyDescent="0.2">
      <c r="A3" s="133" t="s">
        <v>85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58"/>
    </row>
    <row r="4" spans="1:29" ht="15.7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58"/>
      <c r="Z4" s="58"/>
    </row>
    <row r="5" spans="1:29" ht="10.5" customHeight="1" x14ac:dyDescent="0.2">
      <c r="A5" s="133" t="s">
        <v>1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58"/>
      <c r="Z5"/>
    </row>
    <row r="6" spans="1:29" hidden="1" x14ac:dyDescent="0.2"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2"/>
      <c r="Z6"/>
    </row>
    <row r="7" spans="1:29" hidden="1" x14ac:dyDescent="0.2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2"/>
      <c r="Z7"/>
    </row>
    <row r="8" spans="1:29" hidden="1" x14ac:dyDescent="0.2">
      <c r="Y8" s="3"/>
      <c r="Z8"/>
    </row>
    <row r="9" spans="1:29" s="1" customFormat="1" ht="39.950000000000003" customHeight="1" x14ac:dyDescent="0.2">
      <c r="A9" s="119" t="s">
        <v>43</v>
      </c>
      <c r="B9" s="122" t="s">
        <v>45</v>
      </c>
      <c r="C9" s="114" t="s">
        <v>54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6"/>
      <c r="O9" s="125" t="s">
        <v>57</v>
      </c>
      <c r="P9" s="125"/>
      <c r="Q9" s="125"/>
      <c r="R9" s="125"/>
      <c r="S9" s="125"/>
      <c r="T9" s="125"/>
      <c r="U9" s="125"/>
      <c r="V9" s="125"/>
      <c r="W9" s="125"/>
      <c r="X9" s="126"/>
      <c r="Y9" s="111" t="s">
        <v>56</v>
      </c>
      <c r="Z9" s="4"/>
    </row>
    <row r="10" spans="1:29" s="1" customFormat="1" ht="39.950000000000003" customHeight="1" x14ac:dyDescent="0.2">
      <c r="A10" s="120"/>
      <c r="B10" s="123"/>
      <c r="C10" s="114" t="s">
        <v>46</v>
      </c>
      <c r="D10" s="115"/>
      <c r="E10" s="115"/>
      <c r="F10" s="115"/>
      <c r="G10" s="115"/>
      <c r="H10" s="115"/>
      <c r="I10" s="115"/>
      <c r="J10" s="115"/>
      <c r="K10" s="115"/>
      <c r="L10" s="127" t="s">
        <v>50</v>
      </c>
      <c r="M10" s="128"/>
      <c r="N10" s="122" t="s">
        <v>2</v>
      </c>
      <c r="O10" s="131" t="s">
        <v>69</v>
      </c>
      <c r="P10" s="131"/>
      <c r="Q10" s="131"/>
      <c r="R10" s="110" t="s">
        <v>55</v>
      </c>
      <c r="S10" s="110"/>
      <c r="T10" s="110"/>
      <c r="U10" s="110"/>
      <c r="V10" s="110"/>
      <c r="W10" s="110"/>
      <c r="X10" s="111" t="s">
        <v>2</v>
      </c>
      <c r="Y10" s="112"/>
      <c r="Z10" s="4"/>
    </row>
    <row r="11" spans="1:29" s="1" customFormat="1" ht="39.950000000000003" customHeight="1" x14ac:dyDescent="0.2">
      <c r="A11" s="120"/>
      <c r="B11" s="123"/>
      <c r="C11" s="114" t="s">
        <v>47</v>
      </c>
      <c r="D11" s="115"/>
      <c r="E11" s="116"/>
      <c r="F11" s="114" t="s">
        <v>48</v>
      </c>
      <c r="G11" s="115"/>
      <c r="H11" s="116"/>
      <c r="I11" s="114" t="s">
        <v>49</v>
      </c>
      <c r="J11" s="115"/>
      <c r="K11" s="115"/>
      <c r="L11" s="129"/>
      <c r="M11" s="130"/>
      <c r="N11" s="123"/>
      <c r="O11" s="132"/>
      <c r="P11" s="132"/>
      <c r="Q11" s="132"/>
      <c r="R11" s="110" t="s">
        <v>58</v>
      </c>
      <c r="S11" s="110"/>
      <c r="T11" s="110"/>
      <c r="U11" s="117" t="s">
        <v>70</v>
      </c>
      <c r="V11" s="117"/>
      <c r="W11" s="117"/>
      <c r="X11" s="112"/>
      <c r="Y11" s="112"/>
      <c r="Z11" s="4"/>
    </row>
    <row r="12" spans="1:29" s="1" customFormat="1" ht="39.950000000000003" customHeight="1" x14ac:dyDescent="0.2">
      <c r="A12" s="121"/>
      <c r="B12" s="124"/>
      <c r="C12" s="55" t="s">
        <v>51</v>
      </c>
      <c r="D12" s="5" t="s">
        <v>52</v>
      </c>
      <c r="E12" s="5" t="s">
        <v>53</v>
      </c>
      <c r="F12" s="59" t="s">
        <v>51</v>
      </c>
      <c r="G12" s="5" t="s">
        <v>52</v>
      </c>
      <c r="H12" s="5" t="s">
        <v>53</v>
      </c>
      <c r="I12" s="59" t="s">
        <v>51</v>
      </c>
      <c r="J12" s="5" t="s">
        <v>52</v>
      </c>
      <c r="K12" s="5" t="s">
        <v>53</v>
      </c>
      <c r="L12" s="56" t="s">
        <v>62</v>
      </c>
      <c r="M12" s="14" t="s">
        <v>54</v>
      </c>
      <c r="N12" s="124"/>
      <c r="O12" s="62" t="s">
        <v>86</v>
      </c>
      <c r="P12" s="56" t="s">
        <v>52</v>
      </c>
      <c r="Q12" s="5" t="s">
        <v>53</v>
      </c>
      <c r="R12" s="56" t="s">
        <v>86</v>
      </c>
      <c r="S12" s="56" t="s">
        <v>52</v>
      </c>
      <c r="T12" s="5" t="s">
        <v>53</v>
      </c>
      <c r="U12" s="56" t="s">
        <v>86</v>
      </c>
      <c r="V12" s="56" t="s">
        <v>52</v>
      </c>
      <c r="W12" s="5" t="s">
        <v>53</v>
      </c>
      <c r="X12" s="113"/>
      <c r="Y12" s="113"/>
      <c r="Z12" s="4"/>
    </row>
    <row r="13" spans="1:29" s="1" customFormat="1" ht="33.950000000000003" customHeight="1" x14ac:dyDescent="0.2">
      <c r="A13" s="20">
        <v>1</v>
      </c>
      <c r="B13" s="18" t="s">
        <v>44</v>
      </c>
      <c r="C13" s="9">
        <v>1</v>
      </c>
      <c r="D13" s="9">
        <v>0</v>
      </c>
      <c r="E13" s="55">
        <v>1</v>
      </c>
      <c r="F13" s="9">
        <v>1</v>
      </c>
      <c r="G13" s="9">
        <v>1</v>
      </c>
      <c r="H13" s="55">
        <f>F13-G13</f>
        <v>0</v>
      </c>
      <c r="I13" s="9">
        <v>3</v>
      </c>
      <c r="J13" s="9">
        <v>3</v>
      </c>
      <c r="K13" s="55">
        <f>I13-J13</f>
        <v>0</v>
      </c>
      <c r="L13" s="45">
        <v>4</v>
      </c>
      <c r="M13" s="46">
        <v>30</v>
      </c>
      <c r="N13" s="9">
        <f>D13+G13+J13+L13+M13</f>
        <v>38</v>
      </c>
      <c r="O13" s="35">
        <v>28</v>
      </c>
      <c r="P13" s="8">
        <v>28</v>
      </c>
      <c r="Q13" s="59">
        <v>0</v>
      </c>
      <c r="R13" s="8">
        <v>0</v>
      </c>
      <c r="S13" s="8">
        <v>0</v>
      </c>
      <c r="T13" s="59">
        <v>0</v>
      </c>
      <c r="U13" s="8">
        <v>0</v>
      </c>
      <c r="V13" s="8">
        <v>0</v>
      </c>
      <c r="W13" s="16">
        <f>U13-V13</f>
        <v>0</v>
      </c>
      <c r="X13" s="11">
        <f>P13+S13+V13</f>
        <v>28</v>
      </c>
      <c r="Y13" s="12">
        <f>N13+X13</f>
        <v>66</v>
      </c>
      <c r="Z13" s="4"/>
      <c r="AC13" s="40">
        <f>Y13+Y14+Y15+Y16+Y17</f>
        <v>142</v>
      </c>
    </row>
    <row r="14" spans="1:29" s="1" customFormat="1" ht="33.950000000000003" customHeight="1" x14ac:dyDescent="0.2">
      <c r="A14" s="20">
        <v>2</v>
      </c>
      <c r="B14" s="18" t="s">
        <v>4</v>
      </c>
      <c r="C14" s="6"/>
      <c r="D14" s="6"/>
      <c r="E14" s="6"/>
      <c r="F14" s="9">
        <v>1</v>
      </c>
      <c r="G14" s="9">
        <v>1</v>
      </c>
      <c r="H14" s="70">
        <f t="shared" ref="H14:H54" si="0">F14-G14</f>
        <v>0</v>
      </c>
      <c r="I14" s="9">
        <v>3</v>
      </c>
      <c r="J14" s="9">
        <v>3</v>
      </c>
      <c r="K14" s="70">
        <f t="shared" ref="K14:K54" si="1">I14-J14</f>
        <v>0</v>
      </c>
      <c r="L14" s="70">
        <v>0</v>
      </c>
      <c r="M14" s="76">
        <v>10</v>
      </c>
      <c r="N14" s="9">
        <f t="shared" ref="N14:N54" si="2">D14+G14+J14+L14+M14</f>
        <v>14</v>
      </c>
      <c r="O14" s="35">
        <v>3</v>
      </c>
      <c r="P14" s="8">
        <v>3</v>
      </c>
      <c r="Q14" s="59">
        <f t="shared" ref="Q14:Q54" si="3">O14-P14</f>
        <v>0</v>
      </c>
      <c r="R14" s="8">
        <v>8</v>
      </c>
      <c r="S14" s="8">
        <v>8</v>
      </c>
      <c r="T14" s="59">
        <f t="shared" ref="T14:T54" si="4">R14-S14</f>
        <v>0</v>
      </c>
      <c r="U14" s="8">
        <v>0</v>
      </c>
      <c r="V14" s="8">
        <v>0</v>
      </c>
      <c r="W14" s="16">
        <f t="shared" ref="W14:W54" si="5">U14-V14</f>
        <v>0</v>
      </c>
      <c r="X14" s="11">
        <f t="shared" ref="X14:X54" si="6">P14+S14+V14</f>
        <v>11</v>
      </c>
      <c r="Y14" s="12">
        <f t="shared" ref="Y14:Y54" si="7">N14+X14</f>
        <v>25</v>
      </c>
      <c r="Z14" s="4"/>
    </row>
    <row r="15" spans="1:29" s="1" customFormat="1" ht="33.950000000000003" customHeight="1" x14ac:dyDescent="0.2">
      <c r="A15" s="20">
        <v>3</v>
      </c>
      <c r="B15" s="18" t="s">
        <v>0</v>
      </c>
      <c r="C15" s="6"/>
      <c r="D15" s="6"/>
      <c r="E15" s="6"/>
      <c r="F15" s="9">
        <v>1</v>
      </c>
      <c r="G15" s="9">
        <v>1</v>
      </c>
      <c r="H15" s="70">
        <f t="shared" si="0"/>
        <v>0</v>
      </c>
      <c r="I15" s="9">
        <v>0</v>
      </c>
      <c r="J15" s="9">
        <v>0</v>
      </c>
      <c r="K15" s="70">
        <f t="shared" si="1"/>
        <v>0</v>
      </c>
      <c r="L15" s="70">
        <v>3</v>
      </c>
      <c r="M15" s="76">
        <v>5</v>
      </c>
      <c r="N15" s="9">
        <f t="shared" si="2"/>
        <v>9</v>
      </c>
      <c r="O15" s="35">
        <v>11</v>
      </c>
      <c r="P15" s="8">
        <v>11</v>
      </c>
      <c r="Q15" s="59">
        <f t="shared" si="3"/>
        <v>0</v>
      </c>
      <c r="R15" s="8">
        <v>1</v>
      </c>
      <c r="S15" s="8">
        <v>1</v>
      </c>
      <c r="T15" s="59">
        <f t="shared" si="4"/>
        <v>0</v>
      </c>
      <c r="U15" s="8">
        <v>0</v>
      </c>
      <c r="V15" s="8">
        <v>0</v>
      </c>
      <c r="W15" s="16">
        <f t="shared" si="5"/>
        <v>0</v>
      </c>
      <c r="X15" s="11">
        <f t="shared" si="6"/>
        <v>12</v>
      </c>
      <c r="Y15" s="12">
        <f t="shared" si="7"/>
        <v>21</v>
      </c>
      <c r="Z15" s="4"/>
    </row>
    <row r="16" spans="1:29" s="1" customFormat="1" ht="33.950000000000003" customHeight="1" x14ac:dyDescent="0.2">
      <c r="A16" s="20">
        <v>4</v>
      </c>
      <c r="B16" s="18" t="s">
        <v>32</v>
      </c>
      <c r="C16" s="6"/>
      <c r="D16" s="6"/>
      <c r="E16" s="6"/>
      <c r="F16" s="9">
        <v>1</v>
      </c>
      <c r="G16" s="9">
        <v>1</v>
      </c>
      <c r="H16" s="70">
        <f t="shared" si="0"/>
        <v>0</v>
      </c>
      <c r="I16" s="9">
        <v>0</v>
      </c>
      <c r="J16" s="9">
        <v>0</v>
      </c>
      <c r="K16" s="70">
        <f t="shared" si="1"/>
        <v>0</v>
      </c>
      <c r="L16" s="70">
        <v>0</v>
      </c>
      <c r="M16" s="76">
        <v>8</v>
      </c>
      <c r="N16" s="9">
        <f t="shared" si="2"/>
        <v>9</v>
      </c>
      <c r="O16" s="35">
        <v>6</v>
      </c>
      <c r="P16" s="8">
        <v>6</v>
      </c>
      <c r="Q16" s="59">
        <f t="shared" si="3"/>
        <v>0</v>
      </c>
      <c r="R16" s="8">
        <v>0</v>
      </c>
      <c r="S16" s="8">
        <v>0</v>
      </c>
      <c r="T16" s="59">
        <f t="shared" si="4"/>
        <v>0</v>
      </c>
      <c r="U16" s="8">
        <v>0</v>
      </c>
      <c r="V16" s="8">
        <v>0</v>
      </c>
      <c r="W16" s="16">
        <f t="shared" si="5"/>
        <v>0</v>
      </c>
      <c r="X16" s="11">
        <f t="shared" si="6"/>
        <v>6</v>
      </c>
      <c r="Y16" s="12">
        <f t="shared" si="7"/>
        <v>15</v>
      </c>
      <c r="Z16" s="4"/>
    </row>
    <row r="17" spans="1:29" s="1" customFormat="1" ht="33.950000000000003" customHeight="1" x14ac:dyDescent="0.2">
      <c r="A17" s="20">
        <v>5</v>
      </c>
      <c r="B17" s="18" t="s">
        <v>3</v>
      </c>
      <c r="C17" s="6"/>
      <c r="D17" s="6"/>
      <c r="E17" s="6"/>
      <c r="F17" s="9">
        <v>1</v>
      </c>
      <c r="G17" s="9">
        <v>1</v>
      </c>
      <c r="H17" s="70">
        <f t="shared" si="0"/>
        <v>0</v>
      </c>
      <c r="I17" s="9">
        <v>3</v>
      </c>
      <c r="J17" s="9">
        <v>2</v>
      </c>
      <c r="K17" s="70">
        <f t="shared" si="1"/>
        <v>1</v>
      </c>
      <c r="L17" s="70">
        <v>0</v>
      </c>
      <c r="M17" s="76">
        <v>11</v>
      </c>
      <c r="N17" s="9">
        <f t="shared" si="2"/>
        <v>14</v>
      </c>
      <c r="O17" s="35">
        <v>1</v>
      </c>
      <c r="P17" s="8">
        <v>1</v>
      </c>
      <c r="Q17" s="59">
        <f t="shared" si="3"/>
        <v>0</v>
      </c>
      <c r="R17" s="8">
        <v>0</v>
      </c>
      <c r="S17" s="8">
        <v>0</v>
      </c>
      <c r="T17" s="59">
        <f t="shared" si="4"/>
        <v>0</v>
      </c>
      <c r="U17" s="8">
        <v>0</v>
      </c>
      <c r="V17" s="8">
        <v>0</v>
      </c>
      <c r="W17" s="16">
        <f t="shared" si="5"/>
        <v>0</v>
      </c>
      <c r="X17" s="11">
        <f t="shared" si="6"/>
        <v>1</v>
      </c>
      <c r="Y17" s="12">
        <f t="shared" si="7"/>
        <v>15</v>
      </c>
      <c r="Z17" s="4"/>
    </row>
    <row r="18" spans="1:29" s="1" customFormat="1" ht="33.950000000000003" customHeight="1" x14ac:dyDescent="0.2">
      <c r="A18" s="20">
        <v>6</v>
      </c>
      <c r="B18" s="18" t="s">
        <v>6</v>
      </c>
      <c r="C18" s="6"/>
      <c r="D18" s="6"/>
      <c r="E18" s="6"/>
      <c r="F18" s="9">
        <v>1</v>
      </c>
      <c r="G18" s="9">
        <v>1</v>
      </c>
      <c r="H18" s="70">
        <f t="shared" si="0"/>
        <v>0</v>
      </c>
      <c r="I18" s="9">
        <v>3</v>
      </c>
      <c r="J18" s="9">
        <v>3</v>
      </c>
      <c r="K18" s="70">
        <f t="shared" si="1"/>
        <v>0</v>
      </c>
      <c r="L18" s="70">
        <v>1</v>
      </c>
      <c r="M18" s="76">
        <v>14</v>
      </c>
      <c r="N18" s="9">
        <f t="shared" si="2"/>
        <v>19</v>
      </c>
      <c r="O18" s="35">
        <v>14</v>
      </c>
      <c r="P18" s="8">
        <v>14</v>
      </c>
      <c r="Q18" s="59">
        <f t="shared" si="3"/>
        <v>0</v>
      </c>
      <c r="R18" s="8">
        <v>2</v>
      </c>
      <c r="S18" s="8">
        <v>2</v>
      </c>
      <c r="T18" s="59">
        <f t="shared" si="4"/>
        <v>0</v>
      </c>
      <c r="U18" s="8">
        <v>2</v>
      </c>
      <c r="V18" s="8">
        <v>2</v>
      </c>
      <c r="W18" s="16">
        <f t="shared" si="5"/>
        <v>0</v>
      </c>
      <c r="X18" s="11">
        <f t="shared" si="6"/>
        <v>18</v>
      </c>
      <c r="Y18" s="12">
        <f t="shared" si="7"/>
        <v>37</v>
      </c>
      <c r="Z18" s="4"/>
    </row>
    <row r="19" spans="1:29" s="54" customFormat="1" ht="33.950000000000003" customHeight="1" x14ac:dyDescent="0.2">
      <c r="A19" s="20">
        <v>7</v>
      </c>
      <c r="B19" s="18" t="s">
        <v>7</v>
      </c>
      <c r="C19" s="6"/>
      <c r="D19" s="6"/>
      <c r="E19" s="6"/>
      <c r="F19" s="9">
        <v>1</v>
      </c>
      <c r="G19" s="9">
        <v>1</v>
      </c>
      <c r="H19" s="70">
        <f t="shared" si="0"/>
        <v>0</v>
      </c>
      <c r="I19" s="9">
        <v>3</v>
      </c>
      <c r="J19" s="9">
        <v>2</v>
      </c>
      <c r="K19" s="70">
        <f t="shared" si="1"/>
        <v>1</v>
      </c>
      <c r="L19" s="70">
        <v>0</v>
      </c>
      <c r="M19" s="76">
        <v>14</v>
      </c>
      <c r="N19" s="9">
        <f t="shared" si="2"/>
        <v>17</v>
      </c>
      <c r="O19" s="35">
        <v>14</v>
      </c>
      <c r="P19" s="8">
        <v>14</v>
      </c>
      <c r="Q19" s="61">
        <f t="shared" si="3"/>
        <v>0</v>
      </c>
      <c r="R19" s="8">
        <v>0</v>
      </c>
      <c r="S19" s="8">
        <v>0</v>
      </c>
      <c r="T19" s="61">
        <f t="shared" si="4"/>
        <v>0</v>
      </c>
      <c r="U19" s="8">
        <v>2</v>
      </c>
      <c r="V19" s="8">
        <v>2</v>
      </c>
      <c r="W19" s="16">
        <f t="shared" si="5"/>
        <v>0</v>
      </c>
      <c r="X19" s="11">
        <f t="shared" si="6"/>
        <v>16</v>
      </c>
      <c r="Y19" s="12">
        <f t="shared" si="7"/>
        <v>33</v>
      </c>
      <c r="Z19" s="53"/>
    </row>
    <row r="20" spans="1:29" s="1" customFormat="1" ht="33.950000000000003" customHeight="1" x14ac:dyDescent="0.2">
      <c r="A20" s="20">
        <v>8</v>
      </c>
      <c r="B20" s="18" t="s">
        <v>8</v>
      </c>
      <c r="C20" s="6"/>
      <c r="D20" s="6"/>
      <c r="E20" s="6"/>
      <c r="F20" s="9">
        <v>1</v>
      </c>
      <c r="G20" s="9">
        <v>1</v>
      </c>
      <c r="H20" s="70">
        <f t="shared" si="0"/>
        <v>0</v>
      </c>
      <c r="I20" s="9">
        <v>3</v>
      </c>
      <c r="J20" s="9">
        <v>3</v>
      </c>
      <c r="K20" s="70">
        <f t="shared" si="1"/>
        <v>0</v>
      </c>
      <c r="L20" s="70">
        <v>1</v>
      </c>
      <c r="M20" s="76">
        <v>14</v>
      </c>
      <c r="N20" s="9">
        <f t="shared" si="2"/>
        <v>19</v>
      </c>
      <c r="O20" s="35">
        <v>13</v>
      </c>
      <c r="P20" s="8">
        <v>13</v>
      </c>
      <c r="Q20" s="59">
        <f t="shared" si="3"/>
        <v>0</v>
      </c>
      <c r="R20" s="8">
        <v>1</v>
      </c>
      <c r="S20" s="8">
        <v>1</v>
      </c>
      <c r="T20" s="59">
        <f t="shared" si="4"/>
        <v>0</v>
      </c>
      <c r="U20" s="8">
        <v>0</v>
      </c>
      <c r="V20" s="8">
        <v>0</v>
      </c>
      <c r="W20" s="16">
        <f t="shared" si="5"/>
        <v>0</v>
      </c>
      <c r="X20" s="11">
        <f t="shared" si="6"/>
        <v>14</v>
      </c>
      <c r="Y20" s="12">
        <f t="shared" si="7"/>
        <v>33</v>
      </c>
      <c r="Z20" s="4"/>
      <c r="AC20" s="40">
        <f>Y18+Y19+Y20+Y21</f>
        <v>138</v>
      </c>
    </row>
    <row r="21" spans="1:29" s="1" customFormat="1" ht="33.950000000000003" customHeight="1" x14ac:dyDescent="0.2">
      <c r="A21" s="20">
        <v>9</v>
      </c>
      <c r="B21" s="18" t="s">
        <v>5</v>
      </c>
      <c r="C21" s="6"/>
      <c r="D21" s="6"/>
      <c r="E21" s="6"/>
      <c r="F21" s="9">
        <v>1</v>
      </c>
      <c r="G21" s="9">
        <v>1</v>
      </c>
      <c r="H21" s="70">
        <f t="shared" si="0"/>
        <v>0</v>
      </c>
      <c r="I21" s="9">
        <v>3</v>
      </c>
      <c r="J21" s="9">
        <v>2</v>
      </c>
      <c r="K21" s="70">
        <f t="shared" si="1"/>
        <v>1</v>
      </c>
      <c r="L21" s="70">
        <v>1</v>
      </c>
      <c r="M21" s="76">
        <v>16</v>
      </c>
      <c r="N21" s="9">
        <f t="shared" si="2"/>
        <v>20</v>
      </c>
      <c r="O21" s="35">
        <v>9</v>
      </c>
      <c r="P21" s="8">
        <v>9</v>
      </c>
      <c r="Q21" s="59">
        <f t="shared" si="3"/>
        <v>0</v>
      </c>
      <c r="R21" s="8">
        <v>3</v>
      </c>
      <c r="S21" s="8">
        <v>3</v>
      </c>
      <c r="T21" s="59">
        <f t="shared" si="4"/>
        <v>0</v>
      </c>
      <c r="U21" s="8">
        <v>3</v>
      </c>
      <c r="V21" s="8">
        <v>3</v>
      </c>
      <c r="W21" s="16">
        <f t="shared" si="5"/>
        <v>0</v>
      </c>
      <c r="X21" s="11">
        <f t="shared" si="6"/>
        <v>15</v>
      </c>
      <c r="Y21" s="12">
        <f t="shared" si="7"/>
        <v>35</v>
      </c>
      <c r="Z21" s="4"/>
      <c r="AC21" s="40">
        <f>AC13+AC20</f>
        <v>280</v>
      </c>
    </row>
    <row r="22" spans="1:29" s="1" customFormat="1" ht="33.950000000000003" customHeight="1" x14ac:dyDescent="0.2">
      <c r="A22" s="20">
        <v>10</v>
      </c>
      <c r="B22" s="18" t="s">
        <v>9</v>
      </c>
      <c r="C22" s="6"/>
      <c r="D22" s="6"/>
      <c r="E22" s="6"/>
      <c r="F22" s="9">
        <v>1</v>
      </c>
      <c r="G22" s="9">
        <v>1</v>
      </c>
      <c r="H22" s="70">
        <f t="shared" si="0"/>
        <v>0</v>
      </c>
      <c r="I22" s="9">
        <v>3</v>
      </c>
      <c r="J22" s="9">
        <v>1</v>
      </c>
      <c r="K22" s="70">
        <f t="shared" si="1"/>
        <v>2</v>
      </c>
      <c r="L22" s="70">
        <v>1</v>
      </c>
      <c r="M22" s="76">
        <v>9</v>
      </c>
      <c r="N22" s="9">
        <f t="shared" si="2"/>
        <v>12</v>
      </c>
      <c r="O22" s="35">
        <v>3</v>
      </c>
      <c r="P22" s="8">
        <v>3</v>
      </c>
      <c r="Q22" s="59">
        <f t="shared" si="3"/>
        <v>0</v>
      </c>
      <c r="R22" s="8">
        <v>1</v>
      </c>
      <c r="S22" s="8">
        <v>1</v>
      </c>
      <c r="T22" s="59">
        <f t="shared" si="4"/>
        <v>0</v>
      </c>
      <c r="U22" s="8">
        <v>1</v>
      </c>
      <c r="V22" s="8">
        <v>1</v>
      </c>
      <c r="W22" s="16">
        <f t="shared" si="5"/>
        <v>0</v>
      </c>
      <c r="X22" s="11">
        <f t="shared" si="6"/>
        <v>5</v>
      </c>
      <c r="Y22" s="12">
        <f t="shared" si="7"/>
        <v>17</v>
      </c>
      <c r="Z22" s="4"/>
    </row>
    <row r="23" spans="1:29" s="1" customFormat="1" ht="33.950000000000003" customHeight="1" x14ac:dyDescent="0.2">
      <c r="A23" s="20">
        <v>11</v>
      </c>
      <c r="B23" s="18" t="s">
        <v>10</v>
      </c>
      <c r="C23" s="6"/>
      <c r="D23" s="6"/>
      <c r="E23" s="6"/>
      <c r="F23" s="9">
        <v>1</v>
      </c>
      <c r="G23" s="9">
        <v>1</v>
      </c>
      <c r="H23" s="70">
        <f t="shared" si="0"/>
        <v>0</v>
      </c>
      <c r="I23" s="9">
        <v>3</v>
      </c>
      <c r="J23" s="9">
        <v>3</v>
      </c>
      <c r="K23" s="70">
        <f t="shared" si="1"/>
        <v>0</v>
      </c>
      <c r="L23" s="70">
        <v>0</v>
      </c>
      <c r="M23" s="76">
        <v>12</v>
      </c>
      <c r="N23" s="9">
        <f t="shared" si="2"/>
        <v>16</v>
      </c>
      <c r="O23" s="35">
        <v>2</v>
      </c>
      <c r="P23" s="8">
        <v>2</v>
      </c>
      <c r="Q23" s="59">
        <f t="shared" si="3"/>
        <v>0</v>
      </c>
      <c r="R23" s="8">
        <v>3</v>
      </c>
      <c r="S23" s="8">
        <v>3</v>
      </c>
      <c r="T23" s="59">
        <f t="shared" si="4"/>
        <v>0</v>
      </c>
      <c r="U23" s="8">
        <v>2</v>
      </c>
      <c r="V23" s="8">
        <v>2</v>
      </c>
      <c r="W23" s="16">
        <f t="shared" si="5"/>
        <v>0</v>
      </c>
      <c r="X23" s="11">
        <f t="shared" si="6"/>
        <v>7</v>
      </c>
      <c r="Y23" s="12">
        <f t="shared" si="7"/>
        <v>23</v>
      </c>
      <c r="Z23" s="4"/>
    </row>
    <row r="24" spans="1:29" s="1" customFormat="1" ht="33.950000000000003" customHeight="1" x14ac:dyDescent="0.2">
      <c r="A24" s="20">
        <v>12</v>
      </c>
      <c r="B24" s="18" t="s">
        <v>11</v>
      </c>
      <c r="C24" s="6"/>
      <c r="D24" s="6"/>
      <c r="E24" s="6"/>
      <c r="F24" s="9">
        <v>1</v>
      </c>
      <c r="G24" s="9">
        <v>1</v>
      </c>
      <c r="H24" s="70">
        <f t="shared" si="0"/>
        <v>0</v>
      </c>
      <c r="I24" s="9">
        <v>3</v>
      </c>
      <c r="J24" s="9">
        <v>3</v>
      </c>
      <c r="K24" s="70">
        <f t="shared" si="1"/>
        <v>0</v>
      </c>
      <c r="L24" s="70">
        <v>0</v>
      </c>
      <c r="M24" s="76">
        <v>12</v>
      </c>
      <c r="N24" s="9">
        <f t="shared" si="2"/>
        <v>16</v>
      </c>
      <c r="O24" s="35">
        <v>4</v>
      </c>
      <c r="P24" s="8">
        <v>4</v>
      </c>
      <c r="Q24" s="59">
        <f t="shared" si="3"/>
        <v>0</v>
      </c>
      <c r="R24" s="8">
        <v>1</v>
      </c>
      <c r="S24" s="8">
        <v>1</v>
      </c>
      <c r="T24" s="59">
        <f t="shared" si="4"/>
        <v>0</v>
      </c>
      <c r="U24" s="8">
        <v>2</v>
      </c>
      <c r="V24" s="8">
        <v>2</v>
      </c>
      <c r="W24" s="16">
        <f t="shared" si="5"/>
        <v>0</v>
      </c>
      <c r="X24" s="11">
        <f t="shared" si="6"/>
        <v>7</v>
      </c>
      <c r="Y24" s="12">
        <f t="shared" si="7"/>
        <v>23</v>
      </c>
      <c r="Z24" s="4"/>
    </row>
    <row r="25" spans="1:29" s="1" customFormat="1" ht="33.950000000000003" customHeight="1" x14ac:dyDescent="0.2">
      <c r="A25" s="20">
        <v>13</v>
      </c>
      <c r="B25" s="18" t="s">
        <v>12</v>
      </c>
      <c r="C25" s="6"/>
      <c r="D25" s="6"/>
      <c r="E25" s="6"/>
      <c r="F25" s="9">
        <v>1</v>
      </c>
      <c r="G25" s="9">
        <v>1</v>
      </c>
      <c r="H25" s="70">
        <f t="shared" si="0"/>
        <v>0</v>
      </c>
      <c r="I25" s="9">
        <v>3</v>
      </c>
      <c r="J25" s="9">
        <v>3</v>
      </c>
      <c r="K25" s="70">
        <f t="shared" si="1"/>
        <v>0</v>
      </c>
      <c r="L25" s="70">
        <v>0</v>
      </c>
      <c r="M25" s="76">
        <v>19</v>
      </c>
      <c r="N25" s="9">
        <f t="shared" si="2"/>
        <v>23</v>
      </c>
      <c r="O25" s="35">
        <v>2</v>
      </c>
      <c r="P25" s="8">
        <v>2</v>
      </c>
      <c r="Q25" s="59">
        <f t="shared" si="3"/>
        <v>0</v>
      </c>
      <c r="R25" s="8">
        <v>1</v>
      </c>
      <c r="S25" s="8">
        <v>1</v>
      </c>
      <c r="T25" s="59">
        <f t="shared" si="4"/>
        <v>0</v>
      </c>
      <c r="U25" s="8">
        <v>5</v>
      </c>
      <c r="V25" s="8">
        <v>5</v>
      </c>
      <c r="W25" s="16">
        <f t="shared" si="5"/>
        <v>0</v>
      </c>
      <c r="X25" s="11">
        <f t="shared" si="6"/>
        <v>8</v>
      </c>
      <c r="Y25" s="12">
        <f t="shared" si="7"/>
        <v>31</v>
      </c>
      <c r="Z25" s="4"/>
    </row>
    <row r="26" spans="1:29" s="1" customFormat="1" ht="33.950000000000003" customHeight="1" x14ac:dyDescent="0.2">
      <c r="A26" s="20">
        <v>14</v>
      </c>
      <c r="B26" s="18" t="s">
        <v>13</v>
      </c>
      <c r="C26" s="6"/>
      <c r="D26" s="6"/>
      <c r="E26" s="6"/>
      <c r="F26" s="9">
        <v>1</v>
      </c>
      <c r="G26" s="9">
        <v>1</v>
      </c>
      <c r="H26" s="70">
        <f t="shared" si="0"/>
        <v>0</v>
      </c>
      <c r="I26" s="9">
        <v>3</v>
      </c>
      <c r="J26" s="9">
        <v>2</v>
      </c>
      <c r="K26" s="70">
        <f t="shared" si="1"/>
        <v>1</v>
      </c>
      <c r="L26" s="70">
        <v>2</v>
      </c>
      <c r="M26" s="76">
        <v>9</v>
      </c>
      <c r="N26" s="9">
        <f t="shared" si="2"/>
        <v>14</v>
      </c>
      <c r="O26" s="35">
        <v>2</v>
      </c>
      <c r="P26" s="8">
        <v>2</v>
      </c>
      <c r="Q26" s="59">
        <f t="shared" si="3"/>
        <v>0</v>
      </c>
      <c r="R26" s="8">
        <v>2</v>
      </c>
      <c r="S26" s="8">
        <v>2</v>
      </c>
      <c r="T26" s="59">
        <f t="shared" si="4"/>
        <v>0</v>
      </c>
      <c r="U26" s="8">
        <v>3</v>
      </c>
      <c r="V26" s="8">
        <v>3</v>
      </c>
      <c r="W26" s="16">
        <f t="shared" si="5"/>
        <v>0</v>
      </c>
      <c r="X26" s="11">
        <f t="shared" si="6"/>
        <v>7</v>
      </c>
      <c r="Y26" s="12">
        <f t="shared" si="7"/>
        <v>21</v>
      </c>
      <c r="Z26" s="4"/>
    </row>
    <row r="27" spans="1:29" s="1" customFormat="1" ht="33.950000000000003" customHeight="1" x14ac:dyDescent="0.2">
      <c r="A27" s="20">
        <v>15</v>
      </c>
      <c r="B27" s="18" t="s">
        <v>14</v>
      </c>
      <c r="C27" s="6"/>
      <c r="D27" s="6"/>
      <c r="E27" s="6"/>
      <c r="F27" s="9">
        <v>1</v>
      </c>
      <c r="G27" s="9">
        <v>1</v>
      </c>
      <c r="H27" s="70">
        <f t="shared" si="0"/>
        <v>0</v>
      </c>
      <c r="I27" s="9">
        <v>3</v>
      </c>
      <c r="J27" s="9">
        <v>3</v>
      </c>
      <c r="K27" s="70">
        <f t="shared" si="1"/>
        <v>0</v>
      </c>
      <c r="L27" s="70">
        <v>2</v>
      </c>
      <c r="M27" s="76">
        <v>17</v>
      </c>
      <c r="N27" s="9">
        <f t="shared" si="2"/>
        <v>23</v>
      </c>
      <c r="O27" s="35">
        <v>6</v>
      </c>
      <c r="P27" s="8">
        <v>6</v>
      </c>
      <c r="Q27" s="59">
        <f t="shared" si="3"/>
        <v>0</v>
      </c>
      <c r="R27" s="8">
        <v>0</v>
      </c>
      <c r="S27" s="8">
        <v>0</v>
      </c>
      <c r="T27" s="59">
        <f t="shared" si="4"/>
        <v>0</v>
      </c>
      <c r="U27" s="8">
        <v>3</v>
      </c>
      <c r="V27" s="8">
        <v>3</v>
      </c>
      <c r="W27" s="16">
        <f t="shared" si="5"/>
        <v>0</v>
      </c>
      <c r="X27" s="11">
        <f t="shared" si="6"/>
        <v>9</v>
      </c>
      <c r="Y27" s="12">
        <f t="shared" si="7"/>
        <v>32</v>
      </c>
      <c r="Z27" s="4"/>
    </row>
    <row r="28" spans="1:29" s="1" customFormat="1" ht="33.950000000000003" customHeight="1" x14ac:dyDescent="0.2">
      <c r="A28" s="20">
        <v>16</v>
      </c>
      <c r="B28" s="18" t="s">
        <v>15</v>
      </c>
      <c r="C28" s="6"/>
      <c r="D28" s="6"/>
      <c r="E28" s="6"/>
      <c r="F28" s="9">
        <v>1</v>
      </c>
      <c r="G28" s="9">
        <v>1</v>
      </c>
      <c r="H28" s="70">
        <f t="shared" si="0"/>
        <v>0</v>
      </c>
      <c r="I28" s="9">
        <v>3</v>
      </c>
      <c r="J28" s="9">
        <v>3</v>
      </c>
      <c r="K28" s="70">
        <f t="shared" si="1"/>
        <v>0</v>
      </c>
      <c r="L28" s="70">
        <v>1</v>
      </c>
      <c r="M28" s="76">
        <v>8</v>
      </c>
      <c r="N28" s="9">
        <f t="shared" si="2"/>
        <v>13</v>
      </c>
      <c r="O28" s="35">
        <v>8</v>
      </c>
      <c r="P28" s="8">
        <v>8</v>
      </c>
      <c r="Q28" s="59">
        <f t="shared" si="3"/>
        <v>0</v>
      </c>
      <c r="R28" s="8">
        <v>1</v>
      </c>
      <c r="S28" s="8">
        <v>1</v>
      </c>
      <c r="T28" s="59">
        <f t="shared" si="4"/>
        <v>0</v>
      </c>
      <c r="U28" s="8">
        <v>3</v>
      </c>
      <c r="V28" s="8">
        <v>3</v>
      </c>
      <c r="W28" s="16">
        <f t="shared" si="5"/>
        <v>0</v>
      </c>
      <c r="X28" s="11">
        <f t="shared" si="6"/>
        <v>12</v>
      </c>
      <c r="Y28" s="12">
        <f t="shared" si="7"/>
        <v>25</v>
      </c>
      <c r="Z28" s="4"/>
    </row>
    <row r="29" spans="1:29" s="1" customFormat="1" ht="33.950000000000003" customHeight="1" x14ac:dyDescent="0.2">
      <c r="A29" s="20">
        <v>17</v>
      </c>
      <c r="B29" s="18" t="s">
        <v>16</v>
      </c>
      <c r="C29" s="6"/>
      <c r="D29" s="6"/>
      <c r="E29" s="6"/>
      <c r="F29" s="9">
        <v>1</v>
      </c>
      <c r="G29" s="9">
        <v>1</v>
      </c>
      <c r="H29" s="70">
        <f t="shared" si="0"/>
        <v>0</v>
      </c>
      <c r="I29" s="9">
        <v>3</v>
      </c>
      <c r="J29" s="9">
        <v>2</v>
      </c>
      <c r="K29" s="70">
        <f t="shared" si="1"/>
        <v>1</v>
      </c>
      <c r="L29" s="70">
        <v>1</v>
      </c>
      <c r="M29" s="76">
        <v>11</v>
      </c>
      <c r="N29" s="9">
        <f t="shared" si="2"/>
        <v>15</v>
      </c>
      <c r="O29" s="35">
        <v>11</v>
      </c>
      <c r="P29" s="8">
        <v>11</v>
      </c>
      <c r="Q29" s="59">
        <f t="shared" si="3"/>
        <v>0</v>
      </c>
      <c r="R29" s="8">
        <v>0</v>
      </c>
      <c r="S29" s="8">
        <v>0</v>
      </c>
      <c r="T29" s="59">
        <f t="shared" si="4"/>
        <v>0</v>
      </c>
      <c r="U29" s="8">
        <v>5</v>
      </c>
      <c r="V29" s="8">
        <v>5</v>
      </c>
      <c r="W29" s="16">
        <f t="shared" si="5"/>
        <v>0</v>
      </c>
      <c r="X29" s="11">
        <f t="shared" si="6"/>
        <v>16</v>
      </c>
      <c r="Y29" s="12">
        <f t="shared" si="7"/>
        <v>31</v>
      </c>
      <c r="Z29" s="4"/>
    </row>
    <row r="30" spans="1:29" s="1" customFormat="1" ht="33.950000000000003" customHeight="1" x14ac:dyDescent="0.2">
      <c r="A30" s="20">
        <v>18</v>
      </c>
      <c r="B30" s="18" t="s">
        <v>17</v>
      </c>
      <c r="C30" s="6"/>
      <c r="D30" s="6"/>
      <c r="E30" s="6"/>
      <c r="F30" s="9">
        <v>1</v>
      </c>
      <c r="G30" s="9">
        <v>1</v>
      </c>
      <c r="H30" s="70">
        <f t="shared" si="0"/>
        <v>0</v>
      </c>
      <c r="I30" s="9">
        <v>3</v>
      </c>
      <c r="J30" s="9">
        <v>3</v>
      </c>
      <c r="K30" s="70">
        <f t="shared" si="1"/>
        <v>0</v>
      </c>
      <c r="L30" s="70">
        <v>2</v>
      </c>
      <c r="M30" s="76">
        <v>7</v>
      </c>
      <c r="N30" s="9">
        <f t="shared" si="2"/>
        <v>13</v>
      </c>
      <c r="O30" s="35">
        <v>3</v>
      </c>
      <c r="P30" s="8">
        <v>3</v>
      </c>
      <c r="Q30" s="59">
        <f t="shared" si="3"/>
        <v>0</v>
      </c>
      <c r="R30" s="8">
        <v>0</v>
      </c>
      <c r="S30" s="8">
        <v>0</v>
      </c>
      <c r="T30" s="59">
        <f t="shared" si="4"/>
        <v>0</v>
      </c>
      <c r="U30" s="8">
        <v>4</v>
      </c>
      <c r="V30" s="8">
        <v>4</v>
      </c>
      <c r="W30" s="16">
        <f t="shared" si="5"/>
        <v>0</v>
      </c>
      <c r="X30" s="11">
        <f t="shared" si="6"/>
        <v>7</v>
      </c>
      <c r="Y30" s="12">
        <f t="shared" si="7"/>
        <v>20</v>
      </c>
      <c r="Z30" s="4"/>
    </row>
    <row r="31" spans="1:29" s="1" customFormat="1" ht="33.950000000000003" customHeight="1" x14ac:dyDescent="0.2">
      <c r="A31" s="20">
        <v>19</v>
      </c>
      <c r="B31" s="18" t="s">
        <v>18</v>
      </c>
      <c r="C31" s="6"/>
      <c r="D31" s="6"/>
      <c r="E31" s="6"/>
      <c r="F31" s="9">
        <v>1</v>
      </c>
      <c r="G31" s="9">
        <v>1</v>
      </c>
      <c r="H31" s="70">
        <f t="shared" si="0"/>
        <v>0</v>
      </c>
      <c r="I31" s="9">
        <v>3</v>
      </c>
      <c r="J31" s="9">
        <v>2</v>
      </c>
      <c r="K31" s="70">
        <f t="shared" si="1"/>
        <v>1</v>
      </c>
      <c r="L31" s="70">
        <v>4</v>
      </c>
      <c r="M31" s="76">
        <v>6</v>
      </c>
      <c r="N31" s="9">
        <f t="shared" si="2"/>
        <v>13</v>
      </c>
      <c r="O31" s="35">
        <v>3</v>
      </c>
      <c r="P31" s="8">
        <v>3</v>
      </c>
      <c r="Q31" s="69">
        <f t="shared" si="3"/>
        <v>0</v>
      </c>
      <c r="R31" s="8">
        <v>0</v>
      </c>
      <c r="S31" s="8">
        <v>0</v>
      </c>
      <c r="T31" s="59">
        <f t="shared" si="4"/>
        <v>0</v>
      </c>
      <c r="U31" s="8">
        <v>4</v>
      </c>
      <c r="V31" s="8">
        <v>4</v>
      </c>
      <c r="W31" s="16">
        <v>0</v>
      </c>
      <c r="X31" s="11">
        <f t="shared" si="6"/>
        <v>7</v>
      </c>
      <c r="Y31" s="12">
        <f t="shared" si="7"/>
        <v>20</v>
      </c>
      <c r="Z31" s="4"/>
    </row>
    <row r="32" spans="1:29" s="1" customFormat="1" ht="33.950000000000003" customHeight="1" x14ac:dyDescent="0.2">
      <c r="A32" s="20">
        <v>20</v>
      </c>
      <c r="B32" s="18" t="s">
        <v>19</v>
      </c>
      <c r="C32" s="6"/>
      <c r="D32" s="6"/>
      <c r="E32" s="6"/>
      <c r="F32" s="9">
        <v>1</v>
      </c>
      <c r="G32" s="9">
        <v>1</v>
      </c>
      <c r="H32" s="70">
        <f t="shared" si="0"/>
        <v>0</v>
      </c>
      <c r="I32" s="9">
        <v>3</v>
      </c>
      <c r="J32" s="9">
        <v>2</v>
      </c>
      <c r="K32" s="70">
        <f t="shared" si="1"/>
        <v>1</v>
      </c>
      <c r="L32" s="70">
        <v>5</v>
      </c>
      <c r="M32" s="76">
        <v>6</v>
      </c>
      <c r="N32" s="9">
        <f t="shared" si="2"/>
        <v>14</v>
      </c>
      <c r="O32" s="35">
        <v>4</v>
      </c>
      <c r="P32" s="8">
        <v>4</v>
      </c>
      <c r="Q32" s="69">
        <f t="shared" si="3"/>
        <v>0</v>
      </c>
      <c r="R32" s="8">
        <v>0</v>
      </c>
      <c r="S32" s="8">
        <v>0</v>
      </c>
      <c r="T32" s="59">
        <f t="shared" si="4"/>
        <v>0</v>
      </c>
      <c r="U32" s="8">
        <v>5</v>
      </c>
      <c r="V32" s="8">
        <v>5</v>
      </c>
      <c r="W32" s="16">
        <f t="shared" si="5"/>
        <v>0</v>
      </c>
      <c r="X32" s="11">
        <f t="shared" si="6"/>
        <v>9</v>
      </c>
      <c r="Y32" s="12">
        <f t="shared" si="7"/>
        <v>23</v>
      </c>
      <c r="Z32" s="4"/>
    </row>
    <row r="33" spans="1:26" s="1" customFormat="1" ht="33.950000000000003" customHeight="1" x14ac:dyDescent="0.2">
      <c r="A33" s="20">
        <v>21</v>
      </c>
      <c r="B33" s="19" t="s">
        <v>20</v>
      </c>
      <c r="C33" s="7"/>
      <c r="D33" s="7"/>
      <c r="E33" s="7"/>
      <c r="F33" s="9">
        <v>1</v>
      </c>
      <c r="G33" s="9">
        <v>1</v>
      </c>
      <c r="H33" s="70">
        <f t="shared" si="0"/>
        <v>0</v>
      </c>
      <c r="I33" s="9">
        <v>3</v>
      </c>
      <c r="J33" s="10">
        <v>3</v>
      </c>
      <c r="K33" s="70">
        <f t="shared" si="1"/>
        <v>0</v>
      </c>
      <c r="L33" s="70">
        <v>0</v>
      </c>
      <c r="M33" s="76">
        <v>8</v>
      </c>
      <c r="N33" s="9">
        <f t="shared" si="2"/>
        <v>12</v>
      </c>
      <c r="O33" s="35">
        <v>4</v>
      </c>
      <c r="P33" s="8">
        <v>4</v>
      </c>
      <c r="Q33" s="69">
        <f t="shared" si="3"/>
        <v>0</v>
      </c>
      <c r="R33" s="8">
        <v>2</v>
      </c>
      <c r="S33" s="8">
        <v>2</v>
      </c>
      <c r="T33" s="59">
        <f t="shared" si="4"/>
        <v>0</v>
      </c>
      <c r="U33" s="8">
        <v>3</v>
      </c>
      <c r="V33" s="8">
        <v>3</v>
      </c>
      <c r="W33" s="16">
        <f t="shared" si="5"/>
        <v>0</v>
      </c>
      <c r="X33" s="11">
        <f t="shared" si="6"/>
        <v>9</v>
      </c>
      <c r="Y33" s="12">
        <f t="shared" si="7"/>
        <v>21</v>
      </c>
      <c r="Z33" s="4"/>
    </row>
    <row r="34" spans="1:26" s="1" customFormat="1" ht="33.950000000000003" customHeight="1" x14ac:dyDescent="0.2">
      <c r="A34" s="20">
        <v>22</v>
      </c>
      <c r="B34" s="18" t="s">
        <v>21</v>
      </c>
      <c r="C34" s="6"/>
      <c r="D34" s="6"/>
      <c r="E34" s="6"/>
      <c r="F34" s="9">
        <v>1</v>
      </c>
      <c r="G34" s="9">
        <v>1</v>
      </c>
      <c r="H34" s="70">
        <f t="shared" si="0"/>
        <v>0</v>
      </c>
      <c r="I34" s="9">
        <v>3</v>
      </c>
      <c r="J34" s="9">
        <v>3</v>
      </c>
      <c r="K34" s="70">
        <f t="shared" si="1"/>
        <v>0</v>
      </c>
      <c r="L34" s="70">
        <v>2</v>
      </c>
      <c r="M34" s="76">
        <v>11</v>
      </c>
      <c r="N34" s="9">
        <f t="shared" si="2"/>
        <v>17</v>
      </c>
      <c r="O34" s="35">
        <v>2</v>
      </c>
      <c r="P34" s="8">
        <v>2</v>
      </c>
      <c r="Q34" s="69">
        <f t="shared" si="3"/>
        <v>0</v>
      </c>
      <c r="R34" s="8">
        <v>0</v>
      </c>
      <c r="S34" s="8">
        <v>0</v>
      </c>
      <c r="T34" s="59">
        <f t="shared" si="4"/>
        <v>0</v>
      </c>
      <c r="U34" s="8">
        <v>3</v>
      </c>
      <c r="V34" s="8">
        <v>3</v>
      </c>
      <c r="W34" s="16">
        <f t="shared" si="5"/>
        <v>0</v>
      </c>
      <c r="X34" s="11">
        <f t="shared" si="6"/>
        <v>5</v>
      </c>
      <c r="Y34" s="12">
        <f t="shared" si="7"/>
        <v>22</v>
      </c>
      <c r="Z34" s="4"/>
    </row>
    <row r="35" spans="1:26" s="1" customFormat="1" ht="33.950000000000003" customHeight="1" x14ac:dyDescent="0.2">
      <c r="A35" s="20">
        <v>23</v>
      </c>
      <c r="B35" s="18" t="s">
        <v>22</v>
      </c>
      <c r="C35" s="6"/>
      <c r="D35" s="6"/>
      <c r="E35" s="6"/>
      <c r="F35" s="9">
        <v>1</v>
      </c>
      <c r="G35" s="9">
        <v>1</v>
      </c>
      <c r="H35" s="70">
        <f t="shared" si="0"/>
        <v>0</v>
      </c>
      <c r="I35" s="9">
        <v>3</v>
      </c>
      <c r="J35" s="9">
        <v>3</v>
      </c>
      <c r="K35" s="70">
        <f t="shared" si="1"/>
        <v>0</v>
      </c>
      <c r="L35" s="70">
        <v>1</v>
      </c>
      <c r="M35" s="76">
        <v>15</v>
      </c>
      <c r="N35" s="9">
        <f t="shared" si="2"/>
        <v>20</v>
      </c>
      <c r="O35" s="35">
        <v>1</v>
      </c>
      <c r="P35" s="8">
        <v>1</v>
      </c>
      <c r="Q35" s="69">
        <f t="shared" si="3"/>
        <v>0</v>
      </c>
      <c r="R35" s="8">
        <v>0</v>
      </c>
      <c r="S35" s="8">
        <v>0</v>
      </c>
      <c r="T35" s="59">
        <f t="shared" si="4"/>
        <v>0</v>
      </c>
      <c r="U35" s="8">
        <v>5</v>
      </c>
      <c r="V35" s="8">
        <v>5</v>
      </c>
      <c r="W35" s="16">
        <f t="shared" si="5"/>
        <v>0</v>
      </c>
      <c r="X35" s="11">
        <f t="shared" si="6"/>
        <v>6</v>
      </c>
      <c r="Y35" s="12">
        <f t="shared" si="7"/>
        <v>26</v>
      </c>
      <c r="Z35" s="4"/>
    </row>
    <row r="36" spans="1:26" s="1" customFormat="1" ht="33.950000000000003" customHeight="1" x14ac:dyDescent="0.2">
      <c r="A36" s="20">
        <v>24</v>
      </c>
      <c r="B36" s="18" t="s">
        <v>34</v>
      </c>
      <c r="C36" s="6"/>
      <c r="D36" s="6"/>
      <c r="E36" s="6"/>
      <c r="F36" s="9">
        <v>1</v>
      </c>
      <c r="G36" s="9">
        <v>1</v>
      </c>
      <c r="H36" s="70">
        <f t="shared" si="0"/>
        <v>0</v>
      </c>
      <c r="I36" s="9">
        <v>3</v>
      </c>
      <c r="J36" s="9">
        <v>2</v>
      </c>
      <c r="K36" s="70">
        <f t="shared" si="1"/>
        <v>1</v>
      </c>
      <c r="L36" s="70">
        <v>3</v>
      </c>
      <c r="M36" s="76">
        <v>4</v>
      </c>
      <c r="N36" s="9">
        <f t="shared" si="2"/>
        <v>10</v>
      </c>
      <c r="O36" s="35">
        <v>0</v>
      </c>
      <c r="P36" s="8">
        <v>0</v>
      </c>
      <c r="Q36" s="69">
        <f t="shared" si="3"/>
        <v>0</v>
      </c>
      <c r="R36" s="8">
        <v>1</v>
      </c>
      <c r="S36" s="8">
        <v>1</v>
      </c>
      <c r="T36" s="59">
        <f t="shared" si="4"/>
        <v>0</v>
      </c>
      <c r="U36" s="8">
        <v>3</v>
      </c>
      <c r="V36" s="8">
        <v>3</v>
      </c>
      <c r="W36" s="16">
        <f t="shared" si="5"/>
        <v>0</v>
      </c>
      <c r="X36" s="11">
        <f t="shared" si="6"/>
        <v>4</v>
      </c>
      <c r="Y36" s="12">
        <f t="shared" si="7"/>
        <v>14</v>
      </c>
      <c r="Z36" s="4"/>
    </row>
    <row r="37" spans="1:26" s="1" customFormat="1" ht="33.950000000000003" customHeight="1" x14ac:dyDescent="0.2">
      <c r="A37" s="20">
        <v>25</v>
      </c>
      <c r="B37" s="18" t="s">
        <v>35</v>
      </c>
      <c r="C37" s="6"/>
      <c r="D37" s="6"/>
      <c r="E37" s="6"/>
      <c r="F37" s="9">
        <v>1</v>
      </c>
      <c r="G37" s="9">
        <v>1</v>
      </c>
      <c r="H37" s="70">
        <f t="shared" si="0"/>
        <v>0</v>
      </c>
      <c r="I37" s="9">
        <v>3</v>
      </c>
      <c r="J37" s="9">
        <v>3</v>
      </c>
      <c r="K37" s="70">
        <f t="shared" si="1"/>
        <v>0</v>
      </c>
      <c r="L37" s="70">
        <v>1</v>
      </c>
      <c r="M37" s="76">
        <v>11</v>
      </c>
      <c r="N37" s="9">
        <f t="shared" si="2"/>
        <v>16</v>
      </c>
      <c r="O37" s="35">
        <v>0</v>
      </c>
      <c r="P37" s="8">
        <v>0</v>
      </c>
      <c r="Q37" s="69">
        <f t="shared" si="3"/>
        <v>0</v>
      </c>
      <c r="R37" s="8">
        <v>0</v>
      </c>
      <c r="S37" s="8">
        <v>0</v>
      </c>
      <c r="T37" s="59">
        <f t="shared" si="4"/>
        <v>0</v>
      </c>
      <c r="U37" s="8">
        <v>5</v>
      </c>
      <c r="V37" s="8">
        <v>5</v>
      </c>
      <c r="W37" s="16">
        <f t="shared" si="5"/>
        <v>0</v>
      </c>
      <c r="X37" s="11">
        <f t="shared" si="6"/>
        <v>5</v>
      </c>
      <c r="Y37" s="12">
        <f t="shared" si="7"/>
        <v>21</v>
      </c>
      <c r="Z37" s="4"/>
    </row>
    <row r="38" spans="1:26" s="1" customFormat="1" ht="33.950000000000003" customHeight="1" x14ac:dyDescent="0.2">
      <c r="A38" s="20">
        <v>26</v>
      </c>
      <c r="B38" s="18" t="s">
        <v>36</v>
      </c>
      <c r="C38" s="6"/>
      <c r="D38" s="6"/>
      <c r="E38" s="6"/>
      <c r="F38" s="9">
        <v>1</v>
      </c>
      <c r="G38" s="9">
        <v>1</v>
      </c>
      <c r="H38" s="70">
        <f>F38-G38</f>
        <v>0</v>
      </c>
      <c r="I38" s="9">
        <v>3</v>
      </c>
      <c r="J38" s="9">
        <v>3</v>
      </c>
      <c r="K38" s="70">
        <f>I38-J38</f>
        <v>0</v>
      </c>
      <c r="L38" s="70">
        <v>1</v>
      </c>
      <c r="M38" s="76">
        <v>6</v>
      </c>
      <c r="N38" s="9">
        <f t="shared" si="2"/>
        <v>11</v>
      </c>
      <c r="O38" s="35">
        <v>0</v>
      </c>
      <c r="P38" s="8">
        <v>0</v>
      </c>
      <c r="Q38" s="69">
        <f>O38-P38</f>
        <v>0</v>
      </c>
      <c r="R38" s="8">
        <v>0</v>
      </c>
      <c r="S38" s="8">
        <v>0</v>
      </c>
      <c r="T38" s="59">
        <f>R38-S38</f>
        <v>0</v>
      </c>
      <c r="U38" s="8">
        <v>2</v>
      </c>
      <c r="V38" s="8">
        <v>2</v>
      </c>
      <c r="W38" s="16">
        <f>U38-V38</f>
        <v>0</v>
      </c>
      <c r="X38" s="11">
        <f>P38+S38+V38</f>
        <v>2</v>
      </c>
      <c r="Y38" s="12">
        <f t="shared" si="7"/>
        <v>13</v>
      </c>
      <c r="Z38" s="4"/>
    </row>
    <row r="39" spans="1:26" s="1" customFormat="1" ht="33.950000000000003" customHeight="1" x14ac:dyDescent="0.2">
      <c r="A39" s="20">
        <v>27</v>
      </c>
      <c r="B39" s="18" t="s">
        <v>33</v>
      </c>
      <c r="C39" s="6"/>
      <c r="D39" s="6"/>
      <c r="E39" s="6"/>
      <c r="F39" s="9">
        <v>1</v>
      </c>
      <c r="G39" s="9">
        <v>1</v>
      </c>
      <c r="H39" s="70">
        <f t="shared" si="0"/>
        <v>0</v>
      </c>
      <c r="I39" s="9">
        <v>3</v>
      </c>
      <c r="J39" s="9">
        <v>3</v>
      </c>
      <c r="K39" s="70">
        <f t="shared" si="1"/>
        <v>0</v>
      </c>
      <c r="L39" s="70">
        <v>3</v>
      </c>
      <c r="M39" s="76">
        <v>5</v>
      </c>
      <c r="N39" s="9">
        <f t="shared" si="2"/>
        <v>12</v>
      </c>
      <c r="O39" s="35">
        <v>1</v>
      </c>
      <c r="P39" s="8">
        <v>1</v>
      </c>
      <c r="Q39" s="69">
        <f t="shared" si="3"/>
        <v>0</v>
      </c>
      <c r="R39" s="8">
        <v>0</v>
      </c>
      <c r="S39" s="8">
        <v>0</v>
      </c>
      <c r="T39" s="59">
        <f t="shared" si="4"/>
        <v>0</v>
      </c>
      <c r="U39" s="8">
        <v>3</v>
      </c>
      <c r="V39" s="8">
        <v>3</v>
      </c>
      <c r="W39" s="16">
        <f t="shared" si="5"/>
        <v>0</v>
      </c>
      <c r="X39" s="11">
        <f t="shared" si="6"/>
        <v>4</v>
      </c>
      <c r="Y39" s="12">
        <f t="shared" si="7"/>
        <v>16</v>
      </c>
      <c r="Z39" s="4"/>
    </row>
    <row r="40" spans="1:26" s="1" customFormat="1" ht="33.950000000000003" customHeight="1" x14ac:dyDescent="0.2">
      <c r="A40" s="20">
        <v>28</v>
      </c>
      <c r="B40" s="18" t="s">
        <v>23</v>
      </c>
      <c r="C40" s="6"/>
      <c r="D40" s="6"/>
      <c r="E40" s="6"/>
      <c r="F40" s="9">
        <v>1</v>
      </c>
      <c r="G40" s="9">
        <v>1</v>
      </c>
      <c r="H40" s="70">
        <f t="shared" si="0"/>
        <v>0</v>
      </c>
      <c r="I40" s="9">
        <v>3</v>
      </c>
      <c r="J40" s="9">
        <v>3</v>
      </c>
      <c r="K40" s="70">
        <f t="shared" si="1"/>
        <v>0</v>
      </c>
      <c r="L40" s="70">
        <v>5</v>
      </c>
      <c r="M40" s="76">
        <v>5</v>
      </c>
      <c r="N40" s="9">
        <f t="shared" si="2"/>
        <v>14</v>
      </c>
      <c r="O40" s="35">
        <v>3</v>
      </c>
      <c r="P40" s="8">
        <v>3</v>
      </c>
      <c r="Q40" s="69">
        <f t="shared" si="3"/>
        <v>0</v>
      </c>
      <c r="R40" s="8">
        <v>0</v>
      </c>
      <c r="S40" s="8">
        <v>0</v>
      </c>
      <c r="T40" s="59">
        <f t="shared" si="4"/>
        <v>0</v>
      </c>
      <c r="U40" s="8">
        <v>2</v>
      </c>
      <c r="V40" s="8">
        <v>2</v>
      </c>
      <c r="W40" s="16">
        <f t="shared" si="5"/>
        <v>0</v>
      </c>
      <c r="X40" s="11">
        <f t="shared" si="6"/>
        <v>5</v>
      </c>
      <c r="Y40" s="12">
        <f t="shared" si="7"/>
        <v>19</v>
      </c>
      <c r="Z40" s="4"/>
    </row>
    <row r="41" spans="1:26" s="1" customFormat="1" ht="33.950000000000003" customHeight="1" x14ac:dyDescent="0.2">
      <c r="A41" s="20">
        <v>29</v>
      </c>
      <c r="B41" s="18" t="s">
        <v>24</v>
      </c>
      <c r="C41" s="6"/>
      <c r="D41" s="6"/>
      <c r="E41" s="6"/>
      <c r="F41" s="9">
        <v>1</v>
      </c>
      <c r="G41" s="9">
        <v>1</v>
      </c>
      <c r="H41" s="70">
        <f t="shared" si="0"/>
        <v>0</v>
      </c>
      <c r="I41" s="9">
        <v>3</v>
      </c>
      <c r="J41" s="9">
        <v>3</v>
      </c>
      <c r="K41" s="70">
        <f t="shared" si="1"/>
        <v>0</v>
      </c>
      <c r="L41" s="70">
        <v>1</v>
      </c>
      <c r="M41" s="76">
        <v>6</v>
      </c>
      <c r="N41" s="9">
        <f t="shared" si="2"/>
        <v>11</v>
      </c>
      <c r="O41" s="35">
        <v>1</v>
      </c>
      <c r="P41" s="8">
        <v>1</v>
      </c>
      <c r="Q41" s="69">
        <f t="shared" si="3"/>
        <v>0</v>
      </c>
      <c r="R41" s="8">
        <v>0</v>
      </c>
      <c r="S41" s="8">
        <v>0</v>
      </c>
      <c r="T41" s="59">
        <f t="shared" si="4"/>
        <v>0</v>
      </c>
      <c r="U41" s="8">
        <v>4</v>
      </c>
      <c r="V41" s="8">
        <v>4</v>
      </c>
      <c r="W41" s="16">
        <f t="shared" si="5"/>
        <v>0</v>
      </c>
      <c r="X41" s="11">
        <f t="shared" si="6"/>
        <v>5</v>
      </c>
      <c r="Y41" s="12">
        <f t="shared" si="7"/>
        <v>16</v>
      </c>
      <c r="Z41" s="4"/>
    </row>
    <row r="42" spans="1:26" s="1" customFormat="1" ht="33.950000000000003" customHeight="1" x14ac:dyDescent="0.2">
      <c r="A42" s="20">
        <v>30</v>
      </c>
      <c r="B42" s="18" t="s">
        <v>25</v>
      </c>
      <c r="C42" s="6"/>
      <c r="D42" s="6"/>
      <c r="E42" s="6"/>
      <c r="F42" s="9">
        <v>1</v>
      </c>
      <c r="G42" s="9">
        <v>1</v>
      </c>
      <c r="H42" s="70">
        <f t="shared" si="0"/>
        <v>0</v>
      </c>
      <c r="I42" s="9">
        <v>3</v>
      </c>
      <c r="J42" s="9">
        <v>2</v>
      </c>
      <c r="K42" s="70">
        <f t="shared" si="1"/>
        <v>1</v>
      </c>
      <c r="L42" s="70">
        <v>3</v>
      </c>
      <c r="M42" s="76">
        <v>12</v>
      </c>
      <c r="N42" s="9">
        <f t="shared" si="2"/>
        <v>18</v>
      </c>
      <c r="O42" s="35">
        <v>1</v>
      </c>
      <c r="P42" s="8">
        <v>1</v>
      </c>
      <c r="Q42" s="69">
        <f t="shared" si="3"/>
        <v>0</v>
      </c>
      <c r="R42" s="8">
        <v>0</v>
      </c>
      <c r="S42" s="8">
        <v>0</v>
      </c>
      <c r="T42" s="59">
        <f t="shared" si="4"/>
        <v>0</v>
      </c>
      <c r="U42" s="8">
        <v>5</v>
      </c>
      <c r="V42" s="8">
        <v>5</v>
      </c>
      <c r="W42" s="16">
        <f t="shared" si="5"/>
        <v>0</v>
      </c>
      <c r="X42" s="11">
        <f t="shared" si="6"/>
        <v>6</v>
      </c>
      <c r="Y42" s="12">
        <f t="shared" si="7"/>
        <v>24</v>
      </c>
      <c r="Z42" s="4"/>
    </row>
    <row r="43" spans="1:26" s="1" customFormat="1" ht="33.950000000000003" customHeight="1" x14ac:dyDescent="0.2">
      <c r="A43" s="20">
        <v>31</v>
      </c>
      <c r="B43" s="18" t="s">
        <v>37</v>
      </c>
      <c r="C43" s="6"/>
      <c r="D43" s="6"/>
      <c r="E43" s="6"/>
      <c r="F43" s="9">
        <v>1</v>
      </c>
      <c r="G43" s="9">
        <v>1</v>
      </c>
      <c r="H43" s="70">
        <f t="shared" si="0"/>
        <v>0</v>
      </c>
      <c r="I43" s="9">
        <v>3</v>
      </c>
      <c r="J43" s="9">
        <v>3</v>
      </c>
      <c r="K43" s="70">
        <f t="shared" si="1"/>
        <v>0</v>
      </c>
      <c r="L43" s="70">
        <v>2</v>
      </c>
      <c r="M43" s="76">
        <v>6</v>
      </c>
      <c r="N43" s="9">
        <f t="shared" si="2"/>
        <v>12</v>
      </c>
      <c r="O43" s="35">
        <v>1</v>
      </c>
      <c r="P43" s="8">
        <v>1</v>
      </c>
      <c r="Q43" s="69">
        <f t="shared" si="3"/>
        <v>0</v>
      </c>
      <c r="R43" s="8">
        <v>1</v>
      </c>
      <c r="S43" s="8">
        <v>1</v>
      </c>
      <c r="T43" s="59">
        <f t="shared" si="4"/>
        <v>0</v>
      </c>
      <c r="U43" s="8">
        <v>3</v>
      </c>
      <c r="V43" s="8">
        <v>3</v>
      </c>
      <c r="W43" s="16">
        <f t="shared" si="5"/>
        <v>0</v>
      </c>
      <c r="X43" s="11">
        <f t="shared" si="6"/>
        <v>5</v>
      </c>
      <c r="Y43" s="12">
        <f t="shared" si="7"/>
        <v>17</v>
      </c>
      <c r="Z43" s="4"/>
    </row>
    <row r="44" spans="1:26" s="1" customFormat="1" ht="33.950000000000003" customHeight="1" x14ac:dyDescent="0.2">
      <c r="A44" s="20">
        <v>32</v>
      </c>
      <c r="B44" s="18" t="s">
        <v>38</v>
      </c>
      <c r="C44" s="6"/>
      <c r="D44" s="6"/>
      <c r="E44" s="6"/>
      <c r="F44" s="9">
        <v>1</v>
      </c>
      <c r="G44" s="9">
        <v>1</v>
      </c>
      <c r="H44" s="70">
        <f t="shared" si="0"/>
        <v>0</v>
      </c>
      <c r="I44" s="9">
        <v>3</v>
      </c>
      <c r="J44" s="9">
        <v>2</v>
      </c>
      <c r="K44" s="70">
        <f t="shared" si="1"/>
        <v>1</v>
      </c>
      <c r="L44" s="70">
        <v>3</v>
      </c>
      <c r="M44" s="76">
        <v>3</v>
      </c>
      <c r="N44" s="9">
        <f t="shared" si="2"/>
        <v>9</v>
      </c>
      <c r="O44" s="35">
        <v>0</v>
      </c>
      <c r="P44" s="8">
        <v>0</v>
      </c>
      <c r="Q44" s="69">
        <f t="shared" si="3"/>
        <v>0</v>
      </c>
      <c r="R44" s="8">
        <v>1</v>
      </c>
      <c r="S44" s="8">
        <v>1</v>
      </c>
      <c r="T44" s="59">
        <f t="shared" si="4"/>
        <v>0</v>
      </c>
      <c r="U44" s="8">
        <v>3</v>
      </c>
      <c r="V44" s="8">
        <v>3</v>
      </c>
      <c r="W44" s="16">
        <f t="shared" si="5"/>
        <v>0</v>
      </c>
      <c r="X44" s="11">
        <f t="shared" si="6"/>
        <v>4</v>
      </c>
      <c r="Y44" s="12">
        <f t="shared" si="7"/>
        <v>13</v>
      </c>
      <c r="Z44" s="4"/>
    </row>
    <row r="45" spans="1:26" s="1" customFormat="1" ht="33.950000000000003" customHeight="1" x14ac:dyDescent="0.2">
      <c r="A45" s="20">
        <v>33</v>
      </c>
      <c r="B45" s="18" t="s">
        <v>26</v>
      </c>
      <c r="C45" s="6"/>
      <c r="D45" s="6"/>
      <c r="E45" s="6"/>
      <c r="F45" s="9">
        <v>1</v>
      </c>
      <c r="G45" s="9">
        <v>1</v>
      </c>
      <c r="H45" s="70">
        <f t="shared" si="0"/>
        <v>0</v>
      </c>
      <c r="I45" s="9">
        <v>3</v>
      </c>
      <c r="J45" s="9">
        <v>3</v>
      </c>
      <c r="K45" s="70">
        <f t="shared" si="1"/>
        <v>0</v>
      </c>
      <c r="L45" s="70">
        <v>2</v>
      </c>
      <c r="M45" s="76">
        <v>5</v>
      </c>
      <c r="N45" s="9">
        <f t="shared" si="2"/>
        <v>11</v>
      </c>
      <c r="O45" s="35">
        <v>2</v>
      </c>
      <c r="P45" s="8">
        <v>2</v>
      </c>
      <c r="Q45" s="69">
        <f t="shared" si="3"/>
        <v>0</v>
      </c>
      <c r="R45" s="8">
        <v>0</v>
      </c>
      <c r="S45" s="8">
        <v>0</v>
      </c>
      <c r="T45" s="59">
        <f t="shared" si="4"/>
        <v>0</v>
      </c>
      <c r="U45" s="8">
        <v>6</v>
      </c>
      <c r="V45" s="8">
        <v>6</v>
      </c>
      <c r="W45" s="16">
        <f t="shared" si="5"/>
        <v>0</v>
      </c>
      <c r="X45" s="11">
        <f t="shared" si="6"/>
        <v>8</v>
      </c>
      <c r="Y45" s="12">
        <f t="shared" si="7"/>
        <v>19</v>
      </c>
      <c r="Z45" s="4"/>
    </row>
    <row r="46" spans="1:26" s="1" customFormat="1" ht="33.950000000000003" customHeight="1" x14ac:dyDescent="0.2">
      <c r="A46" s="20">
        <v>34</v>
      </c>
      <c r="B46" s="18" t="s">
        <v>27</v>
      </c>
      <c r="C46" s="6"/>
      <c r="D46" s="6"/>
      <c r="E46" s="6"/>
      <c r="F46" s="9">
        <v>1</v>
      </c>
      <c r="G46" s="9">
        <v>1</v>
      </c>
      <c r="H46" s="55">
        <f t="shared" si="0"/>
        <v>0</v>
      </c>
      <c r="I46" s="9">
        <v>3</v>
      </c>
      <c r="J46" s="9">
        <v>3</v>
      </c>
      <c r="K46" s="55">
        <f t="shared" si="1"/>
        <v>0</v>
      </c>
      <c r="L46" s="45">
        <v>1</v>
      </c>
      <c r="M46" s="46">
        <v>7</v>
      </c>
      <c r="N46" s="9">
        <f t="shared" si="2"/>
        <v>12</v>
      </c>
      <c r="O46" s="35">
        <v>1</v>
      </c>
      <c r="P46" s="8">
        <v>1</v>
      </c>
      <c r="Q46" s="59">
        <f t="shared" si="3"/>
        <v>0</v>
      </c>
      <c r="R46" s="8">
        <v>0</v>
      </c>
      <c r="S46" s="8">
        <v>0</v>
      </c>
      <c r="T46" s="59">
        <f t="shared" si="4"/>
        <v>0</v>
      </c>
      <c r="U46" s="8">
        <v>3</v>
      </c>
      <c r="V46" s="8">
        <v>3</v>
      </c>
      <c r="W46" s="16">
        <f t="shared" si="5"/>
        <v>0</v>
      </c>
      <c r="X46" s="11">
        <f t="shared" si="6"/>
        <v>4</v>
      </c>
      <c r="Y46" s="12">
        <f t="shared" si="7"/>
        <v>16</v>
      </c>
      <c r="Z46" s="4"/>
    </row>
    <row r="47" spans="1:26" s="1" customFormat="1" ht="33.950000000000003" customHeight="1" x14ac:dyDescent="0.2">
      <c r="A47" s="20">
        <v>35</v>
      </c>
      <c r="B47" s="18" t="s">
        <v>39</v>
      </c>
      <c r="C47" s="6"/>
      <c r="D47" s="6"/>
      <c r="E47" s="6"/>
      <c r="F47" s="9">
        <v>1</v>
      </c>
      <c r="G47" s="9">
        <v>1</v>
      </c>
      <c r="H47" s="55">
        <f t="shared" si="0"/>
        <v>0</v>
      </c>
      <c r="I47" s="9">
        <v>3</v>
      </c>
      <c r="J47" s="9">
        <v>3</v>
      </c>
      <c r="K47" s="55">
        <f t="shared" si="1"/>
        <v>0</v>
      </c>
      <c r="L47" s="45">
        <v>4</v>
      </c>
      <c r="M47" s="46">
        <v>4</v>
      </c>
      <c r="N47" s="9">
        <f t="shared" si="2"/>
        <v>12</v>
      </c>
      <c r="O47" s="35">
        <v>3</v>
      </c>
      <c r="P47" s="8">
        <v>3</v>
      </c>
      <c r="Q47" s="59">
        <f t="shared" si="3"/>
        <v>0</v>
      </c>
      <c r="R47" s="8">
        <v>0</v>
      </c>
      <c r="S47" s="8">
        <v>0</v>
      </c>
      <c r="T47" s="59">
        <f t="shared" si="4"/>
        <v>0</v>
      </c>
      <c r="U47" s="8">
        <v>4</v>
      </c>
      <c r="V47" s="8">
        <v>4</v>
      </c>
      <c r="W47" s="16">
        <f t="shared" si="5"/>
        <v>0</v>
      </c>
      <c r="X47" s="11">
        <f t="shared" si="6"/>
        <v>7</v>
      </c>
      <c r="Y47" s="12">
        <f t="shared" si="7"/>
        <v>19</v>
      </c>
      <c r="Z47" s="4"/>
    </row>
    <row r="48" spans="1:26" s="1" customFormat="1" ht="33.950000000000003" customHeight="1" x14ac:dyDescent="0.2">
      <c r="A48" s="20">
        <v>36</v>
      </c>
      <c r="B48" s="18" t="s">
        <v>42</v>
      </c>
      <c r="C48" s="6"/>
      <c r="D48" s="6"/>
      <c r="E48" s="6"/>
      <c r="F48" s="9">
        <v>1</v>
      </c>
      <c r="G48" s="9">
        <v>1</v>
      </c>
      <c r="H48" s="55">
        <f t="shared" si="0"/>
        <v>0</v>
      </c>
      <c r="I48" s="9">
        <v>3</v>
      </c>
      <c r="J48" s="9">
        <v>3</v>
      </c>
      <c r="K48" s="55">
        <f t="shared" si="1"/>
        <v>0</v>
      </c>
      <c r="L48" s="45">
        <v>1</v>
      </c>
      <c r="M48" s="46">
        <v>13</v>
      </c>
      <c r="N48" s="9">
        <f t="shared" si="2"/>
        <v>18</v>
      </c>
      <c r="O48" s="35">
        <v>0</v>
      </c>
      <c r="P48" s="8">
        <v>0</v>
      </c>
      <c r="Q48" s="59">
        <f t="shared" si="3"/>
        <v>0</v>
      </c>
      <c r="R48" s="8">
        <v>0</v>
      </c>
      <c r="S48" s="8">
        <v>0</v>
      </c>
      <c r="T48" s="59">
        <f t="shared" si="4"/>
        <v>0</v>
      </c>
      <c r="U48" s="8">
        <v>2</v>
      </c>
      <c r="V48" s="8">
        <v>2</v>
      </c>
      <c r="W48" s="16">
        <f t="shared" si="5"/>
        <v>0</v>
      </c>
      <c r="X48" s="11">
        <f t="shared" si="6"/>
        <v>2</v>
      </c>
      <c r="Y48" s="12">
        <f t="shared" si="7"/>
        <v>20</v>
      </c>
      <c r="Z48" s="4"/>
    </row>
    <row r="49" spans="1:26" s="1" customFormat="1" ht="33.950000000000003" customHeight="1" x14ac:dyDescent="0.2">
      <c r="A49" s="20">
        <v>37</v>
      </c>
      <c r="B49" s="18" t="s">
        <v>40</v>
      </c>
      <c r="C49" s="6"/>
      <c r="D49" s="6"/>
      <c r="E49" s="6"/>
      <c r="F49" s="9">
        <v>1</v>
      </c>
      <c r="G49" s="9">
        <v>1</v>
      </c>
      <c r="H49" s="55">
        <f t="shared" si="0"/>
        <v>0</v>
      </c>
      <c r="I49" s="9">
        <v>3</v>
      </c>
      <c r="J49" s="9">
        <v>3</v>
      </c>
      <c r="K49" s="55">
        <f t="shared" si="1"/>
        <v>0</v>
      </c>
      <c r="L49" s="45">
        <v>2</v>
      </c>
      <c r="M49" s="46">
        <v>8</v>
      </c>
      <c r="N49" s="9">
        <f t="shared" si="2"/>
        <v>14</v>
      </c>
      <c r="O49" s="35">
        <v>0</v>
      </c>
      <c r="P49" s="8">
        <v>0</v>
      </c>
      <c r="Q49" s="59">
        <f t="shared" si="3"/>
        <v>0</v>
      </c>
      <c r="R49" s="8">
        <v>1</v>
      </c>
      <c r="S49" s="8">
        <v>1</v>
      </c>
      <c r="T49" s="59">
        <f t="shared" si="4"/>
        <v>0</v>
      </c>
      <c r="U49" s="8">
        <v>2</v>
      </c>
      <c r="V49" s="8">
        <v>2</v>
      </c>
      <c r="W49" s="16">
        <f t="shared" si="5"/>
        <v>0</v>
      </c>
      <c r="X49" s="11">
        <f t="shared" si="6"/>
        <v>3</v>
      </c>
      <c r="Y49" s="12">
        <f t="shared" si="7"/>
        <v>17</v>
      </c>
      <c r="Z49" s="4"/>
    </row>
    <row r="50" spans="1:26" s="1" customFormat="1" ht="33.950000000000003" customHeight="1" x14ac:dyDescent="0.2">
      <c r="A50" s="41">
        <v>38</v>
      </c>
      <c r="B50" s="42" t="s">
        <v>41</v>
      </c>
      <c r="C50" s="43"/>
      <c r="D50" s="43"/>
      <c r="E50" s="43"/>
      <c r="F50" s="44">
        <v>1</v>
      </c>
      <c r="G50" s="44">
        <v>1</v>
      </c>
      <c r="H50" s="45">
        <f t="shared" si="0"/>
        <v>0</v>
      </c>
      <c r="I50" s="44">
        <v>3</v>
      </c>
      <c r="J50" s="44">
        <v>2</v>
      </c>
      <c r="K50" s="45">
        <f t="shared" si="1"/>
        <v>1</v>
      </c>
      <c r="L50" s="45">
        <v>1</v>
      </c>
      <c r="M50" s="46">
        <v>6</v>
      </c>
      <c r="N50" s="9">
        <f t="shared" si="2"/>
        <v>10</v>
      </c>
      <c r="O50" s="35">
        <v>0</v>
      </c>
      <c r="P50" s="8">
        <v>0</v>
      </c>
      <c r="Q50" s="59">
        <f t="shared" si="3"/>
        <v>0</v>
      </c>
      <c r="R50" s="8">
        <v>1</v>
      </c>
      <c r="S50" s="8">
        <v>1</v>
      </c>
      <c r="T50" s="59">
        <f t="shared" si="4"/>
        <v>0</v>
      </c>
      <c r="U50" s="8">
        <v>2</v>
      </c>
      <c r="V50" s="8">
        <v>2</v>
      </c>
      <c r="W50" s="16">
        <f t="shared" si="5"/>
        <v>0</v>
      </c>
      <c r="X50" s="11">
        <f t="shared" si="6"/>
        <v>3</v>
      </c>
      <c r="Y50" s="12">
        <f t="shared" si="7"/>
        <v>13</v>
      </c>
      <c r="Z50" s="4"/>
    </row>
    <row r="51" spans="1:26" s="1" customFormat="1" ht="33.950000000000003" customHeight="1" x14ac:dyDescent="0.2">
      <c r="A51" s="20">
        <v>39</v>
      </c>
      <c r="B51" s="42" t="s">
        <v>28</v>
      </c>
      <c r="C51" s="43"/>
      <c r="D51" s="43"/>
      <c r="E51" s="43"/>
      <c r="F51" s="44">
        <v>1</v>
      </c>
      <c r="G51" s="44">
        <v>1</v>
      </c>
      <c r="H51" s="45">
        <f t="shared" si="0"/>
        <v>0</v>
      </c>
      <c r="I51" s="44">
        <v>3</v>
      </c>
      <c r="J51" s="44">
        <v>2</v>
      </c>
      <c r="K51" s="45">
        <f t="shared" si="1"/>
        <v>1</v>
      </c>
      <c r="L51" s="45">
        <v>1</v>
      </c>
      <c r="M51" s="46">
        <v>17</v>
      </c>
      <c r="N51" s="9">
        <f t="shared" si="2"/>
        <v>21</v>
      </c>
      <c r="O51" s="35">
        <v>6</v>
      </c>
      <c r="P51" s="8">
        <v>6</v>
      </c>
      <c r="Q51" s="59">
        <f t="shared" si="3"/>
        <v>0</v>
      </c>
      <c r="R51" s="8">
        <v>0</v>
      </c>
      <c r="S51" s="8">
        <v>0</v>
      </c>
      <c r="T51" s="59">
        <f t="shared" si="4"/>
        <v>0</v>
      </c>
      <c r="U51" s="8">
        <v>0</v>
      </c>
      <c r="V51" s="8">
        <v>0</v>
      </c>
      <c r="W51" s="16">
        <f t="shared" si="5"/>
        <v>0</v>
      </c>
      <c r="X51" s="11">
        <f t="shared" si="6"/>
        <v>6</v>
      </c>
      <c r="Y51" s="12">
        <f t="shared" si="7"/>
        <v>27</v>
      </c>
      <c r="Z51" s="4"/>
    </row>
    <row r="52" spans="1:26" s="1" customFormat="1" ht="33.950000000000003" customHeight="1" x14ac:dyDescent="0.2">
      <c r="A52" s="20">
        <v>40</v>
      </c>
      <c r="B52" s="18" t="s">
        <v>29</v>
      </c>
      <c r="C52" s="6"/>
      <c r="D52" s="6"/>
      <c r="E52" s="6"/>
      <c r="F52" s="9">
        <v>1</v>
      </c>
      <c r="G52" s="9">
        <v>1</v>
      </c>
      <c r="H52" s="55">
        <f t="shared" si="0"/>
        <v>0</v>
      </c>
      <c r="I52" s="9">
        <v>3</v>
      </c>
      <c r="J52" s="9">
        <v>3</v>
      </c>
      <c r="K52" s="55">
        <f t="shared" si="1"/>
        <v>0</v>
      </c>
      <c r="L52" s="45">
        <v>1</v>
      </c>
      <c r="M52" s="46">
        <v>13</v>
      </c>
      <c r="N52" s="44">
        <f t="shared" si="2"/>
        <v>18</v>
      </c>
      <c r="O52" s="47">
        <v>3</v>
      </c>
      <c r="P52" s="48">
        <v>3</v>
      </c>
      <c r="Q52" s="49">
        <f t="shared" si="3"/>
        <v>0</v>
      </c>
      <c r="R52" s="48">
        <v>1</v>
      </c>
      <c r="S52" s="48">
        <v>1</v>
      </c>
      <c r="T52" s="49">
        <f t="shared" si="4"/>
        <v>0</v>
      </c>
      <c r="U52" s="48">
        <v>1</v>
      </c>
      <c r="V52" s="48">
        <v>1</v>
      </c>
      <c r="W52" s="50">
        <f t="shared" si="5"/>
        <v>0</v>
      </c>
      <c r="X52" s="51">
        <f t="shared" si="6"/>
        <v>5</v>
      </c>
      <c r="Y52" s="52">
        <f t="shared" si="7"/>
        <v>23</v>
      </c>
      <c r="Z52" s="53"/>
    </row>
    <row r="53" spans="1:26" s="1" customFormat="1" ht="33.950000000000003" customHeight="1" x14ac:dyDescent="0.2">
      <c r="A53" s="20">
        <v>41</v>
      </c>
      <c r="B53" s="18" t="s">
        <v>30</v>
      </c>
      <c r="C53" s="6"/>
      <c r="D53" s="6"/>
      <c r="E53" s="6"/>
      <c r="F53" s="9">
        <v>1</v>
      </c>
      <c r="G53" s="9">
        <v>1</v>
      </c>
      <c r="H53" s="55">
        <f t="shared" si="0"/>
        <v>0</v>
      </c>
      <c r="I53" s="9">
        <v>3</v>
      </c>
      <c r="J53" s="9">
        <v>3</v>
      </c>
      <c r="K53" s="55">
        <f t="shared" si="1"/>
        <v>0</v>
      </c>
      <c r="L53" s="45">
        <v>1</v>
      </c>
      <c r="M53" s="46">
        <v>8</v>
      </c>
      <c r="N53" s="9">
        <f t="shared" si="2"/>
        <v>13</v>
      </c>
      <c r="O53" s="35">
        <v>3</v>
      </c>
      <c r="P53" s="8">
        <v>3</v>
      </c>
      <c r="Q53" s="59">
        <f t="shared" si="3"/>
        <v>0</v>
      </c>
      <c r="R53" s="8">
        <v>1</v>
      </c>
      <c r="S53" s="8">
        <v>1</v>
      </c>
      <c r="T53" s="59">
        <f t="shared" si="4"/>
        <v>0</v>
      </c>
      <c r="U53" s="8">
        <v>4</v>
      </c>
      <c r="V53" s="8">
        <v>4</v>
      </c>
      <c r="W53" s="16">
        <f t="shared" si="5"/>
        <v>0</v>
      </c>
      <c r="X53" s="11">
        <f t="shared" si="6"/>
        <v>8</v>
      </c>
      <c r="Y53" s="12">
        <f t="shared" si="7"/>
        <v>21</v>
      </c>
      <c r="Z53" s="4"/>
    </row>
    <row r="54" spans="1:26" s="1" customFormat="1" ht="33.950000000000003" customHeight="1" thickBot="1" x14ac:dyDescent="0.25">
      <c r="A54" s="21">
        <v>42</v>
      </c>
      <c r="B54" s="64" t="s">
        <v>31</v>
      </c>
      <c r="C54" s="65"/>
      <c r="D54" s="65"/>
      <c r="E54" s="65"/>
      <c r="F54" s="66">
        <v>1</v>
      </c>
      <c r="G54" s="44">
        <v>1</v>
      </c>
      <c r="H54" s="67">
        <f t="shared" si="0"/>
        <v>0</v>
      </c>
      <c r="I54" s="66">
        <v>3</v>
      </c>
      <c r="J54" s="66">
        <v>2</v>
      </c>
      <c r="K54" s="57">
        <f t="shared" si="1"/>
        <v>1</v>
      </c>
      <c r="L54" s="67">
        <v>4</v>
      </c>
      <c r="M54" s="68">
        <v>5</v>
      </c>
      <c r="N54" s="9">
        <f t="shared" si="2"/>
        <v>12</v>
      </c>
      <c r="O54" s="36">
        <v>1</v>
      </c>
      <c r="P54" s="15">
        <v>1</v>
      </c>
      <c r="Q54" s="39">
        <f t="shared" si="3"/>
        <v>0</v>
      </c>
      <c r="R54" s="15">
        <v>1</v>
      </c>
      <c r="S54" s="15">
        <v>1</v>
      </c>
      <c r="T54" s="39">
        <f t="shared" si="4"/>
        <v>0</v>
      </c>
      <c r="U54" s="15">
        <v>2</v>
      </c>
      <c r="V54" s="15">
        <v>2</v>
      </c>
      <c r="W54" s="22">
        <f t="shared" si="5"/>
        <v>0</v>
      </c>
      <c r="X54" s="23">
        <f t="shared" si="6"/>
        <v>4</v>
      </c>
      <c r="Y54" s="24">
        <f t="shared" si="7"/>
        <v>16</v>
      </c>
      <c r="Z54" s="4"/>
    </row>
    <row r="55" spans="1:26" ht="24" customHeight="1" thickTop="1" thickBot="1" x14ac:dyDescent="0.25">
      <c r="A55" s="25"/>
      <c r="B55" s="26" t="s">
        <v>2</v>
      </c>
      <c r="C55" s="26">
        <v>1</v>
      </c>
      <c r="D55" s="26">
        <v>0</v>
      </c>
      <c r="E55" s="27">
        <f>C55-D55</f>
        <v>1</v>
      </c>
      <c r="F55" s="26">
        <f t="shared" ref="F55:Y55" si="8">SUM(F13:F54)</f>
        <v>42</v>
      </c>
      <c r="G55" s="26">
        <f t="shared" si="8"/>
        <v>42</v>
      </c>
      <c r="H55" s="27">
        <f t="shared" si="8"/>
        <v>0</v>
      </c>
      <c r="I55" s="26">
        <f t="shared" si="8"/>
        <v>120</v>
      </c>
      <c r="J55" s="26">
        <f t="shared" si="8"/>
        <v>105</v>
      </c>
      <c r="K55" s="27">
        <f t="shared" si="8"/>
        <v>15</v>
      </c>
      <c r="L55" s="26">
        <f>SUM(L13:L54)</f>
        <v>71</v>
      </c>
      <c r="M55" s="28">
        <f t="shared" si="8"/>
        <v>416</v>
      </c>
      <c r="N55" s="38">
        <f t="shared" si="8"/>
        <v>634</v>
      </c>
      <c r="O55" s="37">
        <f t="shared" si="8"/>
        <v>180</v>
      </c>
      <c r="P55" s="26">
        <f t="shared" si="8"/>
        <v>180</v>
      </c>
      <c r="Q55" s="27">
        <f t="shared" si="8"/>
        <v>0</v>
      </c>
      <c r="R55" s="26">
        <f t="shared" si="8"/>
        <v>34</v>
      </c>
      <c r="S55" s="26">
        <f t="shared" si="8"/>
        <v>34</v>
      </c>
      <c r="T55" s="27">
        <f t="shared" si="8"/>
        <v>0</v>
      </c>
      <c r="U55" s="26">
        <f t="shared" si="8"/>
        <v>111</v>
      </c>
      <c r="V55" s="26">
        <f t="shared" si="8"/>
        <v>111</v>
      </c>
      <c r="W55" s="29">
        <f t="shared" si="8"/>
        <v>0</v>
      </c>
      <c r="X55" s="26">
        <f t="shared" si="8"/>
        <v>325</v>
      </c>
      <c r="Y55" s="30">
        <f t="shared" si="8"/>
        <v>959</v>
      </c>
      <c r="Z55" s="4"/>
    </row>
    <row r="56" spans="1:26" ht="13.5" thickTop="1" x14ac:dyDescent="0.2"/>
    <row r="58" spans="1:26" x14ac:dyDescent="0.2">
      <c r="B58" s="17" t="s">
        <v>61</v>
      </c>
      <c r="C58" s="31">
        <f>E55+H55+K55</f>
        <v>16</v>
      </c>
    </row>
    <row r="59" spans="1:26" x14ac:dyDescent="0.2">
      <c r="B59">
        <v>1</v>
      </c>
      <c r="C59" s="63" t="s">
        <v>63</v>
      </c>
    </row>
    <row r="60" spans="1:26" x14ac:dyDescent="0.2">
      <c r="B60">
        <v>2</v>
      </c>
      <c r="C60" s="63" t="s">
        <v>71</v>
      </c>
    </row>
    <row r="61" spans="1:26" x14ac:dyDescent="0.2">
      <c r="B61">
        <v>3</v>
      </c>
      <c r="C61" s="63" t="s">
        <v>72</v>
      </c>
    </row>
    <row r="62" spans="1:26" x14ac:dyDescent="0.2">
      <c r="B62">
        <v>4</v>
      </c>
      <c r="C62" s="63" t="s">
        <v>73</v>
      </c>
    </row>
    <row r="63" spans="1:26" x14ac:dyDescent="0.2">
      <c r="B63">
        <v>5</v>
      </c>
      <c r="C63" s="63" t="s">
        <v>74</v>
      </c>
    </row>
    <row r="64" spans="1:26" x14ac:dyDescent="0.2">
      <c r="B64">
        <v>6</v>
      </c>
      <c r="C64" s="63" t="s">
        <v>64</v>
      </c>
    </row>
    <row r="65" spans="2:11" x14ac:dyDescent="0.2">
      <c r="B65">
        <v>7</v>
      </c>
      <c r="C65" s="63" t="s">
        <v>75</v>
      </c>
    </row>
    <row r="66" spans="2:11" x14ac:dyDescent="0.2">
      <c r="B66">
        <v>8</v>
      </c>
      <c r="C66" s="63" t="s">
        <v>76</v>
      </c>
    </row>
    <row r="67" spans="2:11" x14ac:dyDescent="0.2">
      <c r="B67">
        <v>9</v>
      </c>
      <c r="C67" s="63" t="s">
        <v>77</v>
      </c>
    </row>
    <row r="68" spans="2:11" x14ac:dyDescent="0.2">
      <c r="B68">
        <v>10</v>
      </c>
      <c r="C68" s="63" t="s">
        <v>78</v>
      </c>
    </row>
    <row r="69" spans="2:11" x14ac:dyDescent="0.2">
      <c r="B69">
        <v>11</v>
      </c>
      <c r="C69" s="63" t="s">
        <v>79</v>
      </c>
    </row>
    <row r="70" spans="2:11" x14ac:dyDescent="0.2">
      <c r="B70">
        <v>12</v>
      </c>
      <c r="C70" s="63" t="s">
        <v>80</v>
      </c>
    </row>
    <row r="71" spans="2:11" x14ac:dyDescent="0.2">
      <c r="B71">
        <v>13</v>
      </c>
      <c r="C71" s="63" t="s">
        <v>81</v>
      </c>
    </row>
    <row r="72" spans="2:11" x14ac:dyDescent="0.2">
      <c r="B72">
        <v>14</v>
      </c>
      <c r="C72" s="63" t="s">
        <v>82</v>
      </c>
    </row>
    <row r="73" spans="2:11" x14ac:dyDescent="0.2">
      <c r="B73">
        <v>15</v>
      </c>
      <c r="C73" s="63" t="s">
        <v>83</v>
      </c>
    </row>
    <row r="74" spans="2:11" x14ac:dyDescent="0.2">
      <c r="B74">
        <v>16</v>
      </c>
      <c r="C74" s="63" t="s">
        <v>84</v>
      </c>
    </row>
    <row r="75" spans="2:11" x14ac:dyDescent="0.2">
      <c r="C75" s="1"/>
    </row>
    <row r="76" spans="2:11" x14ac:dyDescent="0.2">
      <c r="C76" s="1"/>
    </row>
    <row r="77" spans="2:11" x14ac:dyDescent="0.2">
      <c r="C77" s="1"/>
    </row>
    <row r="79" spans="2:11" x14ac:dyDescent="0.2">
      <c r="B79" t="s">
        <v>65</v>
      </c>
      <c r="C79">
        <f>C55+F55+I55</f>
        <v>163</v>
      </c>
      <c r="J79" t="s">
        <v>66</v>
      </c>
      <c r="K79">
        <f>L55+M55</f>
        <v>487</v>
      </c>
    </row>
    <row r="80" spans="2:11" x14ac:dyDescent="0.2">
      <c r="C80">
        <f>D55+G55+J55</f>
        <v>147</v>
      </c>
    </row>
    <row r="81" spans="3:3" x14ac:dyDescent="0.2">
      <c r="C81">
        <f>C79-C80</f>
        <v>16</v>
      </c>
    </row>
  </sheetData>
  <mergeCells count="23">
    <mergeCell ref="B7:X7"/>
    <mergeCell ref="A9:A12"/>
    <mergeCell ref="B9:B12"/>
    <mergeCell ref="C9:N9"/>
    <mergeCell ref="O9:X9"/>
    <mergeCell ref="R10:W10"/>
    <mergeCell ref="X10:X12"/>
    <mergeCell ref="C11:E11"/>
    <mergeCell ref="F11:H11"/>
    <mergeCell ref="I11:K11"/>
    <mergeCell ref="R11:T11"/>
    <mergeCell ref="U11:W11"/>
    <mergeCell ref="Y9:Y12"/>
    <mergeCell ref="C10:K10"/>
    <mergeCell ref="L10:M11"/>
    <mergeCell ref="N10:N12"/>
    <mergeCell ref="O10:Q11"/>
    <mergeCell ref="B6:X6"/>
    <mergeCell ref="A1:Y1"/>
    <mergeCell ref="A2:Y2"/>
    <mergeCell ref="A3:Y3"/>
    <mergeCell ref="A4:X4"/>
    <mergeCell ref="A5:X5"/>
  </mergeCells>
  <printOptions verticalCentered="1"/>
  <pageMargins left="0" right="0.31496062992125984" top="0.74803149606299213" bottom="0.74803149606299213" header="0.31496062992125984" footer="0.31496062992125984"/>
  <pageSetup paperSize="5" scale="65" fitToHeight="0" orientation="landscape" horizontalDpi="300" verticalDpi="300" r:id="rId1"/>
  <headerFooter alignWithMargins="0"/>
  <colBreaks count="1" manualBreakCount="1">
    <brk id="25" max="25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>
      <selection activeCell="G19" sqref="G19"/>
    </sheetView>
  </sheetViews>
  <sheetFormatPr defaultRowHeight="12.75" x14ac:dyDescent="0.2"/>
  <cols>
    <col min="1" max="1" width="5.5703125" customWidth="1"/>
    <col min="2" max="2" width="72.140625" customWidth="1"/>
  </cols>
  <sheetData>
    <row r="1" spans="1:2" x14ac:dyDescent="0.2">
      <c r="A1" s="135" t="s">
        <v>68</v>
      </c>
      <c r="B1" s="136"/>
    </row>
    <row r="2" spans="1:2" x14ac:dyDescent="0.2">
      <c r="A2" s="135" t="s">
        <v>97</v>
      </c>
      <c r="B2" s="135"/>
    </row>
    <row r="3" spans="1:2" x14ac:dyDescent="0.2">
      <c r="A3" s="32"/>
      <c r="B3" s="32"/>
    </row>
    <row r="4" spans="1:2" ht="30" customHeight="1" x14ac:dyDescent="0.2">
      <c r="A4" s="33" t="s">
        <v>43</v>
      </c>
      <c r="B4" s="33" t="s">
        <v>67</v>
      </c>
    </row>
    <row r="5" spans="1:2" ht="30" customHeight="1" x14ac:dyDescent="0.2">
      <c r="A5" s="33">
        <v>1</v>
      </c>
      <c r="B5" s="34" t="s">
        <v>63</v>
      </c>
    </row>
    <row r="6" spans="1:2" ht="30" customHeight="1" x14ac:dyDescent="0.2">
      <c r="A6" s="33">
        <v>2</v>
      </c>
      <c r="B6" s="34" t="s">
        <v>88</v>
      </c>
    </row>
    <row r="7" spans="1:2" ht="30" customHeight="1" x14ac:dyDescent="0.2">
      <c r="A7" s="33">
        <v>3</v>
      </c>
      <c r="B7" s="34" t="s">
        <v>91</v>
      </c>
    </row>
    <row r="8" spans="1:2" ht="30" customHeight="1" x14ac:dyDescent="0.2">
      <c r="A8" s="33">
        <v>4</v>
      </c>
      <c r="B8" s="34" t="s">
        <v>95</v>
      </c>
    </row>
    <row r="9" spans="1:2" ht="30" customHeight="1" x14ac:dyDescent="0.2">
      <c r="A9" s="33">
        <v>5</v>
      </c>
      <c r="B9" s="34" t="s">
        <v>71</v>
      </c>
    </row>
    <row r="10" spans="1:2" ht="30" customHeight="1" x14ac:dyDescent="0.2">
      <c r="A10" s="33">
        <v>6</v>
      </c>
      <c r="B10" s="34" t="s">
        <v>72</v>
      </c>
    </row>
    <row r="11" spans="1:2" ht="30" customHeight="1" x14ac:dyDescent="0.2">
      <c r="A11" s="33">
        <v>7</v>
      </c>
      <c r="B11" s="34" t="s">
        <v>73</v>
      </c>
    </row>
    <row r="12" spans="1:2" ht="30" customHeight="1" x14ac:dyDescent="0.2">
      <c r="A12" s="33">
        <v>8</v>
      </c>
      <c r="B12" s="34" t="s">
        <v>74</v>
      </c>
    </row>
    <row r="13" spans="1:2" ht="30" customHeight="1" x14ac:dyDescent="0.2">
      <c r="A13" s="33">
        <v>9</v>
      </c>
      <c r="B13" s="34" t="s">
        <v>64</v>
      </c>
    </row>
    <row r="14" spans="1:2" ht="30" customHeight="1" x14ac:dyDescent="0.2">
      <c r="A14" s="33">
        <v>10</v>
      </c>
      <c r="B14" s="34" t="s">
        <v>75</v>
      </c>
    </row>
    <row r="15" spans="1:2" ht="30" customHeight="1" x14ac:dyDescent="0.2">
      <c r="A15" s="33">
        <v>11</v>
      </c>
      <c r="B15" s="34" t="s">
        <v>76</v>
      </c>
    </row>
    <row r="16" spans="1:2" ht="30" customHeight="1" x14ac:dyDescent="0.2">
      <c r="A16" s="33">
        <v>12</v>
      </c>
      <c r="B16" s="34" t="s">
        <v>92</v>
      </c>
    </row>
    <row r="17" spans="1:2" ht="30" customHeight="1" x14ac:dyDescent="0.2">
      <c r="A17" s="33">
        <v>13</v>
      </c>
      <c r="B17" s="34" t="s">
        <v>77</v>
      </c>
    </row>
    <row r="18" spans="1:2" ht="30" customHeight="1" x14ac:dyDescent="0.2">
      <c r="A18" s="33">
        <v>14</v>
      </c>
      <c r="B18" s="34" t="s">
        <v>78</v>
      </c>
    </row>
    <row r="19" spans="1:2" ht="30" customHeight="1" x14ac:dyDescent="0.2">
      <c r="A19" s="33">
        <v>15</v>
      </c>
      <c r="B19" s="34" t="s">
        <v>79</v>
      </c>
    </row>
    <row r="20" spans="1:2" ht="30" customHeight="1" x14ac:dyDescent="0.2">
      <c r="A20" s="33">
        <v>16</v>
      </c>
      <c r="B20" s="34" t="s">
        <v>80</v>
      </c>
    </row>
    <row r="21" spans="1:2" ht="30" customHeight="1" x14ac:dyDescent="0.2">
      <c r="A21" s="33">
        <v>17</v>
      </c>
      <c r="B21" s="34" t="s">
        <v>81</v>
      </c>
    </row>
    <row r="22" spans="1:2" ht="30" customHeight="1" x14ac:dyDescent="0.2">
      <c r="A22" s="33">
        <v>18</v>
      </c>
      <c r="B22" s="34" t="s">
        <v>82</v>
      </c>
    </row>
    <row r="23" spans="1:2" ht="30" customHeight="1" x14ac:dyDescent="0.2">
      <c r="A23" s="33">
        <v>19</v>
      </c>
      <c r="B23" s="34" t="s">
        <v>83</v>
      </c>
    </row>
    <row r="24" spans="1:2" ht="30" customHeight="1" x14ac:dyDescent="0.2">
      <c r="A24" s="33">
        <v>20</v>
      </c>
      <c r="B24" s="34" t="s">
        <v>84</v>
      </c>
    </row>
    <row r="25" spans="1:2" ht="30" customHeight="1" x14ac:dyDescent="0.2">
      <c r="A25" s="33">
        <v>21</v>
      </c>
      <c r="B25" s="34" t="s">
        <v>93</v>
      </c>
    </row>
    <row r="26" spans="1:2" ht="30" customHeight="1" x14ac:dyDescent="0.2">
      <c r="A26" s="33">
        <v>22</v>
      </c>
      <c r="B26" s="34" t="s">
        <v>94</v>
      </c>
    </row>
    <row r="27" spans="1:2" ht="30" customHeight="1" x14ac:dyDescent="0.2">
      <c r="A27" s="33">
        <v>23</v>
      </c>
      <c r="B27" s="34" t="s">
        <v>96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MEI</vt:lpstr>
      <vt:lpstr>APRIL</vt:lpstr>
      <vt:lpstr>MARET</vt:lpstr>
      <vt:lpstr>FEBRUARI</vt:lpstr>
      <vt:lpstr>JANUARI</vt:lpstr>
      <vt:lpstr>JABATAN YANG KOSONG</vt:lpstr>
      <vt:lpstr>APRIL!Print_Area</vt:lpstr>
      <vt:lpstr>FEBRUARI!Print_Area</vt:lpstr>
      <vt:lpstr>JANUARI!Print_Area</vt:lpstr>
      <vt:lpstr>MARET!Print_Area</vt:lpstr>
      <vt:lpstr>MEI!Print_Area</vt:lpstr>
      <vt:lpstr>APRIL!Print_Titles</vt:lpstr>
      <vt:lpstr>FEBRUARI!Print_Titles</vt:lpstr>
      <vt:lpstr>JANUARI!Print_Titles</vt:lpstr>
      <vt:lpstr>MARET!Print_Titles</vt:lpstr>
      <vt:lpstr>MEI!Print_Titles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 Centre</dc:creator>
  <cp:lastModifiedBy>DELL Optiplek 3070</cp:lastModifiedBy>
  <cp:lastPrinted>2022-03-18T01:51:38Z</cp:lastPrinted>
  <dcterms:created xsi:type="dcterms:W3CDTF">2007-03-01T03:25:46Z</dcterms:created>
  <dcterms:modified xsi:type="dcterms:W3CDTF">2022-10-10T04:21:28Z</dcterms:modified>
</cp:coreProperties>
</file>